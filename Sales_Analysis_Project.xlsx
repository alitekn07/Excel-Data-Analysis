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ite\Downloads\Excel Projects\"/>
    </mc:Choice>
  </mc:AlternateContent>
  <xr:revisionPtr revIDLastSave="0" documentId="13_ncr:1_{2901481C-6AA5-4AFC-83B8-44BAB6B559B4}" xr6:coauthVersionLast="47" xr6:coauthVersionMax="47" xr10:uidLastSave="{00000000-0000-0000-0000-000000000000}"/>
  <bookViews>
    <workbookView xWindow="-120" yWindow="-120" windowWidth="38640" windowHeight="21120" activeTab="2" xr2:uid="{A0B8BB27-01CE-44D6-8BED-0F5EA6CB6F7F}"/>
  </bookViews>
  <sheets>
    <sheet name="Data" sheetId="1" r:id="rId1"/>
    <sheet name="Pivots" sheetId="2" r:id="rId2"/>
    <sheet name="Dashboard" sheetId="3" r:id="rId3"/>
  </sheets>
  <definedNames>
    <definedName name="Dilimleyici_Müşteri">#N/A</definedName>
    <definedName name="Dilimleyici_Sevkiyat">#N/A</definedName>
    <definedName name="Dilimleyici_Ülke">#N/A</definedName>
    <definedName name="Dilimleyici_Ürün_Adı">#N/A</definedName>
  </definedNames>
  <calcPr calcId="191029"/>
  <pivotCaches>
    <pivotCache cacheId="35" r:id="rId4"/>
  </pivotCaches>
  <extLst>
    <ext xmlns:x14="http://schemas.microsoft.com/office/spreadsheetml/2009/9/main" uri="{BBE1A952-AA13-448e-AADC-164F8A28A991}">
      <x14:slicerCaches>
        <x14:slicerCache r:id="rId5"/>
        <x14:slicerCache r:id="rId6"/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" i="1" l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4" i="1"/>
</calcChain>
</file>

<file path=xl/sharedStrings.xml><?xml version="1.0" encoding="utf-8"?>
<sst xmlns="http://schemas.openxmlformats.org/spreadsheetml/2006/main" count="8076" uniqueCount="100">
  <si>
    <t>KDV</t>
  </si>
  <si>
    <t>Ali</t>
  </si>
  <si>
    <t>Male</t>
  </si>
  <si>
    <t>France</t>
  </si>
  <si>
    <t>EUR</t>
  </si>
  <si>
    <t>Brightdog</t>
  </si>
  <si>
    <t>Steel</t>
  </si>
  <si>
    <t>Blue</t>
  </si>
  <si>
    <t>Hasan</t>
  </si>
  <si>
    <t>Jamia</t>
  </si>
  <si>
    <t>Plastic</t>
  </si>
  <si>
    <t>Pink</t>
  </si>
  <si>
    <t>Hüseyin</t>
  </si>
  <si>
    <t>Twinte</t>
  </si>
  <si>
    <t>Glass</t>
  </si>
  <si>
    <t>Puce</t>
  </si>
  <si>
    <t>Canan</t>
  </si>
  <si>
    <t>Female</t>
  </si>
  <si>
    <t>Rhynyx</t>
  </si>
  <si>
    <t>Indigo</t>
  </si>
  <si>
    <t>Cansu</t>
  </si>
  <si>
    <t>Tazzy</t>
  </si>
  <si>
    <t>Vinyl</t>
  </si>
  <si>
    <t>Crimson</t>
  </si>
  <si>
    <t>Kenan</t>
  </si>
  <si>
    <t>Pixoboo</t>
  </si>
  <si>
    <t>Aluminum</t>
  </si>
  <si>
    <t>Mirza</t>
  </si>
  <si>
    <t>Germany</t>
  </si>
  <si>
    <t>Meemm</t>
  </si>
  <si>
    <t>Granite</t>
  </si>
  <si>
    <t>Orange</t>
  </si>
  <si>
    <t>Ebrar</t>
  </si>
  <si>
    <t>Plexiglass</t>
  </si>
  <si>
    <t>Semih</t>
  </si>
  <si>
    <t>Thoughtblab</t>
  </si>
  <si>
    <t>Mauv</t>
  </si>
  <si>
    <t>Sevcan</t>
  </si>
  <si>
    <t>Mycat</t>
  </si>
  <si>
    <t>Violet</t>
  </si>
  <si>
    <t>Sevtap</t>
  </si>
  <si>
    <t>Devbug</t>
  </si>
  <si>
    <t>Kemal</t>
  </si>
  <si>
    <t>Leenti</t>
  </si>
  <si>
    <t>Brass</t>
  </si>
  <si>
    <t>Khaki</t>
  </si>
  <si>
    <t>Resul</t>
  </si>
  <si>
    <t>Edgepulse</t>
  </si>
  <si>
    <t>Stone</t>
  </si>
  <si>
    <t>Purple</t>
  </si>
  <si>
    <t>Beşir</t>
  </si>
  <si>
    <t>Myworks</t>
  </si>
  <si>
    <t>Maroon</t>
  </si>
  <si>
    <t>Yusuf</t>
  </si>
  <si>
    <t>Bubblemix</t>
  </si>
  <si>
    <t>Turquoise</t>
  </si>
  <si>
    <t>Soner</t>
  </si>
  <si>
    <t>Kazio</t>
  </si>
  <si>
    <t>Red</t>
  </si>
  <si>
    <t>Wood</t>
  </si>
  <si>
    <t>Teal</t>
  </si>
  <si>
    <t>Rubber</t>
  </si>
  <si>
    <t>Yellow</t>
  </si>
  <si>
    <t>Green</t>
  </si>
  <si>
    <t>Belgium</t>
  </si>
  <si>
    <t>Goldenrod</t>
  </si>
  <si>
    <t>Fuscia</t>
  </si>
  <si>
    <t>Aquamarine</t>
  </si>
  <si>
    <t>Algeria</t>
  </si>
  <si>
    <t>USD</t>
  </si>
  <si>
    <t>Turkey</t>
  </si>
  <si>
    <t>GBP</t>
  </si>
  <si>
    <t>Satır Etiketleri</t>
  </si>
  <si>
    <t>Genel Toplam</t>
  </si>
  <si>
    <t>Toplam Satış Miktarı</t>
  </si>
  <si>
    <t>Sales %</t>
  </si>
  <si>
    <t>Status</t>
  </si>
  <si>
    <t>Customer</t>
  </si>
  <si>
    <t>Total Sales</t>
  </si>
  <si>
    <t>Country</t>
  </si>
  <si>
    <t>Transport</t>
  </si>
  <si>
    <t>Delivered</t>
  </si>
  <si>
    <t>Shipped</t>
  </si>
  <si>
    <t>Total</t>
  </si>
  <si>
    <t>Toplam İade Miktarı</t>
  </si>
  <si>
    <t>Ortalama % İade Oranı</t>
  </si>
  <si>
    <t>Toplam Ciro</t>
  </si>
  <si>
    <t>Product No</t>
  </si>
  <si>
    <t>Name</t>
  </si>
  <si>
    <t>Sex</t>
  </si>
  <si>
    <t>Date</t>
  </si>
  <si>
    <t>Sell Value</t>
  </si>
  <si>
    <t>Return Value</t>
  </si>
  <si>
    <t>Return %</t>
  </si>
  <si>
    <t>Selling Price</t>
  </si>
  <si>
    <t>Revenue</t>
  </si>
  <si>
    <t>Currency</t>
  </si>
  <si>
    <t>Product Name</t>
  </si>
  <si>
    <t>Delivery</t>
  </si>
  <si>
    <t>Color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</si>
</sst>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4" formatCode="_(&quot;$&quot;* #,##0.00_);_(&quot;$&quot;* \(#,##0.00\);_(&quot;$&quot;* &quot;-&quot;??_);_(@_)"/>
    <numFmt numFmtId="166" formatCode="_(* #,##0_);_(* \(#,##0\);_(* &quot;-&quot;??_);_(@_)"/>
    <numFmt numFmtId="167" formatCode="[Color10]\⬆\️;[Red]\⬇\️"/>
    <numFmt numFmtId="173" formatCode="_(&quot;$&quot;* #,##0_);_(&quot;$&quot;* \(#,##0\);_(&quot;$&quot;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"/>
      <family val="2"/>
    </font>
    <font>
      <sz val="12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pivotButton="1" applyFont="1"/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0" xfId="0" applyNumberFormat="1" applyFont="1"/>
    <xf numFmtId="166" fontId="2" fillId="0" borderId="0" xfId="0" applyNumberFormat="1" applyFont="1"/>
    <xf numFmtId="10" fontId="2" fillId="0" borderId="0" xfId="0" applyNumberFormat="1" applyFont="1"/>
    <xf numFmtId="167" fontId="3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166" fontId="2" fillId="0" borderId="0" xfId="0" applyNumberFormat="1" applyFont="1" applyAlignment="1">
      <alignment horizontal="center" vertical="center"/>
    </xf>
    <xf numFmtId="10" fontId="2" fillId="0" borderId="0" xfId="0" applyNumberFormat="1" applyFont="1" applyAlignment="1">
      <alignment horizontal="center" vertical="center"/>
    </xf>
    <xf numFmtId="10" fontId="0" fillId="0" borderId="0" xfId="2" applyNumberFormat="1" applyFont="1" applyAlignment="1">
      <alignment horizontal="center" vertical="center"/>
    </xf>
    <xf numFmtId="173" fontId="0" fillId="0" borderId="0" xfId="1" applyNumberFormat="1" applyFont="1" applyAlignment="1">
      <alignment horizontal="center" vertical="center"/>
    </xf>
    <xf numFmtId="0" fontId="2" fillId="0" borderId="0" xfId="0" pivotButton="1" applyFont="1" applyAlignment="1">
      <alignment horizontal="center" vertical="center"/>
    </xf>
    <xf numFmtId="3" fontId="2" fillId="0" borderId="0" xfId="0" applyNumberFormat="1" applyFont="1"/>
  </cellXfs>
  <cellStyles count="3">
    <cellStyle name="Normal" xfId="0" builtinId="0"/>
    <cellStyle name="ParaBirimi" xfId="1" builtinId="4"/>
    <cellStyle name="Yüzde" xfId="2" builtinId="5"/>
  </cellStyles>
  <dxfs count="4563">
    <dxf>
      <font>
        <name val="Aptos"/>
        <scheme val="none"/>
      </font>
    </dxf>
    <dxf>
      <numFmt numFmtId="166" formatCode="_(* #,##0_);_(* \(#,##0\);_(* &quot;-&quot;??_);_(@_)"/>
    </dxf>
    <dxf>
      <numFmt numFmtId="166" formatCode="_(* #,##0_);_(* \(#,##0\);_(* &quot;-&quot;??_);_(@_)"/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sz val="11"/>
      </font>
    </dxf>
    <dxf>
      <numFmt numFmtId="3" formatCode="#,##0"/>
    </dxf>
    <dxf>
      <font>
        <name val="Aptos"/>
        <scheme val="none"/>
      </font>
    </dxf>
    <dxf>
      <numFmt numFmtId="14" formatCode="0.00%"/>
    </dxf>
    <dxf>
      <font>
        <name val="Aptos"/>
        <scheme val="none"/>
      </font>
    </dxf>
    <dxf>
      <numFmt numFmtId="166" formatCode="_(* #,##0_);_(* \(#,##0\);_(* &quot;-&quot;??_);_(@_)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vertical="center"/>
    </dxf>
    <dxf>
      <alignment horizontal="center"/>
    </dxf>
    <dxf>
      <numFmt numFmtId="166" formatCode="_(* #,##0_);_(* \(#,##0\);_(* &quot;-&quot;??_);_(@_)"/>
    </dxf>
    <dxf>
      <font>
        <name val="Aptos"/>
        <scheme val="none"/>
      </font>
    </dxf>
    <dxf>
      <font>
        <name val="Aptos"/>
        <scheme val="none"/>
      </font>
    </dxf>
    <dxf>
      <numFmt numFmtId="166" formatCode="_(* #,##0_);_(* \(#,##0\);_(* &quot;-&quot;??_);_(@_)"/>
    </dxf>
    <dxf>
      <numFmt numFmtId="14" formatCode="0.00%"/>
    </dxf>
    <dxf>
      <numFmt numFmtId="167" formatCode="[Color10]\⬆\️;[Red]\⬇\️"/>
    </dxf>
    <dxf>
      <alignment horizontal="center"/>
    </dxf>
    <dxf>
      <alignment vertical="center"/>
    </dxf>
    <dxf>
      <font>
        <sz val="12"/>
      </font>
    </dxf>
    <dxf>
      <alignment vertical="center"/>
    </dxf>
    <dxf>
      <alignment vertical="center"/>
    </dxf>
    <dxf>
      <alignment horizontal="center"/>
    </dxf>
    <dxf>
      <alignment horizontal="center"/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numFmt numFmtId="166" formatCode="_(* #,##0_);_(* \(#,##0\);_(* &quot;-&quot;??_);_(@_)"/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sz val="11"/>
      </font>
    </dxf>
    <dxf>
      <font>
        <name val="Aptos"/>
        <scheme val="none"/>
      </font>
    </dxf>
    <dxf>
      <numFmt numFmtId="166" formatCode="_(* #,##0_);_(* \(#,##0\);_(* &quot;-&quot;??_);_(@_)"/>
    </dxf>
    <dxf>
      <numFmt numFmtId="166" formatCode="_(* #,##0_);_(* \(#,##0\);_(* &quot;-&quot;??_);_(@_)"/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sz val="11"/>
      </font>
    </dxf>
    <dxf>
      <numFmt numFmtId="3" formatCode="#,##0"/>
    </dxf>
    <dxf>
      <font>
        <name val="Aptos"/>
        <scheme val="none"/>
      </font>
    </dxf>
    <dxf>
      <numFmt numFmtId="14" formatCode="0.00%"/>
    </dxf>
    <dxf>
      <font>
        <name val="Aptos"/>
        <scheme val="none"/>
      </font>
    </dxf>
    <dxf>
      <numFmt numFmtId="166" formatCode="_(* #,##0_);_(* \(#,##0\);_(* &quot;-&quot;??_);_(@_)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vertical="center"/>
    </dxf>
    <dxf>
      <alignment horizontal="center"/>
    </dxf>
    <dxf>
      <numFmt numFmtId="166" formatCode="_(* #,##0_);_(* \(#,##0\);_(* &quot;-&quot;??_);_(@_)"/>
    </dxf>
    <dxf>
      <font>
        <name val="Aptos"/>
        <scheme val="none"/>
      </font>
    </dxf>
    <dxf>
      <font>
        <name val="Aptos"/>
        <scheme val="none"/>
      </font>
    </dxf>
    <dxf>
      <numFmt numFmtId="166" formatCode="_(* #,##0_);_(* \(#,##0\);_(* &quot;-&quot;??_);_(@_)"/>
    </dxf>
    <dxf>
      <numFmt numFmtId="14" formatCode="0.00%"/>
    </dxf>
    <dxf>
      <numFmt numFmtId="167" formatCode="[Color10]\⬆\️;[Red]\⬇\️"/>
    </dxf>
    <dxf>
      <alignment horizontal="center"/>
    </dxf>
    <dxf>
      <alignment vertical="center"/>
    </dxf>
    <dxf>
      <font>
        <sz val="12"/>
      </font>
    </dxf>
    <dxf>
      <alignment vertical="center"/>
    </dxf>
    <dxf>
      <alignment vertical="center"/>
    </dxf>
    <dxf>
      <alignment horizontal="center"/>
    </dxf>
    <dxf>
      <alignment horizontal="center"/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numFmt numFmtId="166" formatCode="_(* #,##0_);_(* \(#,##0\);_(* &quot;-&quot;??_);_(@_)"/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sz val="11"/>
      </font>
    </dxf>
    <dxf>
      <font>
        <name val="Aptos"/>
        <scheme val="none"/>
      </font>
    </dxf>
    <dxf>
      <numFmt numFmtId="166" formatCode="_(* #,##0_);_(* \(#,##0\);_(* &quot;-&quot;??_);_(@_)"/>
    </dxf>
    <dxf>
      <numFmt numFmtId="166" formatCode="_(* #,##0_);_(* \(#,##0\);_(* &quot;-&quot;??_);_(@_)"/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sz val="11"/>
      </font>
    </dxf>
    <dxf>
      <numFmt numFmtId="3" formatCode="#,##0"/>
    </dxf>
    <dxf>
      <font>
        <name val="Aptos"/>
        <scheme val="none"/>
      </font>
    </dxf>
    <dxf>
      <numFmt numFmtId="14" formatCode="0.00%"/>
    </dxf>
    <dxf>
      <font>
        <name val="Aptos"/>
        <scheme val="none"/>
      </font>
    </dxf>
    <dxf>
      <numFmt numFmtId="166" formatCode="_(* #,##0_);_(* \(#,##0\);_(* &quot;-&quot;??_);_(@_)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vertical="center"/>
    </dxf>
    <dxf>
      <alignment horizontal="center"/>
    </dxf>
    <dxf>
      <numFmt numFmtId="166" formatCode="_(* #,##0_);_(* \(#,##0\);_(* &quot;-&quot;??_);_(@_)"/>
    </dxf>
    <dxf>
      <font>
        <name val="Aptos"/>
        <scheme val="none"/>
      </font>
    </dxf>
    <dxf>
      <font>
        <name val="Aptos"/>
        <scheme val="none"/>
      </font>
    </dxf>
    <dxf>
      <numFmt numFmtId="166" formatCode="_(* #,##0_);_(* \(#,##0\);_(* &quot;-&quot;??_);_(@_)"/>
    </dxf>
    <dxf>
      <numFmt numFmtId="14" formatCode="0.00%"/>
    </dxf>
    <dxf>
      <numFmt numFmtId="167" formatCode="[Color10]\⬆\️;[Red]\⬇\️"/>
    </dxf>
    <dxf>
      <alignment horizontal="center"/>
    </dxf>
    <dxf>
      <alignment vertical="center"/>
    </dxf>
    <dxf>
      <font>
        <sz val="12"/>
      </font>
    </dxf>
    <dxf>
      <alignment vertical="center"/>
    </dxf>
    <dxf>
      <alignment vertical="center"/>
    </dxf>
    <dxf>
      <alignment horizontal="center"/>
    </dxf>
    <dxf>
      <alignment horizontal="center"/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numFmt numFmtId="166" formatCode="_(* #,##0_);_(* \(#,##0\);_(* &quot;-&quot;??_);_(@_)"/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sz val="11"/>
      </font>
    </dxf>
    <dxf>
      <font>
        <name val="Aptos"/>
        <scheme val="none"/>
      </font>
    </dxf>
    <dxf>
      <numFmt numFmtId="166" formatCode="_(* #,##0_);_(* \(#,##0\);_(* &quot;-&quot;??_);_(@_)"/>
    </dxf>
    <dxf>
      <numFmt numFmtId="166" formatCode="_(* #,##0_);_(* \(#,##0\);_(* &quot;-&quot;??_);_(@_)"/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sz val="11"/>
      </font>
    </dxf>
    <dxf>
      <numFmt numFmtId="3" formatCode="#,##0"/>
    </dxf>
    <dxf>
      <font>
        <name val="Aptos"/>
        <scheme val="none"/>
      </font>
    </dxf>
    <dxf>
      <numFmt numFmtId="14" formatCode="0.00%"/>
    </dxf>
    <dxf>
      <font>
        <name val="Aptos"/>
        <scheme val="none"/>
      </font>
    </dxf>
    <dxf>
      <numFmt numFmtId="166" formatCode="_(* #,##0_);_(* \(#,##0\);_(* &quot;-&quot;??_);_(@_)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vertical="center"/>
    </dxf>
    <dxf>
      <alignment horizontal="center"/>
    </dxf>
    <dxf>
      <numFmt numFmtId="166" formatCode="_(* #,##0_);_(* \(#,##0\);_(* &quot;-&quot;??_);_(@_)"/>
    </dxf>
    <dxf>
      <font>
        <name val="Aptos"/>
        <scheme val="none"/>
      </font>
    </dxf>
    <dxf>
      <font>
        <name val="Aptos"/>
        <scheme val="none"/>
      </font>
    </dxf>
    <dxf>
      <numFmt numFmtId="166" formatCode="_(* #,##0_);_(* \(#,##0\);_(* &quot;-&quot;??_);_(@_)"/>
    </dxf>
    <dxf>
      <numFmt numFmtId="14" formatCode="0.00%"/>
    </dxf>
    <dxf>
      <numFmt numFmtId="167" formatCode="[Color10]\⬆\️;[Red]\⬇\️"/>
    </dxf>
    <dxf>
      <alignment horizontal="center"/>
    </dxf>
    <dxf>
      <alignment vertical="center"/>
    </dxf>
    <dxf>
      <font>
        <sz val="12"/>
      </font>
    </dxf>
    <dxf>
      <alignment vertical="center"/>
    </dxf>
    <dxf>
      <alignment vertical="center"/>
    </dxf>
    <dxf>
      <alignment horizontal="center"/>
    </dxf>
    <dxf>
      <alignment horizontal="center"/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numFmt numFmtId="166" formatCode="_(* #,##0_);_(* \(#,##0\);_(* &quot;-&quot;??_);_(@_)"/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sz val="11"/>
      </font>
    </dxf>
    <dxf>
      <font>
        <name val="Aptos"/>
        <scheme val="none"/>
      </font>
    </dxf>
    <dxf>
      <numFmt numFmtId="166" formatCode="_(* #,##0_);_(* \(#,##0\);_(* &quot;-&quot;??_);_(@_)"/>
    </dxf>
    <dxf>
      <numFmt numFmtId="166" formatCode="_(* #,##0_);_(* \(#,##0\);_(* &quot;-&quot;??_);_(@_)"/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sz val="11"/>
      </font>
    </dxf>
    <dxf>
      <numFmt numFmtId="3" formatCode="#,##0"/>
    </dxf>
    <dxf>
      <font>
        <name val="Aptos"/>
        <scheme val="none"/>
      </font>
    </dxf>
    <dxf>
      <numFmt numFmtId="14" formatCode="0.00%"/>
    </dxf>
    <dxf>
      <font>
        <name val="Aptos"/>
        <scheme val="none"/>
      </font>
    </dxf>
    <dxf>
      <numFmt numFmtId="166" formatCode="_(* #,##0_);_(* \(#,##0\);_(* &quot;-&quot;??_);_(@_)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vertical="center"/>
    </dxf>
    <dxf>
      <alignment horizontal="center"/>
    </dxf>
    <dxf>
      <numFmt numFmtId="166" formatCode="_(* #,##0_);_(* \(#,##0\);_(* &quot;-&quot;??_);_(@_)"/>
    </dxf>
    <dxf>
      <font>
        <name val="Aptos"/>
        <scheme val="none"/>
      </font>
    </dxf>
    <dxf>
      <font>
        <name val="Aptos"/>
        <scheme val="none"/>
      </font>
    </dxf>
    <dxf>
      <numFmt numFmtId="166" formatCode="_(* #,##0_);_(* \(#,##0\);_(* &quot;-&quot;??_);_(@_)"/>
    </dxf>
    <dxf>
      <numFmt numFmtId="14" formatCode="0.00%"/>
    </dxf>
    <dxf>
      <numFmt numFmtId="167" formatCode="[Color10]\⬆\️;[Red]\⬇\️"/>
    </dxf>
    <dxf>
      <alignment horizontal="center"/>
    </dxf>
    <dxf>
      <alignment vertical="center"/>
    </dxf>
    <dxf>
      <font>
        <sz val="12"/>
      </font>
    </dxf>
    <dxf>
      <alignment vertical="center"/>
    </dxf>
    <dxf>
      <alignment vertical="center"/>
    </dxf>
    <dxf>
      <alignment horizontal="center"/>
    </dxf>
    <dxf>
      <alignment horizontal="center"/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numFmt numFmtId="166" formatCode="_(* #,##0_);_(* \(#,##0\);_(* &quot;-&quot;??_);_(@_)"/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sz val="11"/>
      </font>
    </dxf>
    <dxf>
      <font>
        <b/>
        <i val="0"/>
        <color theme="0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solid">
          <fgColor auto="1"/>
          <bgColor rgb="FF7471D9"/>
        </patternFill>
      </fill>
    </dxf>
    <dxf>
      <font>
        <name val="Aptos"/>
        <scheme val="none"/>
      </font>
    </dxf>
    <dxf>
      <numFmt numFmtId="166" formatCode="_(* #,##0_);_(* \(#,##0\);_(* &quot;-&quot;??_);_(@_)"/>
    </dxf>
    <dxf>
      <numFmt numFmtId="166" formatCode="_(* #,##0_);_(* \(#,##0\);_(* &quot;-&quot;??_);_(@_)"/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sz val="11"/>
      </font>
    </dxf>
    <dxf>
      <numFmt numFmtId="3" formatCode="#,##0"/>
    </dxf>
    <dxf>
      <font>
        <name val="Aptos"/>
        <scheme val="none"/>
      </font>
    </dxf>
    <dxf>
      <numFmt numFmtId="14" formatCode="0.00%"/>
    </dxf>
    <dxf>
      <font>
        <name val="Aptos"/>
        <scheme val="none"/>
      </font>
    </dxf>
    <dxf>
      <numFmt numFmtId="166" formatCode="_(* #,##0_);_(* \(#,##0\);_(* &quot;-&quot;??_);_(@_)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vertical="center"/>
    </dxf>
    <dxf>
      <alignment horizontal="center"/>
    </dxf>
    <dxf>
      <numFmt numFmtId="166" formatCode="_(* #,##0_);_(* \(#,##0\);_(* &quot;-&quot;??_);_(@_)"/>
    </dxf>
    <dxf>
      <font>
        <name val="Aptos"/>
        <scheme val="none"/>
      </font>
    </dxf>
    <dxf>
      <font>
        <name val="Aptos"/>
        <scheme val="none"/>
      </font>
    </dxf>
    <dxf>
      <numFmt numFmtId="166" formatCode="_(* #,##0_);_(* \(#,##0\);_(* &quot;-&quot;??_);_(@_)"/>
    </dxf>
    <dxf>
      <numFmt numFmtId="14" formatCode="0.00%"/>
    </dxf>
    <dxf>
      <numFmt numFmtId="167" formatCode="[Color10]\⬆\️;[Red]\⬇\️"/>
    </dxf>
    <dxf>
      <alignment horizontal="center"/>
    </dxf>
    <dxf>
      <alignment vertical="center"/>
    </dxf>
    <dxf>
      <font>
        <sz val="12"/>
      </font>
    </dxf>
    <dxf>
      <alignment vertical="center"/>
    </dxf>
    <dxf>
      <alignment vertical="center"/>
    </dxf>
    <dxf>
      <alignment horizontal="center"/>
    </dxf>
    <dxf>
      <alignment horizontal="center"/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numFmt numFmtId="166" formatCode="_(* #,##0_);_(* \(#,##0\);_(* &quot;-&quot;??_);_(@_)"/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sz val="11"/>
      </font>
    </dxf>
    <dxf>
      <font>
        <name val="Aptos"/>
        <scheme val="none"/>
      </font>
    </dxf>
    <dxf>
      <numFmt numFmtId="166" formatCode="_(* #,##0_);_(* \(#,##0\);_(* &quot;-&quot;??_);_(@_)"/>
    </dxf>
    <dxf>
      <numFmt numFmtId="166" formatCode="_(* #,##0_);_(* \(#,##0\);_(* &quot;-&quot;??_);_(@_)"/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sz val="11"/>
      </font>
    </dxf>
    <dxf>
      <numFmt numFmtId="3" formatCode="#,##0"/>
    </dxf>
    <dxf>
      <font>
        <name val="Aptos"/>
        <scheme val="none"/>
      </font>
    </dxf>
    <dxf>
      <numFmt numFmtId="14" formatCode="0.00%"/>
    </dxf>
    <dxf>
      <font>
        <name val="Aptos"/>
        <scheme val="none"/>
      </font>
    </dxf>
    <dxf>
      <numFmt numFmtId="166" formatCode="_(* #,##0_);_(* \(#,##0\);_(* &quot;-&quot;??_);_(@_)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vertical="center"/>
    </dxf>
    <dxf>
      <alignment horizontal="center"/>
    </dxf>
    <dxf>
      <numFmt numFmtId="166" formatCode="_(* #,##0_);_(* \(#,##0\);_(* &quot;-&quot;??_);_(@_)"/>
    </dxf>
    <dxf>
      <font>
        <name val="Aptos"/>
        <scheme val="none"/>
      </font>
    </dxf>
    <dxf>
      <font>
        <name val="Aptos"/>
        <scheme val="none"/>
      </font>
    </dxf>
    <dxf>
      <numFmt numFmtId="166" formatCode="_(* #,##0_);_(* \(#,##0\);_(* &quot;-&quot;??_);_(@_)"/>
    </dxf>
    <dxf>
      <numFmt numFmtId="14" formatCode="0.00%"/>
    </dxf>
    <dxf>
      <numFmt numFmtId="167" formatCode="[Color10]\⬆\️;[Red]\⬇\️"/>
    </dxf>
    <dxf>
      <alignment horizontal="center"/>
    </dxf>
    <dxf>
      <alignment vertical="center"/>
    </dxf>
    <dxf>
      <font>
        <sz val="12"/>
      </font>
    </dxf>
    <dxf>
      <alignment vertical="center"/>
    </dxf>
    <dxf>
      <alignment vertical="center"/>
    </dxf>
    <dxf>
      <alignment horizontal="center"/>
    </dxf>
    <dxf>
      <alignment horizontal="center"/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numFmt numFmtId="166" formatCode="_(* #,##0_);_(* \(#,##0\);_(* &quot;-&quot;??_);_(@_)"/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sz val="11"/>
      </font>
    </dxf>
    <dxf>
      <font>
        <name val="Aptos"/>
        <scheme val="none"/>
      </font>
    </dxf>
    <dxf>
      <numFmt numFmtId="166" formatCode="_(* #,##0_);_(* \(#,##0\);_(* &quot;-&quot;??_);_(@_)"/>
    </dxf>
    <dxf>
      <numFmt numFmtId="166" formatCode="_(* #,##0_);_(* \(#,##0\);_(* &quot;-&quot;??_);_(@_)"/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sz val="11"/>
      </font>
    </dxf>
    <dxf>
      <numFmt numFmtId="3" formatCode="#,##0"/>
    </dxf>
    <dxf>
      <font>
        <name val="Aptos"/>
        <scheme val="none"/>
      </font>
    </dxf>
    <dxf>
      <numFmt numFmtId="14" formatCode="0.00%"/>
    </dxf>
    <dxf>
      <font>
        <name val="Aptos"/>
        <scheme val="none"/>
      </font>
    </dxf>
    <dxf>
      <numFmt numFmtId="166" formatCode="_(* #,##0_);_(* \(#,##0\);_(* &quot;-&quot;??_);_(@_)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vertical="center"/>
    </dxf>
    <dxf>
      <alignment horizontal="center"/>
    </dxf>
    <dxf>
      <numFmt numFmtId="166" formatCode="_(* #,##0_);_(* \(#,##0\);_(* &quot;-&quot;??_);_(@_)"/>
    </dxf>
    <dxf>
      <font>
        <name val="Aptos"/>
        <scheme val="none"/>
      </font>
    </dxf>
    <dxf>
      <font>
        <name val="Aptos"/>
        <scheme val="none"/>
      </font>
    </dxf>
    <dxf>
      <numFmt numFmtId="166" formatCode="_(* #,##0_);_(* \(#,##0\);_(* &quot;-&quot;??_);_(@_)"/>
    </dxf>
    <dxf>
      <numFmt numFmtId="14" formatCode="0.00%"/>
    </dxf>
    <dxf>
      <numFmt numFmtId="167" formatCode="[Color10]\⬆\️;[Red]\⬇\️"/>
    </dxf>
    <dxf>
      <alignment horizontal="center"/>
    </dxf>
    <dxf>
      <alignment vertical="center"/>
    </dxf>
    <dxf>
      <font>
        <sz val="12"/>
      </font>
    </dxf>
    <dxf>
      <alignment vertical="center"/>
    </dxf>
    <dxf>
      <alignment vertical="center"/>
    </dxf>
    <dxf>
      <alignment horizontal="center"/>
    </dxf>
    <dxf>
      <alignment horizontal="center"/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numFmt numFmtId="166" formatCode="_(* #,##0_);_(* \(#,##0\);_(* &quot;-&quot;??_);_(@_)"/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sz val="11"/>
      </font>
    </dxf>
    <dxf>
      <font>
        <name val="Aptos"/>
        <scheme val="none"/>
      </font>
    </dxf>
    <dxf>
      <numFmt numFmtId="166" formatCode="_(* #,##0_);_(* \(#,##0\);_(* &quot;-&quot;??_);_(@_)"/>
    </dxf>
    <dxf>
      <numFmt numFmtId="166" formatCode="_(* #,##0_);_(* \(#,##0\);_(* &quot;-&quot;??_);_(@_)"/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sz val="11"/>
      </font>
    </dxf>
    <dxf>
      <numFmt numFmtId="3" formatCode="#,##0"/>
    </dxf>
    <dxf>
      <font>
        <name val="Aptos"/>
        <scheme val="none"/>
      </font>
    </dxf>
    <dxf>
      <numFmt numFmtId="14" formatCode="0.00%"/>
    </dxf>
    <dxf>
      <font>
        <name val="Aptos"/>
        <scheme val="none"/>
      </font>
    </dxf>
    <dxf>
      <numFmt numFmtId="166" formatCode="_(* #,##0_);_(* \(#,##0\);_(* &quot;-&quot;??_);_(@_)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vertical="center"/>
    </dxf>
    <dxf>
      <alignment horizontal="center"/>
    </dxf>
    <dxf>
      <numFmt numFmtId="166" formatCode="_(* #,##0_);_(* \(#,##0\);_(* &quot;-&quot;??_);_(@_)"/>
    </dxf>
    <dxf>
      <font>
        <name val="Aptos"/>
        <scheme val="none"/>
      </font>
    </dxf>
    <dxf>
      <font>
        <name val="Aptos"/>
        <scheme val="none"/>
      </font>
    </dxf>
    <dxf>
      <numFmt numFmtId="166" formatCode="_(* #,##0_);_(* \(#,##0\);_(* &quot;-&quot;??_);_(@_)"/>
    </dxf>
    <dxf>
      <numFmt numFmtId="14" formatCode="0.00%"/>
    </dxf>
    <dxf>
      <numFmt numFmtId="167" formatCode="[Color10]\⬆\️;[Red]\⬇\️"/>
    </dxf>
    <dxf>
      <alignment horizontal="center"/>
    </dxf>
    <dxf>
      <alignment vertical="center"/>
    </dxf>
    <dxf>
      <font>
        <sz val="12"/>
      </font>
    </dxf>
    <dxf>
      <alignment vertical="center"/>
    </dxf>
    <dxf>
      <alignment vertical="center"/>
    </dxf>
    <dxf>
      <alignment horizontal="center"/>
    </dxf>
    <dxf>
      <alignment horizontal="center"/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numFmt numFmtId="166" formatCode="_(* #,##0_);_(* \(#,##0\);_(* &quot;-&quot;??_);_(@_)"/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sz val="11"/>
      </font>
    </dxf>
    <dxf>
      <font>
        <name val="Aptos"/>
        <scheme val="none"/>
      </font>
    </dxf>
    <dxf>
      <numFmt numFmtId="166" formatCode="_(* #,##0_);_(* \(#,##0\);_(* &quot;-&quot;??_);_(@_)"/>
    </dxf>
    <dxf>
      <numFmt numFmtId="166" formatCode="_(* #,##0_);_(* \(#,##0\);_(* &quot;-&quot;??_);_(@_)"/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sz val="11"/>
      </font>
    </dxf>
    <dxf>
      <numFmt numFmtId="3" formatCode="#,##0"/>
    </dxf>
    <dxf>
      <font>
        <name val="Aptos"/>
        <scheme val="none"/>
      </font>
    </dxf>
    <dxf>
      <numFmt numFmtId="14" formatCode="0.00%"/>
    </dxf>
    <dxf>
      <font>
        <name val="Aptos"/>
        <scheme val="none"/>
      </font>
    </dxf>
    <dxf>
      <numFmt numFmtId="166" formatCode="_(* #,##0_);_(* \(#,##0\);_(* &quot;-&quot;??_);_(@_)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vertical="center"/>
    </dxf>
    <dxf>
      <alignment horizontal="center"/>
    </dxf>
    <dxf>
      <numFmt numFmtId="166" formatCode="_(* #,##0_);_(* \(#,##0\);_(* &quot;-&quot;??_);_(@_)"/>
    </dxf>
    <dxf>
      <font>
        <name val="Aptos"/>
        <scheme val="none"/>
      </font>
    </dxf>
    <dxf>
      <font>
        <name val="Aptos"/>
        <scheme val="none"/>
      </font>
    </dxf>
    <dxf>
      <numFmt numFmtId="166" formatCode="_(* #,##0_);_(* \(#,##0\);_(* &quot;-&quot;??_);_(@_)"/>
    </dxf>
    <dxf>
      <numFmt numFmtId="14" formatCode="0.00%"/>
    </dxf>
    <dxf>
      <numFmt numFmtId="167" formatCode="[Color10]\⬆\️;[Red]\⬇\️"/>
    </dxf>
    <dxf>
      <alignment horizontal="center"/>
    </dxf>
    <dxf>
      <alignment vertical="center"/>
    </dxf>
    <dxf>
      <font>
        <sz val="12"/>
      </font>
    </dxf>
    <dxf>
      <alignment vertical="center"/>
    </dxf>
    <dxf>
      <alignment vertical="center"/>
    </dxf>
    <dxf>
      <alignment horizontal="center"/>
    </dxf>
    <dxf>
      <alignment horizontal="center"/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numFmt numFmtId="166" formatCode="_(* #,##0_);_(* \(#,##0\);_(* &quot;-&quot;??_);_(@_)"/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sz val="11"/>
      </font>
    </dxf>
    <dxf>
      <font>
        <name val="Aptos"/>
        <scheme val="none"/>
      </font>
    </dxf>
    <dxf>
      <numFmt numFmtId="166" formatCode="_(* #,##0_);_(* \(#,##0\);_(* &quot;-&quot;??_);_(@_)"/>
    </dxf>
    <dxf>
      <numFmt numFmtId="166" formatCode="_(* #,##0_);_(* \(#,##0\);_(* &quot;-&quot;??_);_(@_)"/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sz val="11"/>
      </font>
    </dxf>
    <dxf>
      <numFmt numFmtId="3" formatCode="#,##0"/>
    </dxf>
    <dxf>
      <font>
        <name val="Aptos"/>
        <scheme val="none"/>
      </font>
    </dxf>
    <dxf>
      <numFmt numFmtId="14" formatCode="0.00%"/>
    </dxf>
    <dxf>
      <font>
        <name val="Aptos"/>
        <scheme val="none"/>
      </font>
    </dxf>
    <dxf>
      <numFmt numFmtId="166" formatCode="_(* #,##0_);_(* \(#,##0\);_(* &quot;-&quot;??_);_(@_)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vertical="center"/>
    </dxf>
    <dxf>
      <alignment horizontal="center"/>
    </dxf>
    <dxf>
      <numFmt numFmtId="166" formatCode="_(* #,##0_);_(* \(#,##0\);_(* &quot;-&quot;??_);_(@_)"/>
    </dxf>
    <dxf>
      <font>
        <name val="Aptos"/>
        <scheme val="none"/>
      </font>
    </dxf>
    <dxf>
      <font>
        <name val="Aptos"/>
        <scheme val="none"/>
      </font>
    </dxf>
    <dxf>
      <numFmt numFmtId="166" formatCode="_(* #,##0_);_(* \(#,##0\);_(* &quot;-&quot;??_);_(@_)"/>
    </dxf>
    <dxf>
      <numFmt numFmtId="14" formatCode="0.00%"/>
    </dxf>
    <dxf>
      <numFmt numFmtId="167" formatCode="[Color10]\⬆\️;[Red]\⬇\️"/>
    </dxf>
    <dxf>
      <alignment horizontal="center"/>
    </dxf>
    <dxf>
      <alignment vertical="center"/>
    </dxf>
    <dxf>
      <font>
        <sz val="12"/>
      </font>
    </dxf>
    <dxf>
      <alignment vertical="center"/>
    </dxf>
    <dxf>
      <alignment vertical="center"/>
    </dxf>
    <dxf>
      <alignment horizontal="center"/>
    </dxf>
    <dxf>
      <alignment horizontal="center"/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numFmt numFmtId="166" formatCode="_(* #,##0_);_(* \(#,##0\);_(* &quot;-&quot;??_);_(@_)"/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sz val="11"/>
      </font>
    </dxf>
    <dxf>
      <font>
        <name val="Aptos"/>
        <scheme val="none"/>
      </font>
    </dxf>
    <dxf>
      <numFmt numFmtId="166" formatCode="_(* #,##0_);_(* \(#,##0\);_(* &quot;-&quot;??_);_(@_)"/>
    </dxf>
    <dxf>
      <numFmt numFmtId="166" formatCode="_(* #,##0_);_(* \(#,##0\);_(* &quot;-&quot;??_);_(@_)"/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sz val="11"/>
      </font>
    </dxf>
    <dxf>
      <numFmt numFmtId="3" formatCode="#,##0"/>
    </dxf>
    <dxf>
      <font>
        <name val="Aptos"/>
        <scheme val="none"/>
      </font>
    </dxf>
    <dxf>
      <numFmt numFmtId="14" formatCode="0.00%"/>
    </dxf>
    <dxf>
      <font>
        <name val="Aptos"/>
        <scheme val="none"/>
      </font>
    </dxf>
    <dxf>
      <numFmt numFmtId="166" formatCode="_(* #,##0_);_(* \(#,##0\);_(* &quot;-&quot;??_);_(@_)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vertical="center"/>
    </dxf>
    <dxf>
      <alignment horizontal="center"/>
    </dxf>
    <dxf>
      <numFmt numFmtId="166" formatCode="_(* #,##0_);_(* \(#,##0\);_(* &quot;-&quot;??_);_(@_)"/>
    </dxf>
    <dxf>
      <font>
        <name val="Aptos"/>
        <scheme val="none"/>
      </font>
    </dxf>
    <dxf>
      <font>
        <name val="Aptos"/>
        <scheme val="none"/>
      </font>
    </dxf>
    <dxf>
      <numFmt numFmtId="166" formatCode="_(* #,##0_);_(* \(#,##0\);_(* &quot;-&quot;??_);_(@_)"/>
    </dxf>
    <dxf>
      <numFmt numFmtId="14" formatCode="0.00%"/>
    </dxf>
    <dxf>
      <numFmt numFmtId="167" formatCode="[Color10]\⬆\️;[Red]\⬇\️"/>
    </dxf>
    <dxf>
      <alignment horizontal="center"/>
    </dxf>
    <dxf>
      <alignment vertical="center"/>
    </dxf>
    <dxf>
      <font>
        <sz val="12"/>
      </font>
    </dxf>
    <dxf>
      <alignment vertical="center"/>
    </dxf>
    <dxf>
      <alignment vertical="center"/>
    </dxf>
    <dxf>
      <alignment horizontal="center"/>
    </dxf>
    <dxf>
      <alignment horizontal="center"/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numFmt numFmtId="166" formatCode="_(* #,##0_);_(* \(#,##0\);_(* &quot;-&quot;??_);_(@_)"/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sz val="11"/>
      </font>
    </dxf>
    <dxf>
      <font>
        <name val="Aptos"/>
        <scheme val="none"/>
      </font>
    </dxf>
    <dxf>
      <numFmt numFmtId="166" formatCode="_(* #,##0_);_(* \(#,##0\);_(* &quot;-&quot;??_);_(@_)"/>
    </dxf>
    <dxf>
      <numFmt numFmtId="166" formatCode="_(* #,##0_);_(* \(#,##0\);_(* &quot;-&quot;??_);_(@_)"/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sz val="11"/>
      </font>
    </dxf>
    <dxf>
      <numFmt numFmtId="3" formatCode="#,##0"/>
    </dxf>
    <dxf>
      <font>
        <name val="Aptos"/>
        <scheme val="none"/>
      </font>
    </dxf>
    <dxf>
      <numFmt numFmtId="14" formatCode="0.00%"/>
    </dxf>
    <dxf>
      <font>
        <name val="Aptos"/>
        <scheme val="none"/>
      </font>
    </dxf>
    <dxf>
      <numFmt numFmtId="166" formatCode="_(* #,##0_);_(* \(#,##0\);_(* &quot;-&quot;??_);_(@_)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vertical="center"/>
    </dxf>
    <dxf>
      <alignment horizontal="center"/>
    </dxf>
    <dxf>
      <numFmt numFmtId="166" formatCode="_(* #,##0_);_(* \(#,##0\);_(* &quot;-&quot;??_);_(@_)"/>
    </dxf>
    <dxf>
      <font>
        <name val="Aptos"/>
        <scheme val="none"/>
      </font>
    </dxf>
    <dxf>
      <font>
        <name val="Aptos"/>
        <scheme val="none"/>
      </font>
    </dxf>
    <dxf>
      <numFmt numFmtId="166" formatCode="_(* #,##0_);_(* \(#,##0\);_(* &quot;-&quot;??_);_(@_)"/>
    </dxf>
    <dxf>
      <numFmt numFmtId="14" formatCode="0.00%"/>
    </dxf>
    <dxf>
      <numFmt numFmtId="167" formatCode="[Color10]\⬆\️;[Red]\⬇\️"/>
    </dxf>
    <dxf>
      <alignment horizontal="center"/>
    </dxf>
    <dxf>
      <alignment vertical="center"/>
    </dxf>
    <dxf>
      <font>
        <sz val="12"/>
      </font>
    </dxf>
    <dxf>
      <alignment vertical="center"/>
    </dxf>
    <dxf>
      <alignment vertical="center"/>
    </dxf>
    <dxf>
      <alignment horizontal="center"/>
    </dxf>
    <dxf>
      <alignment horizontal="center"/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numFmt numFmtId="166" formatCode="_(* #,##0_);_(* \(#,##0\);_(* &quot;-&quot;??_);_(@_)"/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sz val="11"/>
      </font>
    </dxf>
    <dxf>
      <font>
        <name val="Aptos"/>
        <scheme val="none"/>
      </font>
    </dxf>
    <dxf>
      <numFmt numFmtId="166" formatCode="_(* #,##0_);_(* \(#,##0\);_(* &quot;-&quot;??_);_(@_)"/>
    </dxf>
    <dxf>
      <numFmt numFmtId="166" formatCode="_(* #,##0_);_(* \(#,##0\);_(* &quot;-&quot;??_);_(@_)"/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sz val="11"/>
      </font>
    </dxf>
    <dxf>
      <numFmt numFmtId="3" formatCode="#,##0"/>
    </dxf>
    <dxf>
      <font>
        <name val="Aptos"/>
        <scheme val="none"/>
      </font>
    </dxf>
    <dxf>
      <numFmt numFmtId="14" formatCode="0.00%"/>
    </dxf>
    <dxf>
      <font>
        <name val="Aptos"/>
        <scheme val="none"/>
      </font>
    </dxf>
    <dxf>
      <numFmt numFmtId="166" formatCode="_(* #,##0_);_(* \(#,##0\);_(* &quot;-&quot;??_);_(@_)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vertical="center"/>
    </dxf>
    <dxf>
      <alignment horizontal="center"/>
    </dxf>
    <dxf>
      <numFmt numFmtId="166" formatCode="_(* #,##0_);_(* \(#,##0\);_(* &quot;-&quot;??_);_(@_)"/>
    </dxf>
    <dxf>
      <font>
        <name val="Aptos"/>
        <scheme val="none"/>
      </font>
    </dxf>
    <dxf>
      <font>
        <name val="Aptos"/>
        <scheme val="none"/>
      </font>
    </dxf>
    <dxf>
      <numFmt numFmtId="166" formatCode="_(* #,##0_);_(* \(#,##0\);_(* &quot;-&quot;??_);_(@_)"/>
    </dxf>
    <dxf>
      <numFmt numFmtId="14" formatCode="0.00%"/>
    </dxf>
    <dxf>
      <numFmt numFmtId="167" formatCode="[Color10]\⬆\️;[Red]\⬇\️"/>
    </dxf>
    <dxf>
      <alignment horizontal="center"/>
    </dxf>
    <dxf>
      <alignment vertical="center"/>
    </dxf>
    <dxf>
      <font>
        <sz val="12"/>
      </font>
    </dxf>
    <dxf>
      <alignment vertical="center"/>
    </dxf>
    <dxf>
      <alignment vertical="center"/>
    </dxf>
    <dxf>
      <alignment horizontal="center"/>
    </dxf>
    <dxf>
      <alignment horizontal="center"/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numFmt numFmtId="166" formatCode="_(* #,##0_);_(* \(#,##0\);_(* &quot;-&quot;??_);_(@_)"/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sz val="11"/>
      </font>
    </dxf>
    <dxf>
      <font>
        <name val="Aptos"/>
        <scheme val="none"/>
      </font>
    </dxf>
    <dxf>
      <numFmt numFmtId="166" formatCode="_(* #,##0_);_(* \(#,##0\);_(* &quot;-&quot;??_);_(@_)"/>
    </dxf>
    <dxf>
      <numFmt numFmtId="166" formatCode="_(* #,##0_);_(* \(#,##0\);_(* &quot;-&quot;??_);_(@_)"/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sz val="11"/>
      </font>
    </dxf>
    <dxf>
      <numFmt numFmtId="3" formatCode="#,##0"/>
    </dxf>
    <dxf>
      <font>
        <name val="Aptos"/>
        <scheme val="none"/>
      </font>
    </dxf>
    <dxf>
      <numFmt numFmtId="14" formatCode="0.00%"/>
    </dxf>
    <dxf>
      <font>
        <name val="Aptos"/>
        <scheme val="none"/>
      </font>
    </dxf>
    <dxf>
      <numFmt numFmtId="166" formatCode="_(* #,##0_);_(* \(#,##0\);_(* &quot;-&quot;??_);_(@_)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vertical="center"/>
    </dxf>
    <dxf>
      <alignment horizontal="center"/>
    </dxf>
    <dxf>
      <numFmt numFmtId="166" formatCode="_(* #,##0_);_(* \(#,##0\);_(* &quot;-&quot;??_);_(@_)"/>
    </dxf>
    <dxf>
      <font>
        <name val="Aptos"/>
        <scheme val="none"/>
      </font>
    </dxf>
    <dxf>
      <font>
        <name val="Aptos"/>
        <scheme val="none"/>
      </font>
    </dxf>
    <dxf>
      <numFmt numFmtId="166" formatCode="_(* #,##0_);_(* \(#,##0\);_(* &quot;-&quot;??_);_(@_)"/>
    </dxf>
    <dxf>
      <numFmt numFmtId="14" formatCode="0.00%"/>
    </dxf>
    <dxf>
      <numFmt numFmtId="167" formatCode="[Color10]\⬆\️;[Red]\⬇\️"/>
    </dxf>
    <dxf>
      <alignment horizontal="center"/>
    </dxf>
    <dxf>
      <alignment vertical="center"/>
    </dxf>
    <dxf>
      <font>
        <sz val="12"/>
      </font>
    </dxf>
    <dxf>
      <alignment vertical="center"/>
    </dxf>
    <dxf>
      <alignment vertical="center"/>
    </dxf>
    <dxf>
      <alignment horizontal="center"/>
    </dxf>
    <dxf>
      <alignment horizontal="center"/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numFmt numFmtId="166" formatCode="_(* #,##0_);_(* \(#,##0\);_(* &quot;-&quot;??_);_(@_)"/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sz val="11"/>
      </font>
    </dxf>
    <dxf>
      <font>
        <name val="Aptos"/>
        <scheme val="none"/>
      </font>
    </dxf>
    <dxf>
      <numFmt numFmtId="166" formatCode="_(* #,##0_);_(* \(#,##0\);_(* &quot;-&quot;??_);_(@_)"/>
    </dxf>
    <dxf>
      <numFmt numFmtId="166" formatCode="_(* #,##0_);_(* \(#,##0\);_(* &quot;-&quot;??_);_(@_)"/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sz val="11"/>
      </font>
    </dxf>
    <dxf>
      <numFmt numFmtId="3" formatCode="#,##0"/>
    </dxf>
    <dxf>
      <font>
        <name val="Aptos"/>
        <scheme val="none"/>
      </font>
    </dxf>
    <dxf>
      <numFmt numFmtId="14" formatCode="0.00%"/>
    </dxf>
    <dxf>
      <font>
        <name val="Aptos"/>
        <scheme val="none"/>
      </font>
    </dxf>
    <dxf>
      <numFmt numFmtId="166" formatCode="_(* #,##0_);_(* \(#,##0\);_(* &quot;-&quot;??_);_(@_)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vertical="center"/>
    </dxf>
    <dxf>
      <alignment horizontal="center"/>
    </dxf>
    <dxf>
      <numFmt numFmtId="166" formatCode="_(* #,##0_);_(* \(#,##0\);_(* &quot;-&quot;??_);_(@_)"/>
    </dxf>
    <dxf>
      <font>
        <name val="Aptos"/>
        <scheme val="none"/>
      </font>
    </dxf>
    <dxf>
      <font>
        <name val="Aptos"/>
        <scheme val="none"/>
      </font>
    </dxf>
    <dxf>
      <numFmt numFmtId="166" formatCode="_(* #,##0_);_(* \(#,##0\);_(* &quot;-&quot;??_);_(@_)"/>
    </dxf>
    <dxf>
      <numFmt numFmtId="14" formatCode="0.00%"/>
    </dxf>
    <dxf>
      <numFmt numFmtId="167" formatCode="[Color10]\⬆\️;[Red]\⬇\️"/>
    </dxf>
    <dxf>
      <alignment horizontal="center"/>
    </dxf>
    <dxf>
      <alignment vertical="center"/>
    </dxf>
    <dxf>
      <font>
        <sz val="12"/>
      </font>
    </dxf>
    <dxf>
      <alignment vertical="center"/>
    </dxf>
    <dxf>
      <alignment vertical="center"/>
    </dxf>
    <dxf>
      <alignment horizontal="center"/>
    </dxf>
    <dxf>
      <alignment horizontal="center"/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numFmt numFmtId="166" formatCode="_(* #,##0_);_(* \(#,##0\);_(* &quot;-&quot;??_);_(@_)"/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sz val="11"/>
      </font>
    </dxf>
    <dxf>
      <font>
        <name val="Aptos"/>
        <scheme val="none"/>
      </font>
    </dxf>
    <dxf>
      <numFmt numFmtId="166" formatCode="_(* #,##0_);_(* \(#,##0\);_(* &quot;-&quot;??_);_(@_)"/>
    </dxf>
    <dxf>
      <numFmt numFmtId="166" formatCode="_(* #,##0_);_(* \(#,##0\);_(* &quot;-&quot;??_);_(@_)"/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sz val="11"/>
      </font>
    </dxf>
    <dxf>
      <numFmt numFmtId="3" formatCode="#,##0"/>
    </dxf>
    <dxf>
      <font>
        <name val="Aptos"/>
        <scheme val="none"/>
      </font>
    </dxf>
    <dxf>
      <numFmt numFmtId="14" formatCode="0.00%"/>
    </dxf>
    <dxf>
      <font>
        <name val="Aptos"/>
        <scheme val="none"/>
      </font>
    </dxf>
    <dxf>
      <numFmt numFmtId="166" formatCode="_(* #,##0_);_(* \(#,##0\);_(* &quot;-&quot;??_);_(@_)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vertical="center"/>
    </dxf>
    <dxf>
      <alignment horizontal="center"/>
    </dxf>
    <dxf>
      <numFmt numFmtId="166" formatCode="_(* #,##0_);_(* \(#,##0\);_(* &quot;-&quot;??_);_(@_)"/>
    </dxf>
    <dxf>
      <font>
        <name val="Aptos"/>
        <scheme val="none"/>
      </font>
    </dxf>
    <dxf>
      <font>
        <name val="Aptos"/>
        <scheme val="none"/>
      </font>
    </dxf>
    <dxf>
      <numFmt numFmtId="166" formatCode="_(* #,##0_);_(* \(#,##0\);_(* &quot;-&quot;??_);_(@_)"/>
    </dxf>
    <dxf>
      <numFmt numFmtId="14" formatCode="0.00%"/>
    </dxf>
    <dxf>
      <numFmt numFmtId="167" formatCode="[Color10]\⬆\️;[Red]\⬇\️"/>
    </dxf>
    <dxf>
      <alignment horizontal="center"/>
    </dxf>
    <dxf>
      <alignment vertical="center"/>
    </dxf>
    <dxf>
      <font>
        <sz val="12"/>
      </font>
    </dxf>
    <dxf>
      <alignment vertical="center"/>
    </dxf>
    <dxf>
      <alignment vertical="center"/>
    </dxf>
    <dxf>
      <alignment horizontal="center"/>
    </dxf>
    <dxf>
      <alignment horizontal="center"/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numFmt numFmtId="166" formatCode="_(* #,##0_);_(* \(#,##0\);_(* &quot;-&quot;??_);_(@_)"/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sz val="11"/>
      </font>
    </dxf>
    <dxf>
      <font>
        <name val="Aptos"/>
        <scheme val="none"/>
      </font>
    </dxf>
    <dxf>
      <numFmt numFmtId="166" formatCode="_(* #,##0_);_(* \(#,##0\);_(* &quot;-&quot;??_);_(@_)"/>
    </dxf>
    <dxf>
      <numFmt numFmtId="166" formatCode="_(* #,##0_);_(* \(#,##0\);_(* &quot;-&quot;??_);_(@_)"/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sz val="11"/>
      </font>
    </dxf>
    <dxf>
      <numFmt numFmtId="3" formatCode="#,##0"/>
    </dxf>
    <dxf>
      <font>
        <name val="Aptos"/>
        <scheme val="none"/>
      </font>
    </dxf>
    <dxf>
      <numFmt numFmtId="14" formatCode="0.00%"/>
    </dxf>
    <dxf>
      <font>
        <name val="Aptos"/>
        <scheme val="none"/>
      </font>
    </dxf>
    <dxf>
      <numFmt numFmtId="166" formatCode="_(* #,##0_);_(* \(#,##0\);_(* &quot;-&quot;??_);_(@_)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vertical="center"/>
    </dxf>
    <dxf>
      <alignment horizontal="center"/>
    </dxf>
    <dxf>
      <numFmt numFmtId="166" formatCode="_(* #,##0_);_(* \(#,##0\);_(* &quot;-&quot;??_);_(@_)"/>
    </dxf>
    <dxf>
      <font>
        <name val="Aptos"/>
        <scheme val="none"/>
      </font>
    </dxf>
    <dxf>
      <font>
        <name val="Aptos"/>
        <scheme val="none"/>
      </font>
    </dxf>
    <dxf>
      <numFmt numFmtId="166" formatCode="_(* #,##0_);_(* \(#,##0\);_(* &quot;-&quot;??_);_(@_)"/>
    </dxf>
    <dxf>
      <numFmt numFmtId="14" formatCode="0.00%"/>
    </dxf>
    <dxf>
      <numFmt numFmtId="167" formatCode="[Color10]\⬆\️;[Red]\⬇\️"/>
    </dxf>
    <dxf>
      <alignment horizontal="center"/>
    </dxf>
    <dxf>
      <alignment vertical="center"/>
    </dxf>
    <dxf>
      <font>
        <sz val="12"/>
      </font>
    </dxf>
    <dxf>
      <alignment vertical="center"/>
    </dxf>
    <dxf>
      <alignment vertical="center"/>
    </dxf>
    <dxf>
      <alignment horizontal="center"/>
    </dxf>
    <dxf>
      <alignment horizontal="center"/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numFmt numFmtId="166" formatCode="_(* #,##0_);_(* \(#,##0\);_(* &quot;-&quot;??_);_(@_)"/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sz val="11"/>
      </font>
    </dxf>
    <dxf>
      <font>
        <name val="Aptos"/>
        <scheme val="none"/>
      </font>
    </dxf>
    <dxf>
      <numFmt numFmtId="166" formatCode="_(* #,##0_);_(* \(#,##0\);_(* &quot;-&quot;??_);_(@_)"/>
    </dxf>
    <dxf>
      <numFmt numFmtId="166" formatCode="_(* #,##0_);_(* \(#,##0\);_(* &quot;-&quot;??_);_(@_)"/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sz val="11"/>
      </font>
    </dxf>
    <dxf>
      <numFmt numFmtId="3" formatCode="#,##0"/>
    </dxf>
    <dxf>
      <font>
        <name val="Aptos"/>
        <scheme val="none"/>
      </font>
    </dxf>
    <dxf>
      <numFmt numFmtId="14" formatCode="0.00%"/>
    </dxf>
    <dxf>
      <font>
        <name val="Aptos"/>
        <scheme val="none"/>
      </font>
    </dxf>
    <dxf>
      <numFmt numFmtId="166" formatCode="_(* #,##0_);_(* \(#,##0\);_(* &quot;-&quot;??_);_(@_)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vertical="center"/>
    </dxf>
    <dxf>
      <alignment horizontal="center"/>
    </dxf>
    <dxf>
      <numFmt numFmtId="166" formatCode="_(* #,##0_);_(* \(#,##0\);_(* &quot;-&quot;??_);_(@_)"/>
    </dxf>
    <dxf>
      <font>
        <name val="Aptos"/>
        <scheme val="none"/>
      </font>
    </dxf>
    <dxf>
      <font>
        <name val="Aptos"/>
        <scheme val="none"/>
      </font>
    </dxf>
    <dxf>
      <numFmt numFmtId="166" formatCode="_(* #,##0_);_(* \(#,##0\);_(* &quot;-&quot;??_);_(@_)"/>
    </dxf>
    <dxf>
      <numFmt numFmtId="14" formatCode="0.00%"/>
    </dxf>
    <dxf>
      <numFmt numFmtId="167" formatCode="[Color10]\⬆\️;[Red]\⬇\️"/>
    </dxf>
    <dxf>
      <alignment horizontal="center"/>
    </dxf>
    <dxf>
      <alignment vertical="center"/>
    </dxf>
    <dxf>
      <font>
        <sz val="12"/>
      </font>
    </dxf>
    <dxf>
      <alignment vertical="center"/>
    </dxf>
    <dxf>
      <alignment vertical="center"/>
    </dxf>
    <dxf>
      <alignment horizontal="center"/>
    </dxf>
    <dxf>
      <alignment horizontal="center"/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numFmt numFmtId="166" formatCode="_(* #,##0_);_(* \(#,##0\);_(* &quot;-&quot;??_);_(@_)"/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sz val="11"/>
      </font>
    </dxf>
    <dxf>
      <font>
        <name val="Aptos"/>
        <scheme val="none"/>
      </font>
    </dxf>
    <dxf>
      <numFmt numFmtId="166" formatCode="_(* #,##0_);_(* \(#,##0\);_(* &quot;-&quot;??_);_(@_)"/>
    </dxf>
    <dxf>
      <numFmt numFmtId="166" formatCode="_(* #,##0_);_(* \(#,##0\);_(* &quot;-&quot;??_);_(@_)"/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sz val="11"/>
      </font>
    </dxf>
    <dxf>
      <numFmt numFmtId="3" formatCode="#,##0"/>
    </dxf>
    <dxf>
      <font>
        <name val="Aptos"/>
        <scheme val="none"/>
      </font>
    </dxf>
    <dxf>
      <numFmt numFmtId="14" formatCode="0.00%"/>
    </dxf>
    <dxf>
      <font>
        <name val="Aptos"/>
        <scheme val="none"/>
      </font>
    </dxf>
    <dxf>
      <numFmt numFmtId="166" formatCode="_(* #,##0_);_(* \(#,##0\);_(* &quot;-&quot;??_);_(@_)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vertical="center"/>
    </dxf>
    <dxf>
      <alignment horizontal="center"/>
    </dxf>
    <dxf>
      <numFmt numFmtId="166" formatCode="_(* #,##0_);_(* \(#,##0\);_(* &quot;-&quot;??_);_(@_)"/>
    </dxf>
    <dxf>
      <font>
        <name val="Aptos"/>
        <scheme val="none"/>
      </font>
    </dxf>
    <dxf>
      <font>
        <name val="Aptos"/>
        <scheme val="none"/>
      </font>
    </dxf>
    <dxf>
      <numFmt numFmtId="166" formatCode="_(* #,##0_);_(* \(#,##0\);_(* &quot;-&quot;??_);_(@_)"/>
    </dxf>
    <dxf>
      <numFmt numFmtId="14" formatCode="0.00%"/>
    </dxf>
    <dxf>
      <numFmt numFmtId="167" formatCode="[Color10]\⬆\️;[Red]\⬇\️"/>
    </dxf>
    <dxf>
      <alignment horizontal="center"/>
    </dxf>
    <dxf>
      <alignment vertical="center"/>
    </dxf>
    <dxf>
      <font>
        <sz val="12"/>
      </font>
    </dxf>
    <dxf>
      <alignment vertical="center"/>
    </dxf>
    <dxf>
      <alignment vertical="center"/>
    </dxf>
    <dxf>
      <alignment horizontal="center"/>
    </dxf>
    <dxf>
      <alignment horizontal="center"/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numFmt numFmtId="166" formatCode="_(* #,##0_);_(* \(#,##0\);_(* &quot;-&quot;??_);_(@_)"/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sz val="11"/>
      </font>
    </dxf>
    <dxf>
      <font>
        <name val="Aptos"/>
        <scheme val="none"/>
      </font>
    </dxf>
    <dxf>
      <numFmt numFmtId="166" formatCode="_(* #,##0_);_(* \(#,##0\);_(* &quot;-&quot;??_);_(@_)"/>
    </dxf>
    <dxf>
      <numFmt numFmtId="166" formatCode="_(* #,##0_);_(* \(#,##0\);_(* &quot;-&quot;??_);_(@_)"/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sz val="11"/>
      </font>
    </dxf>
    <dxf>
      <numFmt numFmtId="3" formatCode="#,##0"/>
    </dxf>
    <dxf>
      <font>
        <name val="Aptos"/>
        <scheme val="none"/>
      </font>
    </dxf>
    <dxf>
      <numFmt numFmtId="14" formatCode="0.00%"/>
    </dxf>
    <dxf>
      <font>
        <name val="Aptos"/>
        <scheme val="none"/>
      </font>
    </dxf>
    <dxf>
      <numFmt numFmtId="166" formatCode="_(* #,##0_);_(* \(#,##0\);_(* &quot;-&quot;??_);_(@_)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vertical="center"/>
    </dxf>
    <dxf>
      <alignment horizontal="center"/>
    </dxf>
    <dxf>
      <numFmt numFmtId="166" formatCode="_(* #,##0_);_(* \(#,##0\);_(* &quot;-&quot;??_);_(@_)"/>
    </dxf>
    <dxf>
      <font>
        <name val="Aptos"/>
        <scheme val="none"/>
      </font>
    </dxf>
    <dxf>
      <font>
        <name val="Aptos"/>
        <scheme val="none"/>
      </font>
    </dxf>
    <dxf>
      <numFmt numFmtId="166" formatCode="_(* #,##0_);_(* \(#,##0\);_(* &quot;-&quot;??_);_(@_)"/>
    </dxf>
    <dxf>
      <numFmt numFmtId="14" formatCode="0.00%"/>
    </dxf>
    <dxf>
      <numFmt numFmtId="167" formatCode="[Color10]\⬆\️;[Red]\⬇\️"/>
    </dxf>
    <dxf>
      <alignment horizontal="center"/>
    </dxf>
    <dxf>
      <alignment vertical="center"/>
    </dxf>
    <dxf>
      <font>
        <sz val="12"/>
      </font>
    </dxf>
    <dxf>
      <alignment vertical="center"/>
    </dxf>
    <dxf>
      <alignment vertical="center"/>
    </dxf>
    <dxf>
      <alignment horizontal="center"/>
    </dxf>
    <dxf>
      <alignment horizontal="center"/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numFmt numFmtId="166" formatCode="_(* #,##0_);_(* \(#,##0\);_(* &quot;-&quot;??_);_(@_)"/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sz val="11"/>
      </font>
    </dxf>
    <dxf>
      <font>
        <name val="Aptos"/>
        <scheme val="none"/>
      </font>
    </dxf>
    <dxf>
      <numFmt numFmtId="166" formatCode="_(* #,##0_);_(* \(#,##0\);_(* &quot;-&quot;??_);_(@_)"/>
    </dxf>
    <dxf>
      <numFmt numFmtId="166" formatCode="_(* #,##0_);_(* \(#,##0\);_(* &quot;-&quot;??_);_(@_)"/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sz val="11"/>
      </font>
    </dxf>
    <dxf>
      <numFmt numFmtId="3" formatCode="#,##0"/>
    </dxf>
    <dxf>
      <font>
        <name val="Aptos"/>
        <scheme val="none"/>
      </font>
    </dxf>
    <dxf>
      <numFmt numFmtId="14" formatCode="0.00%"/>
    </dxf>
    <dxf>
      <font>
        <name val="Aptos"/>
        <scheme val="none"/>
      </font>
    </dxf>
    <dxf>
      <numFmt numFmtId="166" formatCode="_(* #,##0_);_(* \(#,##0\);_(* &quot;-&quot;??_);_(@_)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vertical="center"/>
    </dxf>
    <dxf>
      <alignment horizontal="center"/>
    </dxf>
    <dxf>
      <numFmt numFmtId="166" formatCode="_(* #,##0_);_(* \(#,##0\);_(* &quot;-&quot;??_);_(@_)"/>
    </dxf>
    <dxf>
      <font>
        <name val="Aptos"/>
        <scheme val="none"/>
      </font>
    </dxf>
    <dxf>
      <font>
        <name val="Aptos"/>
        <scheme val="none"/>
      </font>
    </dxf>
    <dxf>
      <numFmt numFmtId="166" formatCode="_(* #,##0_);_(* \(#,##0\);_(* &quot;-&quot;??_);_(@_)"/>
    </dxf>
    <dxf>
      <numFmt numFmtId="14" formatCode="0.00%"/>
    </dxf>
    <dxf>
      <numFmt numFmtId="167" formatCode="[Color10]\⬆\️;[Red]\⬇\️"/>
    </dxf>
    <dxf>
      <alignment horizontal="center"/>
    </dxf>
    <dxf>
      <alignment vertical="center"/>
    </dxf>
    <dxf>
      <font>
        <sz val="12"/>
      </font>
    </dxf>
    <dxf>
      <alignment vertical="center"/>
    </dxf>
    <dxf>
      <alignment vertical="center"/>
    </dxf>
    <dxf>
      <alignment horizontal="center"/>
    </dxf>
    <dxf>
      <alignment horizontal="center"/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numFmt numFmtId="166" formatCode="_(* #,##0_);_(* \(#,##0\);_(* &quot;-&quot;??_);_(@_)"/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sz val="11"/>
      </font>
    </dxf>
    <dxf>
      <font>
        <name val="Aptos"/>
        <scheme val="none"/>
      </font>
    </dxf>
    <dxf>
      <numFmt numFmtId="166" formatCode="_(* #,##0_);_(* \(#,##0\);_(* &quot;-&quot;??_);_(@_)"/>
    </dxf>
    <dxf>
      <numFmt numFmtId="166" formatCode="_(* #,##0_);_(* \(#,##0\);_(* &quot;-&quot;??_);_(@_)"/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sz val="11"/>
      </font>
    </dxf>
    <dxf>
      <numFmt numFmtId="3" formatCode="#,##0"/>
    </dxf>
    <dxf>
      <font>
        <name val="Aptos"/>
        <scheme val="none"/>
      </font>
    </dxf>
    <dxf>
      <numFmt numFmtId="14" formatCode="0.00%"/>
    </dxf>
    <dxf>
      <font>
        <name val="Aptos"/>
        <scheme val="none"/>
      </font>
    </dxf>
    <dxf>
      <numFmt numFmtId="166" formatCode="_(* #,##0_);_(* \(#,##0\);_(* &quot;-&quot;??_);_(@_)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vertical="center"/>
    </dxf>
    <dxf>
      <alignment horizontal="center"/>
    </dxf>
    <dxf>
      <numFmt numFmtId="166" formatCode="_(* #,##0_);_(* \(#,##0\);_(* &quot;-&quot;??_);_(@_)"/>
    </dxf>
    <dxf>
      <font>
        <name val="Aptos"/>
        <scheme val="none"/>
      </font>
    </dxf>
    <dxf>
      <font>
        <name val="Aptos"/>
        <scheme val="none"/>
      </font>
    </dxf>
    <dxf>
      <numFmt numFmtId="166" formatCode="_(* #,##0_);_(* \(#,##0\);_(* &quot;-&quot;??_);_(@_)"/>
    </dxf>
    <dxf>
      <numFmt numFmtId="14" formatCode="0.00%"/>
    </dxf>
    <dxf>
      <numFmt numFmtId="167" formatCode="[Color10]\⬆\️;[Red]\⬇\️"/>
    </dxf>
    <dxf>
      <alignment horizontal="center"/>
    </dxf>
    <dxf>
      <alignment vertical="center"/>
    </dxf>
    <dxf>
      <font>
        <sz val="12"/>
      </font>
    </dxf>
    <dxf>
      <alignment vertical="center"/>
    </dxf>
    <dxf>
      <alignment vertical="center"/>
    </dxf>
    <dxf>
      <alignment horizontal="center"/>
    </dxf>
    <dxf>
      <alignment horizontal="center"/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numFmt numFmtId="166" formatCode="_(* #,##0_);_(* \(#,##0\);_(* &quot;-&quot;??_);_(@_)"/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sz val="11"/>
      </font>
    </dxf>
    <dxf>
      <font>
        <name val="Aptos"/>
        <scheme val="none"/>
      </font>
    </dxf>
    <dxf>
      <numFmt numFmtId="166" formatCode="_(* #,##0_);_(* \(#,##0\);_(* &quot;-&quot;??_);_(@_)"/>
    </dxf>
    <dxf>
      <numFmt numFmtId="166" formatCode="_(* #,##0_);_(* \(#,##0\);_(* &quot;-&quot;??_);_(@_)"/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sz val="11"/>
      </font>
    </dxf>
    <dxf>
      <numFmt numFmtId="3" formatCode="#,##0"/>
    </dxf>
    <dxf>
      <font>
        <name val="Aptos"/>
        <scheme val="none"/>
      </font>
    </dxf>
    <dxf>
      <numFmt numFmtId="14" formatCode="0.00%"/>
    </dxf>
    <dxf>
      <font>
        <name val="Aptos"/>
        <scheme val="none"/>
      </font>
    </dxf>
    <dxf>
      <numFmt numFmtId="166" formatCode="_(* #,##0_);_(* \(#,##0\);_(* &quot;-&quot;??_);_(@_)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vertical="center"/>
    </dxf>
    <dxf>
      <alignment horizontal="center"/>
    </dxf>
    <dxf>
      <numFmt numFmtId="166" formatCode="_(* #,##0_);_(* \(#,##0\);_(* &quot;-&quot;??_);_(@_)"/>
    </dxf>
    <dxf>
      <font>
        <name val="Aptos"/>
        <scheme val="none"/>
      </font>
    </dxf>
    <dxf>
      <font>
        <name val="Aptos"/>
        <scheme val="none"/>
      </font>
    </dxf>
    <dxf>
      <numFmt numFmtId="166" formatCode="_(* #,##0_);_(* \(#,##0\);_(* &quot;-&quot;??_);_(@_)"/>
    </dxf>
    <dxf>
      <numFmt numFmtId="14" formatCode="0.00%"/>
    </dxf>
    <dxf>
      <numFmt numFmtId="167" formatCode="[Color10]\⬆\️;[Red]\⬇\️"/>
    </dxf>
    <dxf>
      <alignment horizontal="center"/>
    </dxf>
    <dxf>
      <alignment vertical="center"/>
    </dxf>
    <dxf>
      <font>
        <sz val="12"/>
      </font>
    </dxf>
    <dxf>
      <alignment vertical="center"/>
    </dxf>
    <dxf>
      <alignment vertical="center"/>
    </dxf>
    <dxf>
      <alignment horizontal="center"/>
    </dxf>
    <dxf>
      <alignment horizontal="center"/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numFmt numFmtId="166" formatCode="_(* #,##0_);_(* \(#,##0\);_(* &quot;-&quot;??_);_(@_)"/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sz val="11"/>
      </font>
    </dxf>
    <dxf>
      <font>
        <name val="Aptos"/>
        <scheme val="none"/>
      </font>
    </dxf>
    <dxf>
      <numFmt numFmtId="166" formatCode="_(* #,##0_);_(* \(#,##0\);_(* &quot;-&quot;??_);_(@_)"/>
    </dxf>
    <dxf>
      <numFmt numFmtId="166" formatCode="_(* #,##0_);_(* \(#,##0\);_(* &quot;-&quot;??_);_(@_)"/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sz val="11"/>
      </font>
    </dxf>
    <dxf>
      <numFmt numFmtId="3" formatCode="#,##0"/>
    </dxf>
    <dxf>
      <font>
        <name val="Aptos"/>
        <scheme val="none"/>
      </font>
    </dxf>
    <dxf>
      <numFmt numFmtId="14" formatCode="0.00%"/>
    </dxf>
    <dxf>
      <font>
        <name val="Aptos"/>
        <scheme val="none"/>
      </font>
    </dxf>
    <dxf>
      <numFmt numFmtId="166" formatCode="_(* #,##0_);_(* \(#,##0\);_(* &quot;-&quot;??_);_(@_)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vertical="center"/>
    </dxf>
    <dxf>
      <alignment horizontal="center"/>
    </dxf>
    <dxf>
      <numFmt numFmtId="166" formatCode="_(* #,##0_);_(* \(#,##0\);_(* &quot;-&quot;??_);_(@_)"/>
    </dxf>
    <dxf>
      <font>
        <name val="Aptos"/>
        <scheme val="none"/>
      </font>
    </dxf>
    <dxf>
      <font>
        <name val="Aptos"/>
        <scheme val="none"/>
      </font>
    </dxf>
    <dxf>
      <numFmt numFmtId="166" formatCode="_(* #,##0_);_(* \(#,##0\);_(* &quot;-&quot;??_);_(@_)"/>
    </dxf>
    <dxf>
      <numFmt numFmtId="14" formatCode="0.00%"/>
    </dxf>
    <dxf>
      <numFmt numFmtId="167" formatCode="[Color10]\⬆\️;[Red]\⬇\️"/>
    </dxf>
    <dxf>
      <alignment horizontal="center"/>
    </dxf>
    <dxf>
      <alignment vertical="center"/>
    </dxf>
    <dxf>
      <font>
        <sz val="12"/>
      </font>
    </dxf>
    <dxf>
      <alignment vertical="center"/>
    </dxf>
    <dxf>
      <alignment vertical="center"/>
    </dxf>
    <dxf>
      <alignment horizontal="center"/>
    </dxf>
    <dxf>
      <alignment horizontal="center"/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numFmt numFmtId="166" formatCode="_(* #,##0_);_(* \(#,##0\);_(* &quot;-&quot;??_);_(@_)"/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sz val="11"/>
      </font>
    </dxf>
    <dxf>
      <font>
        <name val="Aptos"/>
        <scheme val="none"/>
      </font>
    </dxf>
    <dxf>
      <font>
        <name val="Aptos"/>
        <scheme val="none"/>
      </font>
    </dxf>
    <dxf>
      <numFmt numFmtId="166" formatCode="_(* #,##0_);_(* \(#,##0\);_(* &quot;-&quot;??_);_(@_)"/>
    </dxf>
    <dxf>
      <numFmt numFmtId="14" formatCode="0.00%"/>
    </dxf>
    <dxf>
      <numFmt numFmtId="167" formatCode="[Color10]\⬆\️;[Red]\⬇\️"/>
    </dxf>
    <dxf>
      <alignment horizontal="center"/>
    </dxf>
    <dxf>
      <alignment vertical="center"/>
    </dxf>
    <dxf>
      <font>
        <sz val="12"/>
      </font>
    </dxf>
    <dxf>
      <alignment vertical="center"/>
    </dxf>
    <dxf>
      <alignment vertical="center"/>
    </dxf>
    <dxf>
      <alignment horizontal="center"/>
    </dxf>
    <dxf>
      <alignment horizontal="center"/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vertical="center"/>
    </dxf>
    <dxf>
      <alignment horizontal="center"/>
    </dxf>
    <dxf>
      <numFmt numFmtId="166" formatCode="_(* #,##0_);_(* \(#,##0\);_(* &quot;-&quot;??_);_(@_)"/>
    </dxf>
    <dxf>
      <font>
        <name val="Aptos"/>
        <scheme val="none"/>
      </font>
    </dxf>
    <dxf>
      <numFmt numFmtId="166" formatCode="_(* #,##0_);_(* \(#,##0\);_(* &quot;-&quot;??_);_(@_)"/>
    </dxf>
    <dxf>
      <numFmt numFmtId="166" formatCode="_(* #,##0_);_(* \(#,##0\);_(* &quot;-&quot;??_);_(@_)"/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sz val="11"/>
      </font>
    </dxf>
    <dxf>
      <font>
        <name val="Aptos"/>
        <scheme val="none"/>
      </font>
    </dxf>
    <dxf>
      <numFmt numFmtId="14" formatCode="0.00%"/>
    </dxf>
    <dxf>
      <font>
        <name val="Aptos"/>
        <scheme val="none"/>
      </font>
    </dxf>
    <dxf>
      <numFmt numFmtId="166" formatCode="_(* #,##0_);_(* \(#,##0\);_(* &quot;-&quot;??_);_(@_)"/>
    </dxf>
    <dxf>
      <numFmt numFmtId="166" formatCode="_(* #,##0_);_(* \(#,##0\);_(* &quot;-&quot;??_);_(@_)"/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sz val="11"/>
      </font>
    </dxf>
    <dxf>
      <numFmt numFmtId="3" formatCode="#,##0"/>
    </dxf>
    <dxf>
      <font>
        <name val="Aptos"/>
        <scheme val="none"/>
      </font>
    </dxf>
    <dxf>
      <numFmt numFmtId="166" formatCode="_(* #,##0_);_(* \(#,##0\);_(* &quot;-&quot;??_);_(@_)"/>
    </dxf>
    <dxf>
      <font>
        <name val="Aptos"/>
        <scheme val="none"/>
      </font>
    </dxf>
    <dxf>
      <numFmt numFmtId="166" formatCode="_(* #,##0_);_(* \(#,##0\);_(* &quot;-&quot;??_);_(@_)"/>
    </dxf>
    <dxf>
      <numFmt numFmtId="166" formatCode="_(* #,##0_);_(* \(#,##0\);_(* &quot;-&quot;??_);_(@_)"/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sz val="11"/>
      </font>
    </dxf>
    <dxf>
      <numFmt numFmtId="3" formatCode="#,##0"/>
    </dxf>
    <dxf>
      <font>
        <name val="Aptos"/>
        <scheme val="none"/>
      </font>
    </dxf>
    <dxf>
      <numFmt numFmtId="14" formatCode="0.00%"/>
    </dxf>
    <dxf>
      <font>
        <name val="Aptos"/>
        <scheme val="none"/>
      </font>
    </dxf>
    <dxf>
      <numFmt numFmtId="166" formatCode="_(* #,##0_);_(* \(#,##0\);_(* &quot;-&quot;??_);_(@_)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vertical="center"/>
    </dxf>
    <dxf>
      <alignment horizontal="center"/>
    </dxf>
    <dxf>
      <numFmt numFmtId="166" formatCode="_(* #,##0_);_(* \(#,##0\);_(* &quot;-&quot;??_);_(@_)"/>
    </dxf>
    <dxf>
      <font>
        <name val="Aptos"/>
        <scheme val="none"/>
      </font>
    </dxf>
    <dxf>
      <font>
        <name val="Aptos"/>
        <scheme val="none"/>
      </font>
    </dxf>
    <dxf>
      <numFmt numFmtId="166" formatCode="_(* #,##0_);_(* \(#,##0\);_(* &quot;-&quot;??_);_(@_)"/>
    </dxf>
    <dxf>
      <numFmt numFmtId="14" formatCode="0.00%"/>
    </dxf>
    <dxf>
      <numFmt numFmtId="167" formatCode="[Color10]\⬆\️;[Red]\⬇\️"/>
    </dxf>
    <dxf>
      <alignment horizontal="center"/>
    </dxf>
    <dxf>
      <alignment vertical="center"/>
    </dxf>
    <dxf>
      <font>
        <sz val="12"/>
      </font>
    </dxf>
    <dxf>
      <alignment vertical="center"/>
    </dxf>
    <dxf>
      <alignment vertical="center"/>
    </dxf>
    <dxf>
      <alignment horizontal="center"/>
    </dxf>
    <dxf>
      <alignment horizontal="center"/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numFmt numFmtId="166" formatCode="_(* #,##0_);_(* \(#,##0\);_(* &quot;-&quot;??_);_(@_)"/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sz val="11"/>
      </font>
    </dxf>
    <dxf>
      <font>
        <name val="Aptos"/>
        <scheme val="none"/>
      </font>
    </dxf>
    <dxf>
      <numFmt numFmtId="166" formatCode="_(* #,##0_);_(* \(#,##0\);_(* &quot;-&quot;??_);_(@_)"/>
    </dxf>
    <dxf>
      <numFmt numFmtId="166" formatCode="_(* #,##0_);_(* \(#,##0\);_(* &quot;-&quot;??_);_(@_)"/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sz val="11"/>
      </font>
    </dxf>
    <dxf>
      <numFmt numFmtId="3" formatCode="#,##0"/>
    </dxf>
    <dxf>
      <font>
        <name val="Aptos"/>
        <scheme val="none"/>
      </font>
    </dxf>
    <dxf>
      <numFmt numFmtId="14" formatCode="0.00%"/>
    </dxf>
    <dxf>
      <font>
        <name val="Aptos"/>
        <scheme val="none"/>
      </font>
    </dxf>
    <dxf>
      <numFmt numFmtId="166" formatCode="_(* #,##0_);_(* \(#,##0\);_(* &quot;-&quot;??_);_(@_)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vertical="center"/>
    </dxf>
    <dxf>
      <alignment horizontal="center"/>
    </dxf>
    <dxf>
      <numFmt numFmtId="166" formatCode="_(* #,##0_);_(* \(#,##0\);_(* &quot;-&quot;??_);_(@_)"/>
    </dxf>
    <dxf>
      <font>
        <name val="Aptos"/>
        <scheme val="none"/>
      </font>
    </dxf>
    <dxf>
      <font>
        <name val="Aptos"/>
        <scheme val="none"/>
      </font>
    </dxf>
    <dxf>
      <numFmt numFmtId="166" formatCode="_(* #,##0_);_(* \(#,##0\);_(* &quot;-&quot;??_);_(@_)"/>
    </dxf>
    <dxf>
      <numFmt numFmtId="14" formatCode="0.00%"/>
    </dxf>
    <dxf>
      <numFmt numFmtId="167" formatCode="[Color10]\⬆\️;[Red]\⬇\️"/>
    </dxf>
    <dxf>
      <alignment horizontal="center"/>
    </dxf>
    <dxf>
      <alignment vertical="center"/>
    </dxf>
    <dxf>
      <font>
        <sz val="12"/>
      </font>
    </dxf>
    <dxf>
      <alignment vertical="center"/>
    </dxf>
    <dxf>
      <alignment vertical="center"/>
    </dxf>
    <dxf>
      <alignment horizontal="center"/>
    </dxf>
    <dxf>
      <alignment horizontal="center"/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numFmt numFmtId="166" formatCode="_(* #,##0_);_(* \(#,##0\);_(* &quot;-&quot;??_);_(@_)"/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sz val="11"/>
      </font>
    </dxf>
    <dxf>
      <font>
        <name val="Aptos"/>
        <scheme val="none"/>
      </font>
    </dxf>
    <dxf>
      <numFmt numFmtId="166" formatCode="_(* #,##0_);_(* \(#,##0\);_(* &quot;-&quot;??_);_(@_)"/>
    </dxf>
    <dxf>
      <numFmt numFmtId="166" formatCode="_(* #,##0_);_(* \(#,##0\);_(* &quot;-&quot;??_);_(@_)"/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sz val="11"/>
      </font>
    </dxf>
    <dxf>
      <numFmt numFmtId="3" formatCode="#,##0"/>
    </dxf>
    <dxf>
      <font>
        <name val="Aptos"/>
        <scheme val="none"/>
      </font>
    </dxf>
    <dxf>
      <numFmt numFmtId="14" formatCode="0.00%"/>
    </dxf>
    <dxf>
      <font>
        <name val="Aptos"/>
        <scheme val="none"/>
      </font>
    </dxf>
    <dxf>
      <numFmt numFmtId="166" formatCode="_(* #,##0_);_(* \(#,##0\);_(* &quot;-&quot;??_);_(@_)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vertical="center"/>
    </dxf>
    <dxf>
      <alignment horizontal="center"/>
    </dxf>
    <dxf>
      <numFmt numFmtId="166" formatCode="_(* #,##0_);_(* \(#,##0\);_(* &quot;-&quot;??_);_(@_)"/>
    </dxf>
    <dxf>
      <font>
        <name val="Aptos"/>
        <scheme val="none"/>
      </font>
    </dxf>
    <dxf>
      <font>
        <name val="Aptos"/>
        <scheme val="none"/>
      </font>
    </dxf>
    <dxf>
      <numFmt numFmtId="166" formatCode="_(* #,##0_);_(* \(#,##0\);_(* &quot;-&quot;??_);_(@_)"/>
    </dxf>
    <dxf>
      <numFmt numFmtId="14" formatCode="0.00%"/>
    </dxf>
    <dxf>
      <numFmt numFmtId="167" formatCode="[Color10]\⬆\️;[Red]\⬇\️"/>
    </dxf>
    <dxf>
      <alignment horizontal="center"/>
    </dxf>
    <dxf>
      <alignment vertical="center"/>
    </dxf>
    <dxf>
      <font>
        <sz val="12"/>
      </font>
    </dxf>
    <dxf>
      <alignment vertical="center"/>
    </dxf>
    <dxf>
      <alignment vertical="center"/>
    </dxf>
    <dxf>
      <alignment horizontal="center"/>
    </dxf>
    <dxf>
      <alignment horizontal="center"/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numFmt numFmtId="166" formatCode="_(* #,##0_);_(* \(#,##0\);_(* &quot;-&quot;??_);_(@_)"/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sz val="11"/>
      </font>
    </dxf>
    <dxf>
      <font>
        <name val="Aptos"/>
        <scheme val="none"/>
      </font>
    </dxf>
    <dxf>
      <numFmt numFmtId="166" formatCode="_(* #,##0_);_(* \(#,##0\);_(* &quot;-&quot;??_);_(@_)"/>
    </dxf>
    <dxf>
      <numFmt numFmtId="166" formatCode="_(* #,##0_);_(* \(#,##0\);_(* &quot;-&quot;??_);_(@_)"/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sz val="11"/>
      </font>
    </dxf>
    <dxf>
      <numFmt numFmtId="3" formatCode="#,##0"/>
    </dxf>
    <dxf>
      <font>
        <name val="Aptos"/>
        <scheme val="none"/>
      </font>
    </dxf>
    <dxf>
      <numFmt numFmtId="14" formatCode="0.00%"/>
    </dxf>
    <dxf>
      <font>
        <name val="Aptos"/>
        <scheme val="none"/>
      </font>
    </dxf>
    <dxf>
      <numFmt numFmtId="166" formatCode="_(* #,##0_);_(* \(#,##0\);_(* &quot;-&quot;??_);_(@_)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vertical="center"/>
    </dxf>
    <dxf>
      <alignment horizontal="center"/>
    </dxf>
    <dxf>
      <numFmt numFmtId="166" formatCode="_(* #,##0_);_(* \(#,##0\);_(* &quot;-&quot;??_);_(@_)"/>
    </dxf>
    <dxf>
      <font>
        <name val="Aptos"/>
        <scheme val="none"/>
      </font>
    </dxf>
    <dxf>
      <font>
        <name val="Aptos"/>
        <scheme val="none"/>
      </font>
    </dxf>
    <dxf>
      <numFmt numFmtId="166" formatCode="_(* #,##0_);_(* \(#,##0\);_(* &quot;-&quot;??_);_(@_)"/>
    </dxf>
    <dxf>
      <numFmt numFmtId="14" formatCode="0.00%"/>
    </dxf>
    <dxf>
      <numFmt numFmtId="167" formatCode="[Color10]\⬆\️;[Red]\⬇\️"/>
    </dxf>
    <dxf>
      <alignment horizontal="center"/>
    </dxf>
    <dxf>
      <alignment vertical="center"/>
    </dxf>
    <dxf>
      <font>
        <sz val="12"/>
      </font>
    </dxf>
    <dxf>
      <alignment vertical="center"/>
    </dxf>
    <dxf>
      <alignment vertical="center"/>
    </dxf>
    <dxf>
      <alignment horizontal="center"/>
    </dxf>
    <dxf>
      <alignment horizontal="center"/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numFmt numFmtId="166" formatCode="_(* #,##0_);_(* \(#,##0\);_(* &quot;-&quot;??_);_(@_)"/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sz val="11"/>
      </font>
    </dxf>
    <dxf>
      <font>
        <name val="Aptos"/>
        <scheme val="none"/>
      </font>
    </dxf>
    <dxf>
      <numFmt numFmtId="166" formatCode="_(* #,##0_);_(* \(#,##0\);_(* &quot;-&quot;??_);_(@_)"/>
    </dxf>
    <dxf>
      <numFmt numFmtId="166" formatCode="_(* #,##0_);_(* \(#,##0\);_(* &quot;-&quot;??_);_(@_)"/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sz val="11"/>
      </font>
    </dxf>
    <dxf>
      <numFmt numFmtId="3" formatCode="#,##0"/>
    </dxf>
    <dxf>
      <font>
        <name val="Aptos"/>
        <scheme val="none"/>
      </font>
    </dxf>
    <dxf>
      <numFmt numFmtId="14" formatCode="0.00%"/>
    </dxf>
    <dxf>
      <font>
        <name val="Aptos"/>
        <scheme val="none"/>
      </font>
    </dxf>
    <dxf>
      <numFmt numFmtId="166" formatCode="_(* #,##0_);_(* \(#,##0\);_(* &quot;-&quot;??_);_(@_)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vertical="center"/>
    </dxf>
    <dxf>
      <alignment horizontal="center"/>
    </dxf>
    <dxf>
      <numFmt numFmtId="166" formatCode="_(* #,##0_);_(* \(#,##0\);_(* &quot;-&quot;??_);_(@_)"/>
    </dxf>
    <dxf>
      <font>
        <name val="Aptos"/>
        <scheme val="none"/>
      </font>
    </dxf>
    <dxf>
      <font>
        <name val="Aptos"/>
        <scheme val="none"/>
      </font>
    </dxf>
    <dxf>
      <numFmt numFmtId="166" formatCode="_(* #,##0_);_(* \(#,##0\);_(* &quot;-&quot;??_);_(@_)"/>
    </dxf>
    <dxf>
      <numFmt numFmtId="14" formatCode="0.00%"/>
    </dxf>
    <dxf>
      <numFmt numFmtId="167" formatCode="[Color10]\⬆\️;[Red]\⬇\️"/>
    </dxf>
    <dxf>
      <alignment horizontal="center"/>
    </dxf>
    <dxf>
      <alignment vertical="center"/>
    </dxf>
    <dxf>
      <font>
        <sz val="12"/>
      </font>
    </dxf>
    <dxf>
      <alignment vertical="center"/>
    </dxf>
    <dxf>
      <alignment vertical="center"/>
    </dxf>
    <dxf>
      <alignment horizontal="center"/>
    </dxf>
    <dxf>
      <alignment horizontal="center"/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numFmt numFmtId="166" formatCode="_(* #,##0_);_(* \(#,##0\);_(* &quot;-&quot;??_);_(@_)"/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sz val="11"/>
      </font>
    </dxf>
    <dxf>
      <font>
        <name val="Aptos"/>
        <scheme val="none"/>
      </font>
    </dxf>
    <dxf>
      <numFmt numFmtId="166" formatCode="_(* #,##0_);_(* \(#,##0\);_(* &quot;-&quot;??_);_(@_)"/>
    </dxf>
    <dxf>
      <numFmt numFmtId="166" formatCode="_(* #,##0_);_(* \(#,##0\);_(* &quot;-&quot;??_);_(@_)"/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sz val="11"/>
      </font>
    </dxf>
    <dxf>
      <numFmt numFmtId="3" formatCode="#,##0"/>
    </dxf>
    <dxf>
      <font>
        <name val="Aptos"/>
        <scheme val="none"/>
      </font>
    </dxf>
    <dxf>
      <numFmt numFmtId="14" formatCode="0.00%"/>
    </dxf>
    <dxf>
      <font>
        <name val="Aptos"/>
        <scheme val="none"/>
      </font>
    </dxf>
    <dxf>
      <numFmt numFmtId="166" formatCode="_(* #,##0_);_(* \(#,##0\);_(* &quot;-&quot;??_);_(@_)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vertical="center"/>
    </dxf>
    <dxf>
      <alignment horizontal="center"/>
    </dxf>
    <dxf>
      <numFmt numFmtId="166" formatCode="_(* #,##0_);_(* \(#,##0\);_(* &quot;-&quot;??_);_(@_)"/>
    </dxf>
    <dxf>
      <font>
        <name val="Aptos"/>
        <scheme val="none"/>
      </font>
    </dxf>
    <dxf>
      <font>
        <name val="Aptos"/>
        <scheme val="none"/>
      </font>
    </dxf>
    <dxf>
      <numFmt numFmtId="166" formatCode="_(* #,##0_);_(* \(#,##0\);_(* &quot;-&quot;??_);_(@_)"/>
    </dxf>
    <dxf>
      <numFmt numFmtId="14" formatCode="0.00%"/>
    </dxf>
    <dxf>
      <numFmt numFmtId="167" formatCode="[Color10]\⬆\️;[Red]\⬇\️"/>
    </dxf>
    <dxf>
      <alignment horizontal="center"/>
    </dxf>
    <dxf>
      <alignment vertical="center"/>
    </dxf>
    <dxf>
      <font>
        <sz val="12"/>
      </font>
    </dxf>
    <dxf>
      <alignment vertical="center"/>
    </dxf>
    <dxf>
      <alignment vertical="center"/>
    </dxf>
    <dxf>
      <alignment horizontal="center"/>
    </dxf>
    <dxf>
      <alignment horizontal="center"/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numFmt numFmtId="166" formatCode="_(* #,##0_);_(* \(#,##0\);_(* &quot;-&quot;??_);_(@_)"/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sz val="11"/>
      </font>
    </dxf>
    <dxf>
      <font>
        <name val="Aptos"/>
        <scheme val="none"/>
      </font>
    </dxf>
    <dxf>
      <font>
        <name val="Aptos"/>
        <scheme val="none"/>
      </font>
    </dxf>
    <dxf>
      <numFmt numFmtId="166" formatCode="_(* #,##0_);_(* \(#,##0\);_(* &quot;-&quot;??_);_(@_)"/>
    </dxf>
    <dxf>
      <numFmt numFmtId="14" formatCode="0.00%"/>
    </dxf>
    <dxf>
      <numFmt numFmtId="167" formatCode="[Color10]\⬆\️;[Red]\⬇\️"/>
    </dxf>
    <dxf>
      <alignment horizontal="center"/>
    </dxf>
    <dxf>
      <alignment vertical="center"/>
    </dxf>
    <dxf>
      <font>
        <sz val="12"/>
      </font>
    </dxf>
    <dxf>
      <alignment vertical="center"/>
    </dxf>
    <dxf>
      <alignment vertical="center"/>
    </dxf>
    <dxf>
      <alignment horizontal="center"/>
    </dxf>
    <dxf>
      <alignment horizontal="center"/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vertical="center"/>
    </dxf>
    <dxf>
      <alignment horizontal="center"/>
    </dxf>
    <dxf>
      <numFmt numFmtId="166" formatCode="_(* #,##0_);_(* \(#,##0\);_(* &quot;-&quot;??_);_(@_)"/>
    </dxf>
    <dxf>
      <font>
        <name val="Aptos"/>
        <scheme val="none"/>
      </font>
    </dxf>
    <dxf>
      <numFmt numFmtId="166" formatCode="_(* #,##0_);_(* \(#,##0\);_(* &quot;-&quot;??_);_(@_)"/>
    </dxf>
    <dxf>
      <numFmt numFmtId="166" formatCode="_(* #,##0_);_(* \(#,##0\);_(* &quot;-&quot;??_);_(@_)"/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sz val="11"/>
      </font>
    </dxf>
    <dxf>
      <font>
        <name val="Aptos"/>
        <scheme val="none"/>
      </font>
    </dxf>
    <dxf>
      <numFmt numFmtId="14" formatCode="0.00%"/>
    </dxf>
    <dxf>
      <numFmt numFmtId="166" formatCode="_(* #,##0_);_(* \(#,##0\);_(* &quot;-&quot;??_);_(@_)"/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sz val="11"/>
      </font>
    </dxf>
    <dxf>
      <numFmt numFmtId="3" formatCode="#,##0"/>
    </dxf>
    <dxf>
      <font>
        <name val="Aptos"/>
        <scheme val="none"/>
      </font>
    </dxf>
    <dxf>
      <numFmt numFmtId="166" formatCode="_(* #,##0_);_(* \(#,##0\);_(* &quot;-&quot;??_);_(@_)"/>
    </dxf>
    <dxf>
      <font>
        <name val="Aptos"/>
        <scheme val="none"/>
      </font>
    </dxf>
    <dxf>
      <numFmt numFmtId="166" formatCode="_(* #,##0_);_(* \(#,##0\);_(* &quot;-&quot;??_);_(@_)"/>
    </dxf>
    <dxf>
      <numFmt numFmtId="166" formatCode="_(* #,##0_);_(* \(#,##0\);_(* &quot;-&quot;??_);_(@_)"/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sz val="11"/>
      </font>
    </dxf>
    <dxf>
      <numFmt numFmtId="3" formatCode="#,##0"/>
    </dxf>
    <dxf>
      <font>
        <name val="Aptos"/>
        <scheme val="none"/>
      </font>
    </dxf>
    <dxf>
      <numFmt numFmtId="14" formatCode="0.00%"/>
    </dxf>
    <dxf>
      <font>
        <name val="Aptos"/>
        <scheme val="none"/>
      </font>
    </dxf>
    <dxf>
      <numFmt numFmtId="166" formatCode="_(* #,##0_);_(* \(#,##0\);_(* &quot;-&quot;??_);_(@_)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vertical="center"/>
    </dxf>
    <dxf>
      <alignment horizontal="center"/>
    </dxf>
    <dxf>
      <numFmt numFmtId="166" formatCode="_(* #,##0_);_(* \(#,##0\);_(* &quot;-&quot;??_);_(@_)"/>
    </dxf>
    <dxf>
      <font>
        <name val="Aptos"/>
        <scheme val="none"/>
      </font>
    </dxf>
    <dxf>
      <font>
        <name val="Aptos"/>
        <scheme val="none"/>
      </font>
    </dxf>
    <dxf>
      <numFmt numFmtId="166" formatCode="_(* #,##0_);_(* \(#,##0\);_(* &quot;-&quot;??_);_(@_)"/>
    </dxf>
    <dxf>
      <numFmt numFmtId="14" formatCode="0.00%"/>
    </dxf>
    <dxf>
      <numFmt numFmtId="167" formatCode="[Color10]\⬆\️;[Red]\⬇\️"/>
    </dxf>
    <dxf>
      <alignment horizontal="center"/>
    </dxf>
    <dxf>
      <alignment vertical="center"/>
    </dxf>
    <dxf>
      <font>
        <sz val="12"/>
      </font>
    </dxf>
    <dxf>
      <alignment vertical="center"/>
    </dxf>
    <dxf>
      <alignment vertical="center"/>
    </dxf>
    <dxf>
      <alignment horizontal="center"/>
    </dxf>
    <dxf>
      <alignment horizontal="center"/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numFmt numFmtId="166" formatCode="_(* #,##0_);_(* \(#,##0\);_(* &quot;-&quot;??_);_(@_)"/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sz val="11"/>
      </font>
    </dxf>
    <dxf>
      <font>
        <name val="Aptos"/>
        <scheme val="none"/>
      </font>
    </dxf>
    <dxf>
      <numFmt numFmtId="166" formatCode="_(* #,##0_);_(* \(#,##0\);_(* &quot;-&quot;??_);_(@_)"/>
    </dxf>
    <dxf>
      <numFmt numFmtId="166" formatCode="_(* #,##0_);_(* \(#,##0\);_(* &quot;-&quot;??_);_(@_)"/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sz val="11"/>
      </font>
    </dxf>
    <dxf>
      <numFmt numFmtId="3" formatCode="#,##0"/>
    </dxf>
    <dxf>
      <font>
        <name val="Aptos"/>
        <scheme val="none"/>
      </font>
    </dxf>
    <dxf>
      <numFmt numFmtId="14" formatCode="0.00%"/>
    </dxf>
    <dxf>
      <font>
        <name val="Aptos"/>
        <scheme val="none"/>
      </font>
    </dxf>
    <dxf>
      <numFmt numFmtId="166" formatCode="_(* #,##0_);_(* \(#,##0\);_(* &quot;-&quot;??_);_(@_)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vertical="center"/>
    </dxf>
    <dxf>
      <alignment horizontal="center"/>
    </dxf>
    <dxf>
      <numFmt numFmtId="166" formatCode="_(* #,##0_);_(* \(#,##0\);_(* &quot;-&quot;??_);_(@_)"/>
    </dxf>
    <dxf>
      <font>
        <name val="Aptos"/>
        <scheme val="none"/>
      </font>
    </dxf>
    <dxf>
      <font>
        <name val="Aptos"/>
        <scheme val="none"/>
      </font>
    </dxf>
    <dxf>
      <numFmt numFmtId="166" formatCode="_(* #,##0_);_(* \(#,##0\);_(* &quot;-&quot;??_);_(@_)"/>
    </dxf>
    <dxf>
      <numFmt numFmtId="14" formatCode="0.00%"/>
    </dxf>
    <dxf>
      <numFmt numFmtId="167" formatCode="[Color10]\⬆\️;[Red]\⬇\️"/>
    </dxf>
    <dxf>
      <alignment horizontal="center"/>
    </dxf>
    <dxf>
      <alignment vertical="center"/>
    </dxf>
    <dxf>
      <font>
        <sz val="12"/>
      </font>
    </dxf>
    <dxf>
      <alignment vertical="center"/>
    </dxf>
    <dxf>
      <alignment vertical="center"/>
    </dxf>
    <dxf>
      <alignment horizontal="center"/>
    </dxf>
    <dxf>
      <alignment horizontal="center"/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numFmt numFmtId="166" formatCode="_(* #,##0_);_(* \(#,##0\);_(* &quot;-&quot;??_);_(@_)"/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sz val="11"/>
      </font>
    </dxf>
    <dxf>
      <font>
        <name val="Aptos"/>
        <scheme val="none"/>
      </font>
    </dxf>
    <dxf>
      <numFmt numFmtId="166" formatCode="_(* #,##0_);_(* \(#,##0\);_(* &quot;-&quot;??_);_(@_)"/>
    </dxf>
    <dxf>
      <numFmt numFmtId="166" formatCode="_(* #,##0_);_(* \(#,##0\);_(* &quot;-&quot;??_);_(@_)"/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sz val="11"/>
      </font>
    </dxf>
    <dxf>
      <numFmt numFmtId="3" formatCode="#,##0"/>
    </dxf>
    <dxf>
      <font>
        <name val="Aptos"/>
        <scheme val="none"/>
      </font>
    </dxf>
    <dxf>
      <numFmt numFmtId="14" formatCode="0.00%"/>
    </dxf>
    <dxf>
      <font>
        <name val="Aptos"/>
        <scheme val="none"/>
      </font>
    </dxf>
    <dxf>
      <numFmt numFmtId="166" formatCode="_(* #,##0_);_(* \(#,##0\);_(* &quot;-&quot;??_);_(@_)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vertical="center"/>
    </dxf>
    <dxf>
      <alignment horizontal="center"/>
    </dxf>
    <dxf>
      <numFmt numFmtId="166" formatCode="_(* #,##0_);_(* \(#,##0\);_(* &quot;-&quot;??_);_(@_)"/>
    </dxf>
    <dxf>
      <font>
        <name val="Aptos"/>
        <scheme val="none"/>
      </font>
    </dxf>
    <dxf>
      <font>
        <name val="Aptos"/>
        <scheme val="none"/>
      </font>
    </dxf>
    <dxf>
      <numFmt numFmtId="166" formatCode="_(* #,##0_);_(* \(#,##0\);_(* &quot;-&quot;??_);_(@_)"/>
    </dxf>
    <dxf>
      <numFmt numFmtId="14" formatCode="0.00%"/>
    </dxf>
    <dxf>
      <numFmt numFmtId="167" formatCode="[Color10]\⬆\️;[Red]\⬇\️"/>
    </dxf>
    <dxf>
      <alignment horizontal="center"/>
    </dxf>
    <dxf>
      <alignment vertical="center"/>
    </dxf>
    <dxf>
      <font>
        <sz val="12"/>
      </font>
    </dxf>
    <dxf>
      <alignment vertical="center"/>
    </dxf>
    <dxf>
      <alignment vertical="center"/>
    </dxf>
    <dxf>
      <alignment horizontal="center"/>
    </dxf>
    <dxf>
      <alignment horizontal="center"/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numFmt numFmtId="166" formatCode="_(* #,##0_);_(* \(#,##0\);_(* &quot;-&quot;??_);_(@_)"/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sz val="11"/>
      </font>
    </dxf>
    <dxf>
      <font>
        <name val="Aptos"/>
        <scheme val="none"/>
      </font>
    </dxf>
    <dxf>
      <numFmt numFmtId="166" formatCode="_(* #,##0_);_(* \(#,##0\);_(* &quot;-&quot;??_);_(@_)"/>
    </dxf>
    <dxf>
      <numFmt numFmtId="166" formatCode="_(* #,##0_);_(* \(#,##0\);_(* &quot;-&quot;??_);_(@_)"/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sz val="11"/>
      </font>
    </dxf>
    <dxf>
      <numFmt numFmtId="3" formatCode="#,##0"/>
    </dxf>
    <dxf>
      <font>
        <name val="Aptos"/>
        <scheme val="none"/>
      </font>
    </dxf>
    <dxf>
      <numFmt numFmtId="14" formatCode="0.00%"/>
    </dxf>
    <dxf>
      <font>
        <name val="Aptos"/>
        <scheme val="none"/>
      </font>
    </dxf>
    <dxf>
      <numFmt numFmtId="166" formatCode="_(* #,##0_);_(* \(#,##0\);_(* &quot;-&quot;??_);_(@_)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vertical="center"/>
    </dxf>
    <dxf>
      <alignment horizontal="center"/>
    </dxf>
    <dxf>
      <numFmt numFmtId="166" formatCode="_(* #,##0_);_(* \(#,##0\);_(* &quot;-&quot;??_);_(@_)"/>
    </dxf>
    <dxf>
      <font>
        <name val="Aptos"/>
        <scheme val="none"/>
      </font>
    </dxf>
    <dxf>
      <font>
        <name val="Aptos"/>
        <scheme val="none"/>
      </font>
    </dxf>
    <dxf>
      <numFmt numFmtId="166" formatCode="_(* #,##0_);_(* \(#,##0\);_(* &quot;-&quot;??_);_(@_)"/>
    </dxf>
    <dxf>
      <numFmt numFmtId="14" formatCode="0.00%"/>
    </dxf>
    <dxf>
      <numFmt numFmtId="167" formatCode="[Color10]\⬆\️;[Red]\⬇\️"/>
    </dxf>
    <dxf>
      <alignment horizontal="center"/>
    </dxf>
    <dxf>
      <alignment vertical="center"/>
    </dxf>
    <dxf>
      <font>
        <sz val="12"/>
      </font>
    </dxf>
    <dxf>
      <alignment vertical="center"/>
    </dxf>
    <dxf>
      <alignment vertical="center"/>
    </dxf>
    <dxf>
      <alignment horizontal="center"/>
    </dxf>
    <dxf>
      <alignment horizontal="center"/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numFmt numFmtId="166" formatCode="_(* #,##0_);_(* \(#,##0\);_(* &quot;-&quot;??_);_(@_)"/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sz val="11"/>
      </font>
    </dxf>
    <dxf>
      <font>
        <name val="Aptos"/>
        <scheme val="none"/>
      </font>
    </dxf>
    <dxf>
      <numFmt numFmtId="166" formatCode="_(* #,##0_);_(* \(#,##0\);_(* &quot;-&quot;??_);_(@_)"/>
    </dxf>
    <dxf>
      <numFmt numFmtId="166" formatCode="_(* #,##0_);_(* \(#,##0\);_(* &quot;-&quot;??_);_(@_)"/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sz val="11"/>
      </font>
    </dxf>
    <dxf>
      <numFmt numFmtId="3" formatCode="#,##0"/>
    </dxf>
    <dxf>
      <font>
        <name val="Aptos"/>
        <scheme val="none"/>
      </font>
    </dxf>
    <dxf>
      <numFmt numFmtId="14" formatCode="0.00%"/>
    </dxf>
    <dxf>
      <font>
        <name val="Aptos"/>
        <scheme val="none"/>
      </font>
    </dxf>
    <dxf>
      <numFmt numFmtId="166" formatCode="_(* #,##0_);_(* \(#,##0\);_(* &quot;-&quot;??_);_(@_)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vertical="center"/>
    </dxf>
    <dxf>
      <alignment horizontal="center"/>
    </dxf>
    <dxf>
      <numFmt numFmtId="166" formatCode="_(* #,##0_);_(* \(#,##0\);_(* &quot;-&quot;??_);_(@_)"/>
    </dxf>
    <dxf>
      <font>
        <name val="Aptos"/>
        <scheme val="none"/>
      </font>
    </dxf>
    <dxf>
      <font>
        <name val="Aptos"/>
        <scheme val="none"/>
      </font>
    </dxf>
    <dxf>
      <numFmt numFmtId="166" formatCode="_(* #,##0_);_(* \(#,##0\);_(* &quot;-&quot;??_);_(@_)"/>
    </dxf>
    <dxf>
      <numFmt numFmtId="14" formatCode="0.00%"/>
    </dxf>
    <dxf>
      <numFmt numFmtId="167" formatCode="[Color10]\⬆\️;[Red]\⬇\️"/>
    </dxf>
    <dxf>
      <alignment horizontal="center"/>
    </dxf>
    <dxf>
      <alignment vertical="center"/>
    </dxf>
    <dxf>
      <font>
        <sz val="12"/>
      </font>
    </dxf>
    <dxf>
      <alignment vertical="center"/>
    </dxf>
    <dxf>
      <alignment vertical="center"/>
    </dxf>
    <dxf>
      <alignment horizontal="center"/>
    </dxf>
    <dxf>
      <alignment horizontal="center"/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numFmt numFmtId="166" formatCode="_(* #,##0_);_(* \(#,##0\);_(* &quot;-&quot;??_);_(@_)"/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sz val="11"/>
      </font>
    </dxf>
    <dxf>
      <font>
        <name val="Aptos"/>
        <scheme val="none"/>
      </font>
    </dxf>
    <dxf>
      <numFmt numFmtId="166" formatCode="_(* #,##0_);_(* \(#,##0\);_(* &quot;-&quot;??_);_(@_)"/>
    </dxf>
    <dxf>
      <numFmt numFmtId="166" formatCode="_(* #,##0_);_(* \(#,##0\);_(* &quot;-&quot;??_);_(@_)"/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sz val="11"/>
      </font>
    </dxf>
    <dxf>
      <numFmt numFmtId="3" formatCode="#,##0"/>
    </dxf>
    <dxf>
      <font>
        <name val="Aptos"/>
        <scheme val="none"/>
      </font>
    </dxf>
    <dxf>
      <numFmt numFmtId="14" formatCode="0.00%"/>
    </dxf>
    <dxf>
      <font>
        <name val="Aptos"/>
        <scheme val="none"/>
      </font>
    </dxf>
    <dxf>
      <numFmt numFmtId="166" formatCode="_(* #,##0_);_(* \(#,##0\);_(* &quot;-&quot;??_);_(@_)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vertical="center"/>
    </dxf>
    <dxf>
      <alignment horizontal="center"/>
    </dxf>
    <dxf>
      <numFmt numFmtId="166" formatCode="_(* #,##0_);_(* \(#,##0\);_(* &quot;-&quot;??_);_(@_)"/>
    </dxf>
    <dxf>
      <font>
        <name val="Aptos"/>
        <scheme val="none"/>
      </font>
    </dxf>
    <dxf>
      <font>
        <name val="Aptos"/>
        <scheme val="none"/>
      </font>
    </dxf>
    <dxf>
      <numFmt numFmtId="166" formatCode="_(* #,##0_);_(* \(#,##0\);_(* &quot;-&quot;??_);_(@_)"/>
    </dxf>
    <dxf>
      <numFmt numFmtId="14" formatCode="0.00%"/>
    </dxf>
    <dxf>
      <numFmt numFmtId="167" formatCode="[Color10]\⬆\️;[Red]\⬇\️"/>
    </dxf>
    <dxf>
      <alignment horizontal="center"/>
    </dxf>
    <dxf>
      <alignment vertical="center"/>
    </dxf>
    <dxf>
      <font>
        <sz val="12"/>
      </font>
    </dxf>
    <dxf>
      <alignment vertical="center"/>
    </dxf>
    <dxf>
      <alignment vertical="center"/>
    </dxf>
    <dxf>
      <alignment horizontal="center"/>
    </dxf>
    <dxf>
      <alignment horizontal="center"/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numFmt numFmtId="166" formatCode="_(* #,##0_);_(* \(#,##0\);_(* &quot;-&quot;??_);_(@_)"/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sz val="11"/>
      </font>
    </dxf>
    <dxf>
      <font>
        <name val="Aptos"/>
        <scheme val="none"/>
      </font>
    </dxf>
    <dxf>
      <numFmt numFmtId="166" formatCode="_(* #,##0_);_(* \(#,##0\);_(* &quot;-&quot;??_);_(@_)"/>
    </dxf>
    <dxf>
      <numFmt numFmtId="166" formatCode="_(* #,##0_);_(* \(#,##0\);_(* &quot;-&quot;??_);_(@_)"/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sz val="11"/>
      </font>
    </dxf>
    <dxf>
      <numFmt numFmtId="3" formatCode="#,##0"/>
    </dxf>
    <dxf>
      <font>
        <name val="Aptos"/>
        <scheme val="none"/>
      </font>
    </dxf>
    <dxf>
      <numFmt numFmtId="14" formatCode="0.00%"/>
    </dxf>
    <dxf>
      <font>
        <name val="Aptos"/>
        <scheme val="none"/>
      </font>
    </dxf>
    <dxf>
      <numFmt numFmtId="166" formatCode="_(* #,##0_);_(* \(#,##0\);_(* &quot;-&quot;??_);_(@_)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vertical="center"/>
    </dxf>
    <dxf>
      <alignment horizontal="center"/>
    </dxf>
    <dxf>
      <numFmt numFmtId="166" formatCode="_(* #,##0_);_(* \(#,##0\);_(* &quot;-&quot;??_);_(@_)"/>
    </dxf>
    <dxf>
      <font>
        <name val="Aptos"/>
        <scheme val="none"/>
      </font>
    </dxf>
    <dxf>
      <font>
        <name val="Aptos"/>
        <scheme val="none"/>
      </font>
    </dxf>
    <dxf>
      <numFmt numFmtId="166" formatCode="_(* #,##0_);_(* \(#,##0\);_(* &quot;-&quot;??_);_(@_)"/>
    </dxf>
    <dxf>
      <numFmt numFmtId="14" formatCode="0.00%"/>
    </dxf>
    <dxf>
      <numFmt numFmtId="167" formatCode="[Color10]\⬆\️;[Red]\⬇\️"/>
    </dxf>
    <dxf>
      <alignment horizontal="center"/>
    </dxf>
    <dxf>
      <alignment vertical="center"/>
    </dxf>
    <dxf>
      <font>
        <sz val="12"/>
      </font>
    </dxf>
    <dxf>
      <alignment vertical="center"/>
    </dxf>
    <dxf>
      <alignment vertical="center"/>
    </dxf>
    <dxf>
      <alignment horizontal="center"/>
    </dxf>
    <dxf>
      <alignment horizontal="center"/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numFmt numFmtId="166" formatCode="_(* #,##0_);_(* \(#,##0\);_(* &quot;-&quot;??_);_(@_)"/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sz val="11"/>
      </font>
    </dxf>
    <dxf>
      <font>
        <name val="Aptos"/>
        <scheme val="none"/>
      </font>
    </dxf>
    <dxf>
      <numFmt numFmtId="166" formatCode="_(* #,##0_);_(* \(#,##0\);_(* &quot;-&quot;??_);_(@_)"/>
    </dxf>
    <dxf>
      <numFmt numFmtId="166" formatCode="_(* #,##0_);_(* \(#,##0\);_(* &quot;-&quot;??_);_(@_)"/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sz val="11"/>
      </font>
    </dxf>
    <dxf>
      <numFmt numFmtId="3" formatCode="#,##0"/>
    </dxf>
    <dxf>
      <font>
        <name val="Aptos"/>
        <scheme val="none"/>
      </font>
    </dxf>
    <dxf>
      <numFmt numFmtId="14" formatCode="0.00%"/>
    </dxf>
    <dxf>
      <font>
        <name val="Aptos"/>
        <scheme val="none"/>
      </font>
    </dxf>
    <dxf>
      <numFmt numFmtId="166" formatCode="_(* #,##0_);_(* \(#,##0\);_(* &quot;-&quot;??_);_(@_)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vertical="center"/>
    </dxf>
    <dxf>
      <alignment horizontal="center"/>
    </dxf>
    <dxf>
      <numFmt numFmtId="166" formatCode="_(* #,##0_);_(* \(#,##0\);_(* &quot;-&quot;??_);_(@_)"/>
    </dxf>
    <dxf>
      <font>
        <name val="Aptos"/>
        <scheme val="none"/>
      </font>
    </dxf>
    <dxf>
      <font>
        <name val="Aptos"/>
        <scheme val="none"/>
      </font>
    </dxf>
    <dxf>
      <numFmt numFmtId="166" formatCode="_(* #,##0_);_(* \(#,##0\);_(* &quot;-&quot;??_);_(@_)"/>
    </dxf>
    <dxf>
      <numFmt numFmtId="14" formatCode="0.00%"/>
    </dxf>
    <dxf>
      <numFmt numFmtId="167" formatCode="[Color10]\⬆\️;[Red]\⬇\️"/>
    </dxf>
    <dxf>
      <alignment horizontal="center"/>
    </dxf>
    <dxf>
      <alignment vertical="center"/>
    </dxf>
    <dxf>
      <font>
        <sz val="12"/>
      </font>
    </dxf>
    <dxf>
      <alignment vertical="center"/>
    </dxf>
    <dxf>
      <alignment vertical="center"/>
    </dxf>
    <dxf>
      <alignment horizontal="center"/>
    </dxf>
    <dxf>
      <alignment horizontal="center"/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numFmt numFmtId="166" formatCode="_(* #,##0_);_(* \(#,##0\);_(* &quot;-&quot;??_);_(@_)"/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sz val="11"/>
      </font>
    </dxf>
    <dxf>
      <font>
        <name val="Aptos"/>
        <scheme val="none"/>
      </font>
    </dxf>
    <dxf>
      <numFmt numFmtId="166" formatCode="_(* #,##0_);_(* \(#,##0\);_(* &quot;-&quot;??_);_(@_)"/>
    </dxf>
    <dxf>
      <numFmt numFmtId="166" formatCode="_(* #,##0_);_(* \(#,##0\);_(* &quot;-&quot;??_);_(@_)"/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sz val="11"/>
      </font>
    </dxf>
    <dxf>
      <numFmt numFmtId="3" formatCode="#,##0"/>
    </dxf>
    <dxf>
      <font>
        <name val="Aptos"/>
        <scheme val="none"/>
      </font>
    </dxf>
    <dxf>
      <numFmt numFmtId="14" formatCode="0.00%"/>
    </dxf>
    <dxf>
      <font>
        <name val="Aptos"/>
        <scheme val="none"/>
      </font>
    </dxf>
    <dxf>
      <numFmt numFmtId="166" formatCode="_(* #,##0_);_(* \(#,##0\);_(* &quot;-&quot;??_);_(@_)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vertical="center"/>
    </dxf>
    <dxf>
      <alignment horizontal="center"/>
    </dxf>
    <dxf>
      <numFmt numFmtId="166" formatCode="_(* #,##0_);_(* \(#,##0\);_(* &quot;-&quot;??_);_(@_)"/>
    </dxf>
    <dxf>
      <font>
        <name val="Aptos"/>
        <scheme val="none"/>
      </font>
    </dxf>
    <dxf>
      <font>
        <name val="Aptos"/>
        <scheme val="none"/>
      </font>
    </dxf>
    <dxf>
      <numFmt numFmtId="166" formatCode="_(* #,##0_);_(* \(#,##0\);_(* &quot;-&quot;??_);_(@_)"/>
    </dxf>
    <dxf>
      <numFmt numFmtId="14" formatCode="0.00%"/>
    </dxf>
    <dxf>
      <numFmt numFmtId="167" formatCode="[Color10]\⬆\️;[Red]\⬇\️"/>
    </dxf>
    <dxf>
      <alignment horizontal="center"/>
    </dxf>
    <dxf>
      <alignment vertical="center"/>
    </dxf>
    <dxf>
      <font>
        <sz val="12"/>
      </font>
    </dxf>
    <dxf>
      <alignment vertical="center"/>
    </dxf>
    <dxf>
      <alignment vertical="center"/>
    </dxf>
    <dxf>
      <alignment horizontal="center"/>
    </dxf>
    <dxf>
      <alignment horizontal="center"/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numFmt numFmtId="166" formatCode="_(* #,##0_);_(* \(#,##0\);_(* &quot;-&quot;??_);_(@_)"/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sz val="11"/>
      </font>
    </dxf>
    <dxf>
      <font>
        <name val="Aptos"/>
        <scheme val="none"/>
      </font>
    </dxf>
    <dxf>
      <numFmt numFmtId="166" formatCode="_(* #,##0_);_(* \(#,##0\);_(* &quot;-&quot;??_);_(@_)"/>
    </dxf>
    <dxf>
      <numFmt numFmtId="166" formatCode="_(* #,##0_);_(* \(#,##0\);_(* &quot;-&quot;??_);_(@_)"/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sz val="11"/>
      </font>
    </dxf>
    <dxf>
      <numFmt numFmtId="3" formatCode="#,##0"/>
    </dxf>
    <dxf>
      <font>
        <name val="Aptos"/>
        <scheme val="none"/>
      </font>
    </dxf>
    <dxf>
      <numFmt numFmtId="14" formatCode="0.00%"/>
    </dxf>
    <dxf>
      <font>
        <name val="Aptos"/>
        <scheme val="none"/>
      </font>
    </dxf>
    <dxf>
      <numFmt numFmtId="166" formatCode="_(* #,##0_);_(* \(#,##0\);_(* &quot;-&quot;??_);_(@_)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vertical="center"/>
    </dxf>
    <dxf>
      <alignment horizontal="center"/>
    </dxf>
    <dxf>
      <numFmt numFmtId="166" formatCode="_(* #,##0_);_(* \(#,##0\);_(* &quot;-&quot;??_);_(@_)"/>
    </dxf>
    <dxf>
      <font>
        <name val="Aptos"/>
        <scheme val="none"/>
      </font>
    </dxf>
    <dxf>
      <font>
        <name val="Aptos"/>
        <scheme val="none"/>
      </font>
    </dxf>
    <dxf>
      <numFmt numFmtId="166" formatCode="_(* #,##0_);_(* \(#,##0\);_(* &quot;-&quot;??_);_(@_)"/>
    </dxf>
    <dxf>
      <numFmt numFmtId="14" formatCode="0.00%"/>
    </dxf>
    <dxf>
      <numFmt numFmtId="167" formatCode="[Color10]\⬆\️;[Red]\⬇\️"/>
    </dxf>
    <dxf>
      <alignment horizontal="center"/>
    </dxf>
    <dxf>
      <alignment vertical="center"/>
    </dxf>
    <dxf>
      <font>
        <sz val="12"/>
      </font>
    </dxf>
    <dxf>
      <alignment vertical="center"/>
    </dxf>
    <dxf>
      <alignment vertical="center"/>
    </dxf>
    <dxf>
      <alignment horizontal="center"/>
    </dxf>
    <dxf>
      <alignment horizontal="center"/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numFmt numFmtId="166" formatCode="_(* #,##0_);_(* \(#,##0\);_(* &quot;-&quot;??_);_(@_)"/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sz val="11"/>
      </font>
    </dxf>
    <dxf>
      <font>
        <name val="Aptos"/>
        <scheme val="none"/>
      </font>
    </dxf>
    <dxf>
      <numFmt numFmtId="166" formatCode="_(* #,##0_);_(* \(#,##0\);_(* &quot;-&quot;??_);_(@_)"/>
    </dxf>
    <dxf>
      <numFmt numFmtId="166" formatCode="_(* #,##0_);_(* \(#,##0\);_(* &quot;-&quot;??_);_(@_)"/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sz val="11"/>
      </font>
    </dxf>
    <dxf>
      <numFmt numFmtId="3" formatCode="#,##0"/>
    </dxf>
    <dxf>
      <font>
        <name val="Aptos"/>
        <scheme val="none"/>
      </font>
    </dxf>
    <dxf>
      <numFmt numFmtId="14" formatCode="0.00%"/>
    </dxf>
    <dxf>
      <font>
        <name val="Aptos"/>
        <scheme val="none"/>
      </font>
    </dxf>
    <dxf>
      <numFmt numFmtId="166" formatCode="_(* #,##0_);_(* \(#,##0\);_(* &quot;-&quot;??_);_(@_)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vertical="center"/>
    </dxf>
    <dxf>
      <alignment horizontal="center"/>
    </dxf>
    <dxf>
      <numFmt numFmtId="166" formatCode="_(* #,##0_);_(* \(#,##0\);_(* &quot;-&quot;??_);_(@_)"/>
    </dxf>
    <dxf>
      <font>
        <name val="Aptos"/>
        <scheme val="none"/>
      </font>
    </dxf>
    <dxf>
      <font>
        <name val="Aptos"/>
        <scheme val="none"/>
      </font>
    </dxf>
    <dxf>
      <numFmt numFmtId="166" formatCode="_(* #,##0_);_(* \(#,##0\);_(* &quot;-&quot;??_);_(@_)"/>
    </dxf>
    <dxf>
      <numFmt numFmtId="14" formatCode="0.00%"/>
    </dxf>
    <dxf>
      <numFmt numFmtId="167" formatCode="[Color10]\⬆\️;[Red]\⬇\️"/>
    </dxf>
    <dxf>
      <alignment horizontal="center"/>
    </dxf>
    <dxf>
      <alignment vertical="center"/>
    </dxf>
    <dxf>
      <font>
        <sz val="12"/>
      </font>
    </dxf>
    <dxf>
      <alignment vertical="center"/>
    </dxf>
    <dxf>
      <alignment vertical="center"/>
    </dxf>
    <dxf>
      <alignment horizontal="center"/>
    </dxf>
    <dxf>
      <alignment horizontal="center"/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numFmt numFmtId="166" formatCode="_(* #,##0_);_(* \(#,##0\);_(* &quot;-&quot;??_);_(@_)"/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sz val="11"/>
      </font>
    </dxf>
    <dxf>
      <font>
        <name val="Aptos"/>
        <scheme val="none"/>
      </font>
    </dxf>
    <dxf>
      <numFmt numFmtId="166" formatCode="_(* #,##0_);_(* \(#,##0\);_(* &quot;-&quot;??_);_(@_)"/>
    </dxf>
    <dxf>
      <numFmt numFmtId="166" formatCode="_(* #,##0_);_(* \(#,##0\);_(* &quot;-&quot;??_);_(@_)"/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sz val="11"/>
      </font>
    </dxf>
    <dxf>
      <numFmt numFmtId="3" formatCode="#,##0"/>
    </dxf>
    <dxf>
      <font>
        <name val="Aptos"/>
        <scheme val="none"/>
      </font>
    </dxf>
    <dxf>
      <numFmt numFmtId="14" formatCode="0.00%"/>
    </dxf>
    <dxf>
      <font>
        <name val="Aptos"/>
        <scheme val="none"/>
      </font>
    </dxf>
    <dxf>
      <numFmt numFmtId="166" formatCode="_(* #,##0_);_(* \(#,##0\);_(* &quot;-&quot;??_);_(@_)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vertical="center"/>
    </dxf>
    <dxf>
      <alignment horizontal="center"/>
    </dxf>
    <dxf>
      <numFmt numFmtId="166" formatCode="_(* #,##0_);_(* \(#,##0\);_(* &quot;-&quot;??_);_(@_)"/>
    </dxf>
    <dxf>
      <font>
        <name val="Aptos"/>
        <scheme val="none"/>
      </font>
    </dxf>
    <dxf>
      <font>
        <name val="Aptos"/>
        <scheme val="none"/>
      </font>
    </dxf>
    <dxf>
      <numFmt numFmtId="166" formatCode="_(* #,##0_);_(* \(#,##0\);_(* &quot;-&quot;??_);_(@_)"/>
    </dxf>
    <dxf>
      <numFmt numFmtId="14" formatCode="0.00%"/>
    </dxf>
    <dxf>
      <numFmt numFmtId="167" formatCode="[Color10]\⬆\️;[Red]\⬇\️"/>
    </dxf>
    <dxf>
      <alignment horizontal="center"/>
    </dxf>
    <dxf>
      <alignment vertical="center"/>
    </dxf>
    <dxf>
      <font>
        <sz val="12"/>
      </font>
    </dxf>
    <dxf>
      <alignment vertical="center"/>
    </dxf>
    <dxf>
      <alignment vertical="center"/>
    </dxf>
    <dxf>
      <alignment horizontal="center"/>
    </dxf>
    <dxf>
      <alignment horizontal="center"/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numFmt numFmtId="166" formatCode="_(* #,##0_);_(* \(#,##0\);_(* &quot;-&quot;??_);_(@_)"/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sz val="11"/>
      </font>
    </dxf>
    <dxf>
      <font>
        <name val="Aptos"/>
        <scheme val="none"/>
      </font>
    </dxf>
    <dxf>
      <numFmt numFmtId="166" formatCode="_(* #,##0_);_(* \(#,##0\);_(* &quot;-&quot;??_);_(@_)"/>
    </dxf>
    <dxf>
      <numFmt numFmtId="166" formatCode="_(* #,##0_);_(* \(#,##0\);_(* &quot;-&quot;??_);_(@_)"/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sz val="11"/>
      </font>
    </dxf>
    <dxf>
      <numFmt numFmtId="3" formatCode="#,##0"/>
    </dxf>
    <dxf>
      <font>
        <name val="Aptos"/>
        <scheme val="none"/>
      </font>
    </dxf>
    <dxf>
      <numFmt numFmtId="14" formatCode="0.00%"/>
    </dxf>
    <dxf>
      <font>
        <name val="Aptos"/>
        <scheme val="none"/>
      </font>
    </dxf>
    <dxf>
      <numFmt numFmtId="166" formatCode="_(* #,##0_);_(* \(#,##0\);_(* &quot;-&quot;??_);_(@_)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vertical="center"/>
    </dxf>
    <dxf>
      <alignment horizontal="center"/>
    </dxf>
    <dxf>
      <numFmt numFmtId="166" formatCode="_(* #,##0_);_(* \(#,##0\);_(* &quot;-&quot;??_);_(@_)"/>
    </dxf>
    <dxf>
      <font>
        <name val="Aptos"/>
        <scheme val="none"/>
      </font>
    </dxf>
    <dxf>
      <font>
        <name val="Aptos"/>
        <scheme val="none"/>
      </font>
    </dxf>
    <dxf>
      <numFmt numFmtId="166" formatCode="_(* #,##0_);_(* \(#,##0\);_(* &quot;-&quot;??_);_(@_)"/>
    </dxf>
    <dxf>
      <numFmt numFmtId="14" formatCode="0.00%"/>
    </dxf>
    <dxf>
      <numFmt numFmtId="167" formatCode="[Color10]\⬆\️;[Red]\⬇\️"/>
    </dxf>
    <dxf>
      <alignment horizontal="center"/>
    </dxf>
    <dxf>
      <alignment vertical="center"/>
    </dxf>
    <dxf>
      <font>
        <sz val="12"/>
      </font>
    </dxf>
    <dxf>
      <alignment vertical="center"/>
    </dxf>
    <dxf>
      <alignment vertical="center"/>
    </dxf>
    <dxf>
      <alignment horizontal="center"/>
    </dxf>
    <dxf>
      <alignment horizontal="center"/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numFmt numFmtId="166" formatCode="_(* #,##0_);_(* \(#,##0\);_(* &quot;-&quot;??_);_(@_)"/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sz val="11"/>
      </font>
    </dxf>
    <dxf>
      <font>
        <name val="Aptos"/>
        <scheme val="none"/>
      </font>
    </dxf>
    <dxf>
      <numFmt numFmtId="166" formatCode="_(* #,##0_);_(* \(#,##0\);_(* &quot;-&quot;??_);_(@_)"/>
    </dxf>
    <dxf>
      <numFmt numFmtId="166" formatCode="_(* #,##0_);_(* \(#,##0\);_(* &quot;-&quot;??_);_(@_)"/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sz val="11"/>
      </font>
    </dxf>
    <dxf>
      <numFmt numFmtId="3" formatCode="#,##0"/>
    </dxf>
    <dxf>
      <font>
        <name val="Aptos"/>
        <scheme val="none"/>
      </font>
    </dxf>
    <dxf>
      <numFmt numFmtId="14" formatCode="0.00%"/>
    </dxf>
    <dxf>
      <font>
        <name val="Aptos"/>
        <scheme val="none"/>
      </font>
    </dxf>
    <dxf>
      <numFmt numFmtId="166" formatCode="_(* #,##0_);_(* \(#,##0\);_(* &quot;-&quot;??_);_(@_)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vertical="center"/>
    </dxf>
    <dxf>
      <alignment horizontal="center"/>
    </dxf>
    <dxf>
      <numFmt numFmtId="166" formatCode="_(* #,##0_);_(* \(#,##0\);_(* &quot;-&quot;??_);_(@_)"/>
    </dxf>
    <dxf>
      <font>
        <name val="Aptos"/>
        <scheme val="none"/>
      </font>
    </dxf>
    <dxf>
      <font>
        <name val="Aptos"/>
        <scheme val="none"/>
      </font>
    </dxf>
    <dxf>
      <numFmt numFmtId="166" formatCode="_(* #,##0_);_(* \(#,##0\);_(* &quot;-&quot;??_);_(@_)"/>
    </dxf>
    <dxf>
      <numFmt numFmtId="14" formatCode="0.00%"/>
    </dxf>
    <dxf>
      <numFmt numFmtId="167" formatCode="[Color10]\⬆\️;[Red]\⬇\️"/>
    </dxf>
    <dxf>
      <alignment horizontal="center"/>
    </dxf>
    <dxf>
      <alignment vertical="center"/>
    </dxf>
    <dxf>
      <font>
        <sz val="12"/>
      </font>
    </dxf>
    <dxf>
      <alignment vertical="center"/>
    </dxf>
    <dxf>
      <alignment vertical="center"/>
    </dxf>
    <dxf>
      <alignment horizontal="center"/>
    </dxf>
    <dxf>
      <alignment horizontal="center"/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numFmt numFmtId="166" formatCode="_(* #,##0_);_(* \(#,##0\);_(* &quot;-&quot;??_);_(@_)"/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sz val="11"/>
      </font>
    </dxf>
    <dxf>
      <font>
        <name val="Aptos"/>
        <scheme val="none"/>
      </font>
    </dxf>
    <dxf>
      <numFmt numFmtId="166" formatCode="_(* #,##0_);_(* \(#,##0\);_(* &quot;-&quot;??_);_(@_)"/>
    </dxf>
    <dxf>
      <numFmt numFmtId="166" formatCode="_(* #,##0_);_(* \(#,##0\);_(* &quot;-&quot;??_);_(@_)"/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sz val="11"/>
      </font>
    </dxf>
    <dxf>
      <numFmt numFmtId="3" formatCode="#,##0"/>
    </dxf>
    <dxf>
      <font>
        <name val="Aptos"/>
        <scheme val="none"/>
      </font>
    </dxf>
    <dxf>
      <numFmt numFmtId="14" formatCode="0.00%"/>
    </dxf>
    <dxf>
      <font>
        <name val="Aptos"/>
        <scheme val="none"/>
      </font>
    </dxf>
    <dxf>
      <numFmt numFmtId="166" formatCode="_(* #,##0_);_(* \(#,##0\);_(* &quot;-&quot;??_);_(@_)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vertical="center"/>
    </dxf>
    <dxf>
      <alignment horizontal="center"/>
    </dxf>
    <dxf>
      <numFmt numFmtId="166" formatCode="_(* #,##0_);_(* \(#,##0\);_(* &quot;-&quot;??_);_(@_)"/>
    </dxf>
    <dxf>
      <font>
        <name val="Aptos"/>
        <scheme val="none"/>
      </font>
    </dxf>
    <dxf>
      <font>
        <name val="Aptos"/>
        <scheme val="none"/>
      </font>
    </dxf>
    <dxf>
      <numFmt numFmtId="166" formatCode="_(* #,##0_);_(* \(#,##0\);_(* &quot;-&quot;??_);_(@_)"/>
    </dxf>
    <dxf>
      <numFmt numFmtId="14" formatCode="0.00%"/>
    </dxf>
    <dxf>
      <numFmt numFmtId="167" formatCode="[Color10]\⬆\️;[Red]\⬇\️"/>
    </dxf>
    <dxf>
      <alignment horizontal="center"/>
    </dxf>
    <dxf>
      <alignment vertical="center"/>
    </dxf>
    <dxf>
      <font>
        <sz val="12"/>
      </font>
    </dxf>
    <dxf>
      <alignment vertical="center"/>
    </dxf>
    <dxf>
      <alignment vertical="center"/>
    </dxf>
    <dxf>
      <alignment horizontal="center"/>
    </dxf>
    <dxf>
      <alignment horizontal="center"/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numFmt numFmtId="166" formatCode="_(* #,##0_);_(* \(#,##0\);_(* &quot;-&quot;??_);_(@_)"/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sz val="11"/>
      </font>
    </dxf>
    <dxf>
      <font>
        <name val="Aptos"/>
        <scheme val="none"/>
      </font>
    </dxf>
    <dxf>
      <numFmt numFmtId="166" formatCode="_(* #,##0_);_(* \(#,##0\);_(* &quot;-&quot;??_);_(@_)"/>
    </dxf>
    <dxf>
      <numFmt numFmtId="166" formatCode="_(* #,##0_);_(* \(#,##0\);_(* &quot;-&quot;??_);_(@_)"/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sz val="11"/>
      </font>
    </dxf>
    <dxf>
      <numFmt numFmtId="3" formatCode="#,##0"/>
    </dxf>
    <dxf>
      <font>
        <name val="Aptos"/>
        <scheme val="none"/>
      </font>
    </dxf>
    <dxf>
      <numFmt numFmtId="14" formatCode="0.00%"/>
    </dxf>
    <dxf>
      <font>
        <name val="Aptos"/>
        <scheme val="none"/>
      </font>
    </dxf>
    <dxf>
      <numFmt numFmtId="166" formatCode="_(* #,##0_);_(* \(#,##0\);_(* &quot;-&quot;??_);_(@_)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vertical="center"/>
    </dxf>
    <dxf>
      <alignment horizontal="center"/>
    </dxf>
    <dxf>
      <numFmt numFmtId="166" formatCode="_(* #,##0_);_(* \(#,##0\);_(* &quot;-&quot;??_);_(@_)"/>
    </dxf>
    <dxf>
      <font>
        <name val="Aptos"/>
        <scheme val="none"/>
      </font>
    </dxf>
    <dxf>
      <font>
        <name val="Aptos"/>
        <scheme val="none"/>
      </font>
    </dxf>
    <dxf>
      <numFmt numFmtId="166" formatCode="_(* #,##0_);_(* \(#,##0\);_(* &quot;-&quot;??_);_(@_)"/>
    </dxf>
    <dxf>
      <numFmt numFmtId="14" formatCode="0.00%"/>
    </dxf>
    <dxf>
      <numFmt numFmtId="167" formatCode="[Color10]\⬆\️;[Red]\⬇\️"/>
    </dxf>
    <dxf>
      <alignment horizontal="center"/>
    </dxf>
    <dxf>
      <alignment vertical="center"/>
    </dxf>
    <dxf>
      <font>
        <sz val="12"/>
      </font>
    </dxf>
    <dxf>
      <alignment vertical="center"/>
    </dxf>
    <dxf>
      <alignment vertical="center"/>
    </dxf>
    <dxf>
      <alignment horizontal="center"/>
    </dxf>
    <dxf>
      <alignment horizontal="center"/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numFmt numFmtId="166" formatCode="_(* #,##0_);_(* \(#,##0\);_(* &quot;-&quot;??_);_(@_)"/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sz val="11"/>
      </font>
    </dxf>
    <dxf>
      <font>
        <name val="Aptos"/>
        <scheme val="none"/>
      </font>
    </dxf>
    <dxf>
      <numFmt numFmtId="166" formatCode="_(* #,##0_);_(* \(#,##0\);_(* &quot;-&quot;??_);_(@_)"/>
    </dxf>
    <dxf>
      <numFmt numFmtId="166" formatCode="_(* #,##0_);_(* \(#,##0\);_(* &quot;-&quot;??_);_(@_)"/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sz val="11"/>
      </font>
    </dxf>
    <dxf>
      <numFmt numFmtId="3" formatCode="#,##0"/>
    </dxf>
    <dxf>
      <font>
        <name val="Aptos"/>
        <scheme val="none"/>
      </font>
    </dxf>
    <dxf>
      <numFmt numFmtId="14" formatCode="0.00%"/>
    </dxf>
    <dxf>
      <font>
        <name val="Aptos"/>
        <scheme val="none"/>
      </font>
    </dxf>
    <dxf>
      <numFmt numFmtId="166" formatCode="_(* #,##0_);_(* \(#,##0\);_(* &quot;-&quot;??_);_(@_)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vertical="center"/>
    </dxf>
    <dxf>
      <alignment horizontal="center"/>
    </dxf>
    <dxf>
      <numFmt numFmtId="166" formatCode="_(* #,##0_);_(* \(#,##0\);_(* &quot;-&quot;??_);_(@_)"/>
    </dxf>
    <dxf>
      <font>
        <name val="Aptos"/>
        <scheme val="none"/>
      </font>
    </dxf>
    <dxf>
      <font>
        <name val="Aptos"/>
        <scheme val="none"/>
      </font>
    </dxf>
    <dxf>
      <numFmt numFmtId="166" formatCode="_(* #,##0_);_(* \(#,##0\);_(* &quot;-&quot;??_);_(@_)"/>
    </dxf>
    <dxf>
      <numFmt numFmtId="14" formatCode="0.00%"/>
    </dxf>
    <dxf>
      <numFmt numFmtId="167" formatCode="[Color10]\⬆\️;[Red]\⬇\️"/>
    </dxf>
    <dxf>
      <alignment horizontal="center"/>
    </dxf>
    <dxf>
      <alignment vertical="center"/>
    </dxf>
    <dxf>
      <font>
        <sz val="12"/>
      </font>
    </dxf>
    <dxf>
      <alignment vertical="center"/>
    </dxf>
    <dxf>
      <alignment vertical="center"/>
    </dxf>
    <dxf>
      <alignment horizontal="center"/>
    </dxf>
    <dxf>
      <alignment horizontal="center"/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numFmt numFmtId="166" formatCode="_(* #,##0_);_(* \(#,##0\);_(* &quot;-&quot;??_);_(@_)"/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sz val="11"/>
      </font>
    </dxf>
    <dxf>
      <font>
        <name val="Aptos"/>
        <scheme val="none"/>
      </font>
    </dxf>
    <dxf>
      <numFmt numFmtId="166" formatCode="_(* #,##0_);_(* \(#,##0\);_(* &quot;-&quot;??_);_(@_)"/>
    </dxf>
    <dxf>
      <numFmt numFmtId="166" formatCode="_(* #,##0_);_(* \(#,##0\);_(* &quot;-&quot;??_);_(@_)"/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sz val="11"/>
      </font>
    </dxf>
    <dxf>
      <numFmt numFmtId="3" formatCode="#,##0"/>
    </dxf>
    <dxf>
      <font>
        <name val="Aptos"/>
        <scheme val="none"/>
      </font>
    </dxf>
    <dxf>
      <numFmt numFmtId="14" formatCode="0.00%"/>
    </dxf>
    <dxf>
      <font>
        <name val="Aptos"/>
        <scheme val="none"/>
      </font>
    </dxf>
    <dxf>
      <numFmt numFmtId="166" formatCode="_(* #,##0_);_(* \(#,##0\);_(* &quot;-&quot;??_);_(@_)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vertical="center"/>
    </dxf>
    <dxf>
      <alignment horizontal="center"/>
    </dxf>
    <dxf>
      <numFmt numFmtId="166" formatCode="_(* #,##0_);_(* \(#,##0\);_(* &quot;-&quot;??_);_(@_)"/>
    </dxf>
    <dxf>
      <font>
        <name val="Aptos"/>
        <scheme val="none"/>
      </font>
    </dxf>
    <dxf>
      <font>
        <name val="Aptos"/>
        <scheme val="none"/>
      </font>
    </dxf>
    <dxf>
      <numFmt numFmtId="166" formatCode="_(* #,##0_);_(* \(#,##0\);_(* &quot;-&quot;??_);_(@_)"/>
    </dxf>
    <dxf>
      <numFmt numFmtId="14" formatCode="0.00%"/>
    </dxf>
    <dxf>
      <numFmt numFmtId="167" formatCode="[Color10]\⬆\️;[Red]\⬇\️"/>
    </dxf>
    <dxf>
      <alignment horizontal="center"/>
    </dxf>
    <dxf>
      <alignment vertical="center"/>
    </dxf>
    <dxf>
      <font>
        <sz val="12"/>
      </font>
    </dxf>
    <dxf>
      <alignment vertical="center"/>
    </dxf>
    <dxf>
      <alignment vertical="center"/>
    </dxf>
    <dxf>
      <alignment horizontal="center"/>
    </dxf>
    <dxf>
      <alignment horizontal="center"/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numFmt numFmtId="166" formatCode="_(* #,##0_);_(* \(#,##0\);_(* &quot;-&quot;??_);_(@_)"/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sz val="11"/>
      </font>
    </dxf>
    <dxf>
      <font>
        <b/>
        <i val="0"/>
        <color theme="0" tint="-4.9989318521683403E-2"/>
      </font>
      <fill>
        <gradientFill degree="90">
          <stop position="0">
            <color rgb="FF7471D9"/>
          </stop>
          <stop position="1">
            <color rgb="FF4A96D9"/>
          </stop>
        </gradientFill>
      </fill>
    </dxf>
    <dxf>
      <font>
        <b/>
        <i val="0"/>
        <color theme="0" tint="-4.9989318521683403E-2"/>
      </font>
      <fill>
        <gradientFill degree="90">
          <stop position="0">
            <color rgb="FF7471D9"/>
          </stop>
          <stop position="1">
            <color rgb="FF4A96D9"/>
          </stop>
        </gradientFill>
      </fill>
    </dxf>
    <dxf>
      <numFmt numFmtId="173" formatCode="_(&quot;$&quot;* #,##0_);_(&quot;$&quot;* \(#,##0\);_(&quot;$&quot;* &quot;-&quot;??_);_(@_)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4" formatCode="0.00%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2" defaultTableStyle="TableStyleMedium2" defaultPivotStyle="PivotStyleLight16">
    <tableStyle name="Dilimleyici Stili 1" pivot="0" table="0" count="4" xr9:uid="{B88C80CF-BF3A-4138-AFAF-6E644880DB0A}">
      <tableStyleElement type="wholeTable" dxfId="446"/>
      <tableStyleElement type="headerRow" dxfId="445"/>
    </tableStyle>
    <tableStyle name="PivotTable Stili 1" table="0" count="2" xr9:uid="{7BD96F76-1A87-491A-BED2-746271A54D0F}">
      <tableStyleElement type="headerRow" dxfId="4544"/>
      <tableStyleElement type="totalRow" dxfId="4543"/>
    </tableStyle>
  </tableStyles>
  <colors>
    <mruColors>
      <color rgb="FF7471D9"/>
      <color rgb="FF4A96D9"/>
      <color rgb="FFFFFFFF"/>
      <color rgb="FFD936CE"/>
      <color rgb="FFA659D9"/>
    </mruColors>
  </colors>
  <extLst>
    <ext xmlns:x14="http://schemas.microsoft.com/office/spreadsheetml/2009/9/main" uri="{46F421CA-312F-682f-3DD2-61675219B42D}">
      <x14:dxfs count="26">
        <dxf>
          <fill>
            <patternFill>
              <bgColor theme="0"/>
            </patternFill>
          </fill>
        </dxf>
        <dxf>
          <fill>
            <patternFill>
              <bgColor rgb="FF7471D9"/>
            </patternFill>
          </fill>
        </dxf>
        <dxf>
          <fill>
            <patternFill>
              <bgColor rgb="FF4A96D9"/>
            </patternFill>
          </fill>
        </dxf>
        <dxf>
          <fill>
            <patternFill>
              <bgColor rgb="FF7471D9"/>
            </patternFill>
          </fill>
        </dxf>
        <dxf>
          <fill>
            <patternFill>
              <bgColor theme="0"/>
            </patternFill>
          </fill>
        </dxf>
        <dxf>
          <fill>
            <patternFill>
              <bgColor rgb="FF4A96D9"/>
            </patternFill>
          </fill>
        </dxf>
        <dxf>
          <fill>
            <patternFill>
              <bgColor theme="0"/>
            </patternFill>
          </fill>
        </dxf>
        <dxf>
          <fill>
            <patternFill>
              <bgColor rgb="FF7471D9"/>
            </patternFill>
          </fill>
        </dxf>
        <dxf>
          <fill>
            <patternFill>
              <bgColor theme="0"/>
            </patternFill>
          </fill>
        </dxf>
        <dxf>
          <fill>
            <patternFill>
              <bgColor rgb="FF7471D9"/>
            </patternFill>
          </fill>
        </dxf>
        <dxf>
          <fill>
            <patternFill>
              <bgColor theme="0"/>
            </patternFill>
          </fill>
        </dxf>
        <dxf>
          <fill>
            <patternFill>
              <bgColor rgb="FF7471D9"/>
            </patternFill>
          </fill>
        </dxf>
        <dxf>
          <fill>
            <patternFill>
              <bgColor theme="0"/>
            </patternFill>
          </fill>
        </dxf>
        <dxf>
          <fill>
            <patternFill>
              <bgColor rgb="FF7471D9"/>
            </patternFill>
          </fill>
        </dxf>
        <dxf>
          <fill>
            <patternFill>
              <bgColor theme="0"/>
            </patternFill>
          </fill>
        </dxf>
        <dxf>
          <fill>
            <patternFill>
              <bgColor rgb="FF4A96D9"/>
            </patternFill>
          </fill>
        </dxf>
        <dxf>
          <fill>
            <patternFill>
              <bgColor theme="0"/>
            </patternFill>
          </fill>
        </dxf>
        <dxf>
          <fill>
            <patternFill>
              <bgColor rgb="FF4A96D9"/>
            </patternFill>
          </fill>
        </dxf>
        <dxf>
          <fill>
            <patternFill>
              <bgColor rgb="FF4A96D9"/>
            </patternFill>
          </fill>
        </dxf>
        <dxf>
          <fill>
            <patternFill>
              <bgColor theme="0"/>
            </patternFill>
          </fill>
        </dxf>
        <dxf>
          <fill>
            <patternFill>
              <bgColor theme="0"/>
            </patternFill>
          </fill>
        </dxf>
        <dxf>
          <fill>
            <patternFill>
              <bgColor theme="0"/>
            </patternFill>
          </fill>
        </dxf>
        <dxf>
          <font>
            <b/>
            <i val="0"/>
          </font>
          <fill>
            <patternFill>
              <bgColor rgb="FFFFFFFF"/>
            </patternFill>
          </fill>
        </dxf>
        <dxf>
          <font>
            <b/>
            <i val="0"/>
          </font>
          <fill>
            <patternFill>
              <bgColor rgb="FF4A96D9"/>
            </patternFill>
          </fill>
        </dxf>
        <dxf>
          <font>
            <b/>
            <i val="0"/>
          </font>
          <fill>
            <patternFill>
              <bgColor rgb="FF4A96D9"/>
            </patternFill>
          </fill>
        </dxf>
        <dxf>
          <font>
            <b/>
            <i val="0"/>
          </font>
          <fill>
            <patternFill>
              <bgColor rgb="FF4A96D9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Dilimleyici Stili 1">
          <x14:slicerStyleElements>
            <x14:slicerStyleElement type="unselectedItemWithData" dxfId="1"/>
            <x14:slicerStyleElement type="selectedItemWith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4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07/relationships/slicerCache" Target="slicerCaches/slicerCache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11" Type="http://schemas.openxmlformats.org/officeDocument/2006/relationships/sharedStrings" Target="sharedStrings.xml"/><Relationship Id="rId5" Type="http://schemas.microsoft.com/office/2007/relationships/slicerCache" Target="slicerCaches/slicerCache1.xml"/><Relationship Id="rId10" Type="http://schemas.openxmlformats.org/officeDocument/2006/relationships/styles" Target="styles.xml"/><Relationship Id="rId4" Type="http://schemas.openxmlformats.org/officeDocument/2006/relationships/pivotCacheDefinition" Target="pivotCache/pivotCacheDefinition1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[Project2.xlsx]Pivots!PivotTable9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gradFill>
              <a:gsLst>
                <a:gs pos="0">
                  <a:srgbClr val="D936CE"/>
                </a:gs>
                <a:gs pos="100000">
                  <a:schemeClr val="tx2">
                    <a:lumMod val="25000"/>
                    <a:lumOff val="75000"/>
                  </a:schemeClr>
                </a:gs>
              </a:gsLst>
              <a:lin ang="5400000" scaled="1"/>
            </a:gradFill>
            <a:round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effectLst>
                    <a:outerShdw blurRad="50800" dist="38100" dir="2700000" algn="tl" rotWithShape="0">
                      <a:prstClr val="black">
                        <a:alpha val="40000"/>
                      </a:prstClr>
                    </a:outerShdw>
                  </a:effectLst>
                  <a:latin typeface="Aptos" panose="020B0004020202020204" pitchFamily="34" charset="0"/>
                  <a:ea typeface="+mn-ea"/>
                  <a:cs typeface="+mn-cs"/>
                </a:defRPr>
              </a:pPr>
              <a:endParaRPr lang="tr-T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3.6560444885692218E-2"/>
          <c:y val="5.0749730085544356E-2"/>
          <c:w val="0.94380546595052606"/>
          <c:h val="0.73603528722821476"/>
        </c:manualLayout>
      </c:layout>
      <c:lineChart>
        <c:grouping val="standard"/>
        <c:varyColors val="0"/>
        <c:ser>
          <c:idx val="0"/>
          <c:order val="0"/>
          <c:tx>
            <c:strRef>
              <c:f>Pivots!$B$10</c:f>
              <c:strCache>
                <c:ptCount val="1"/>
                <c:pt idx="0">
                  <c:v>Toplam</c:v>
                </c:pt>
              </c:strCache>
            </c:strRef>
          </c:tx>
          <c:spPr>
            <a:ln w="28575" cap="rnd">
              <a:gradFill>
                <a:gsLst>
                  <a:gs pos="0">
                    <a:srgbClr val="D936CE"/>
                  </a:gs>
                  <a:gs pos="100000">
                    <a:schemeClr val="tx2">
                      <a:lumMod val="25000"/>
                      <a:lumOff val="75000"/>
                    </a:schemeClr>
                  </a:gs>
                </a:gsLst>
                <a:lin ang="5400000" scaled="1"/>
              </a:gradFill>
              <a:round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  <a:latin typeface="Aptos" panose="020B0004020202020204" pitchFamily="34" charset="0"/>
                    <a:ea typeface="+mn-ea"/>
                    <a:cs typeface="+mn-cs"/>
                  </a:defRPr>
                </a:pPr>
                <a:endParaRPr lang="tr-T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Pivots!$A$11:$A$26</c:f>
              <c:strCache>
                <c:ptCount val="15"/>
                <c:pt idx="0">
                  <c:v>Brightdog</c:v>
                </c:pt>
                <c:pt idx="1">
                  <c:v>Bubblemix</c:v>
                </c:pt>
                <c:pt idx="2">
                  <c:v>Devbug</c:v>
                </c:pt>
                <c:pt idx="3">
                  <c:v>Edgepulse</c:v>
                </c:pt>
                <c:pt idx="4">
                  <c:v>Jamia</c:v>
                </c:pt>
                <c:pt idx="5">
                  <c:v>Kazio</c:v>
                </c:pt>
                <c:pt idx="6">
                  <c:v>Leenti</c:v>
                </c:pt>
                <c:pt idx="7">
                  <c:v>Meemm</c:v>
                </c:pt>
                <c:pt idx="8">
                  <c:v>Mycat</c:v>
                </c:pt>
                <c:pt idx="9">
                  <c:v>Myworks</c:v>
                </c:pt>
                <c:pt idx="10">
                  <c:v>Pixoboo</c:v>
                </c:pt>
                <c:pt idx="11">
                  <c:v>Rhynyx</c:v>
                </c:pt>
                <c:pt idx="12">
                  <c:v>Tazzy</c:v>
                </c:pt>
                <c:pt idx="13">
                  <c:v>Thoughtblab</c:v>
                </c:pt>
                <c:pt idx="14">
                  <c:v>Twinte</c:v>
                </c:pt>
              </c:strCache>
            </c:strRef>
          </c:cat>
          <c:val>
            <c:numRef>
              <c:f>Pivots!$B$11:$B$26</c:f>
              <c:numCache>
                <c:formatCode>_(* #,##0_);_(* \(#,##0\);_(* "-"??_);_(@_)</c:formatCode>
                <c:ptCount val="15"/>
                <c:pt idx="0">
                  <c:v>192051</c:v>
                </c:pt>
                <c:pt idx="1">
                  <c:v>168311</c:v>
                </c:pt>
                <c:pt idx="2">
                  <c:v>180117</c:v>
                </c:pt>
                <c:pt idx="3">
                  <c:v>198875</c:v>
                </c:pt>
                <c:pt idx="4">
                  <c:v>190371</c:v>
                </c:pt>
                <c:pt idx="5">
                  <c:v>176830</c:v>
                </c:pt>
                <c:pt idx="6">
                  <c:v>194997</c:v>
                </c:pt>
                <c:pt idx="7">
                  <c:v>367156</c:v>
                </c:pt>
                <c:pt idx="8">
                  <c:v>186096</c:v>
                </c:pt>
                <c:pt idx="9">
                  <c:v>185224</c:v>
                </c:pt>
                <c:pt idx="10">
                  <c:v>167742</c:v>
                </c:pt>
                <c:pt idx="11">
                  <c:v>188231</c:v>
                </c:pt>
                <c:pt idx="12">
                  <c:v>196317</c:v>
                </c:pt>
                <c:pt idx="13">
                  <c:v>183314</c:v>
                </c:pt>
                <c:pt idx="14">
                  <c:v>181599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9CF-46D5-A139-4B347A121F1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04642112"/>
        <c:axId val="1004647872"/>
      </c:lineChart>
      <c:catAx>
        <c:axId val="1004642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  <a:latin typeface="Aptos" panose="020B0004020202020204" pitchFamily="34" charset="0"/>
                <a:ea typeface="+mn-ea"/>
                <a:cs typeface="+mn-cs"/>
              </a:defRPr>
            </a:pPr>
            <a:endParaRPr lang="tr-TR"/>
          </a:p>
        </c:txPr>
        <c:crossAx val="1004647872"/>
        <c:crosses val="autoZero"/>
        <c:auto val="1"/>
        <c:lblAlgn val="ctr"/>
        <c:lblOffset val="100"/>
        <c:noMultiLvlLbl val="0"/>
      </c:catAx>
      <c:valAx>
        <c:axId val="1004647872"/>
        <c:scaling>
          <c:orientation val="minMax"/>
        </c:scaling>
        <c:delete val="1"/>
        <c:axPos val="l"/>
        <c:numFmt formatCode="_(* #,##0_);_(* \(#,##0\);_(* &quot;-&quot;??_);_(@_)" sourceLinked="1"/>
        <c:majorTickMark val="none"/>
        <c:minorTickMark val="none"/>
        <c:tickLblPos val="nextTo"/>
        <c:crossAx val="1004642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>
      <a:gsLst>
        <a:gs pos="0">
          <a:srgbClr val="7471D9"/>
        </a:gs>
        <a:gs pos="100000">
          <a:schemeClr val="accent1">
            <a:lumMod val="45000"/>
            <a:lumOff val="55000"/>
          </a:schemeClr>
        </a:gs>
        <a:gs pos="100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</a:gradFill>
    <a:ln w="6350" cap="flat" cmpd="sng" algn="ctr">
      <a:noFill/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sv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5" Type="http://schemas.openxmlformats.org/officeDocument/2006/relationships/image" Target="../media/image5.png"/><Relationship Id="rId4" Type="http://schemas.openxmlformats.org/officeDocument/2006/relationships/image" Target="../media/image4.svg"/><Relationship Id="rId9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12</xdr:col>
      <xdr:colOff>142875</xdr:colOff>
      <xdr:row>20</xdr:row>
      <xdr:rowOff>161925</xdr:rowOff>
    </xdr:from>
    <xdr:to>
      <xdr:col>24</xdr:col>
      <xdr:colOff>85725</xdr:colOff>
      <xdr:row>35</xdr:row>
      <xdr:rowOff>161925</xdr:rowOff>
    </xdr:to>
    <xdr:sp macro="" textlink="">
      <xdr:nvSpPr>
        <xdr:cNvPr id="35" name="Dikdörtgen: Köşeleri Yuvarlatılmış 34">
          <a:extLst>
            <a:ext uri="{FF2B5EF4-FFF2-40B4-BE49-F238E27FC236}">
              <a16:creationId xmlns:a16="http://schemas.microsoft.com/office/drawing/2014/main" id="{50C809EF-923B-4AFE-A646-CEAF8B541DFA}"/>
            </a:ext>
          </a:extLst>
        </xdr:cNvPr>
        <xdr:cNvSpPr/>
      </xdr:nvSpPr>
      <xdr:spPr>
        <a:xfrm>
          <a:off x="8896350" y="3971925"/>
          <a:ext cx="7258050" cy="2981325"/>
        </a:xfrm>
        <a:prstGeom prst="roundRect">
          <a:avLst>
            <a:gd name="adj" fmla="val 7243"/>
          </a:avLst>
        </a:prstGeom>
        <a:gradFill>
          <a:gsLst>
            <a:gs pos="0">
              <a:srgbClr val="7471D9"/>
            </a:gs>
            <a:gs pos="100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 w="9525"/>
        <a:effectLst>
          <a:outerShdw blurRad="50800" dist="38100" algn="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a:endParaRPr>
        </a:p>
      </xdr:txBody>
    </xdr:sp>
    <xdr:clientData/>
  </xdr:twoCellAnchor>
  <xdr:twoCellAnchor editAs="absolute">
    <xdr:from>
      <xdr:col>0</xdr:col>
      <xdr:colOff>838200</xdr:colOff>
      <xdr:row>1</xdr:row>
      <xdr:rowOff>114300</xdr:rowOff>
    </xdr:from>
    <xdr:to>
      <xdr:col>24</xdr:col>
      <xdr:colOff>66675</xdr:colOff>
      <xdr:row>11</xdr:row>
      <xdr:rowOff>28575</xdr:rowOff>
    </xdr:to>
    <xdr:sp macro="" textlink="">
      <xdr:nvSpPr>
        <xdr:cNvPr id="2" name="Dikdörtgen: Köşeleri Yuvarlatılmış 1">
          <a:extLst>
            <a:ext uri="{FF2B5EF4-FFF2-40B4-BE49-F238E27FC236}">
              <a16:creationId xmlns:a16="http://schemas.microsoft.com/office/drawing/2014/main" id="{57C12F60-D5C3-EC8F-2FCB-42EBEBEBC419}"/>
            </a:ext>
          </a:extLst>
        </xdr:cNvPr>
        <xdr:cNvSpPr/>
      </xdr:nvSpPr>
      <xdr:spPr>
        <a:xfrm>
          <a:off x="838200" y="304800"/>
          <a:ext cx="15297150" cy="1819275"/>
        </a:xfrm>
        <a:prstGeom prst="roundRect">
          <a:avLst>
            <a:gd name="adj" fmla="val 7243"/>
          </a:avLst>
        </a:prstGeom>
        <a:solidFill>
          <a:srgbClr val="7471D9"/>
        </a:solidFill>
        <a:ln w="9525"/>
        <a:effectLst>
          <a:outerShdw blurRad="50800" dist="38100" algn="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a:endParaRPr>
        </a:p>
      </xdr:txBody>
    </xdr:sp>
    <xdr:clientData/>
  </xdr:twoCellAnchor>
  <xdr:twoCellAnchor editAs="absolute">
    <xdr:from>
      <xdr:col>0</xdr:col>
      <xdr:colOff>866775</xdr:colOff>
      <xdr:row>12</xdr:row>
      <xdr:rowOff>75671</xdr:rowOff>
    </xdr:from>
    <xdr:to>
      <xdr:col>5</xdr:col>
      <xdr:colOff>28575</xdr:colOff>
      <xdr:row>19</xdr:row>
      <xdr:rowOff>75671</xdr:rowOff>
    </xdr:to>
    <xdr:grpSp>
      <xdr:nvGrpSpPr>
        <xdr:cNvPr id="30" name="Grup 29">
          <a:extLst>
            <a:ext uri="{FF2B5EF4-FFF2-40B4-BE49-F238E27FC236}">
              <a16:creationId xmlns:a16="http://schemas.microsoft.com/office/drawing/2014/main" id="{1BD7D084-FA85-BAAF-35DA-A55258141177}"/>
            </a:ext>
          </a:extLst>
        </xdr:cNvPr>
        <xdr:cNvGrpSpPr/>
      </xdr:nvGrpSpPr>
      <xdr:grpSpPr>
        <a:xfrm>
          <a:off x="866775" y="2361671"/>
          <a:ext cx="2781300" cy="1333500"/>
          <a:chOff x="866775" y="2439988"/>
          <a:chExt cx="2876550" cy="1333500"/>
        </a:xfrm>
      </xdr:grpSpPr>
      <xdr:sp macro="" textlink="Pivots!A4">
        <xdr:nvSpPr>
          <xdr:cNvPr id="3" name="Dikdörtgen: Köşeleri Yuvarlatılmış 2">
            <a:extLst>
              <a:ext uri="{FF2B5EF4-FFF2-40B4-BE49-F238E27FC236}">
                <a16:creationId xmlns:a16="http://schemas.microsoft.com/office/drawing/2014/main" id="{E43CAD64-ADB3-45CD-A362-31A412DD727F}"/>
              </a:ext>
            </a:extLst>
          </xdr:cNvPr>
          <xdr:cNvSpPr/>
        </xdr:nvSpPr>
        <xdr:spPr>
          <a:xfrm>
            <a:off x="866775" y="2439988"/>
            <a:ext cx="2876550" cy="1333500"/>
          </a:xfrm>
          <a:prstGeom prst="roundRect">
            <a:avLst>
              <a:gd name="adj" fmla="val 7243"/>
            </a:avLst>
          </a:prstGeom>
          <a:gradFill>
            <a:gsLst>
              <a:gs pos="0">
                <a:srgbClr val="7471D9"/>
              </a:gs>
              <a:gs pos="75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  <a:ln w="9525"/>
          <a:effectLst>
            <a:outerShdw blurRad="50800" dist="38100" algn="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b"/>
          <a:lstStyle/>
          <a:p>
            <a:pPr marL="0" indent="0" algn="ctr"/>
            <a:fld id="{8544C10C-45F2-4093-BCFA-757C443EE710}" type="TxLink">
              <a:rPr lang="en-US" sz="2800" b="1" i="0" u="none" strike="noStrike">
                <a:solidFill>
                  <a:schemeClr val="bg1"/>
                </a:solidFill>
                <a:effectLst>
                  <a:outerShdw blurRad="60007" dist="200025" dir="15000000" sy="30000" kx="-1800000" algn="bl" rotWithShape="0">
                    <a:prstClr val="black">
                      <a:alpha val="32000"/>
                    </a:prstClr>
                  </a:outerShdw>
                </a:effectLst>
                <a:latin typeface="Aptos" panose="020B0004020202020204" pitchFamily="34" charset="0"/>
                <a:ea typeface="+mn-ea"/>
                <a:cs typeface="+mn-cs"/>
              </a:rPr>
              <a:pPr marL="0" indent="0" algn="ctr"/>
              <a:t> 2,957,231 </a:t>
            </a:fld>
            <a:endParaRPr lang="tr-TR" sz="2800" b="1" i="0" u="none" strike="noStrike">
              <a:solidFill>
                <a:schemeClr val="bg1"/>
              </a:solidFill>
              <a:effectLst>
                <a:outerShdw blurRad="60007" dist="200025" dir="15000000" sy="30000" kx="-1800000" algn="bl" rotWithShape="0">
                  <a:prstClr val="black">
                    <a:alpha val="32000"/>
                  </a:prstClr>
                </a:outerShdw>
              </a:effectLst>
              <a:latin typeface="Aptos" panose="020B0004020202020204" pitchFamily="34" charset="0"/>
              <a:ea typeface="+mn-ea"/>
              <a:cs typeface="+mn-cs"/>
            </a:endParaRPr>
          </a:p>
        </xdr:txBody>
      </xdr:sp>
      <xdr:sp macro="" textlink="">
        <xdr:nvSpPr>
          <xdr:cNvPr id="10" name="Metin kutusu 9">
            <a:extLst>
              <a:ext uri="{FF2B5EF4-FFF2-40B4-BE49-F238E27FC236}">
                <a16:creationId xmlns:a16="http://schemas.microsoft.com/office/drawing/2014/main" id="{D2DEF823-EF5C-A9AE-415D-2607D1B3D4B2}"/>
              </a:ext>
            </a:extLst>
          </xdr:cNvPr>
          <xdr:cNvSpPr txBox="1"/>
        </xdr:nvSpPr>
        <xdr:spPr>
          <a:xfrm>
            <a:off x="2085974" y="2476500"/>
            <a:ext cx="914401" cy="428625"/>
          </a:xfrm>
          <a:prstGeom prst="rect">
            <a:avLst/>
          </a:prstGeom>
          <a:noFill/>
          <a:ln w="9525" cmpd="sng"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2400" b="1">
                <a:solidFill>
                  <a:schemeClr val="bg1"/>
                </a:solidFill>
                <a:effectLst>
                  <a:outerShdw blurRad="60007" dist="200025" dir="15000000" sy="30000" kx="-1800000" algn="bl" rotWithShape="0">
                    <a:prstClr val="black">
                      <a:alpha val="32000"/>
                    </a:prstClr>
                  </a:outerShdw>
                </a:effectLst>
                <a:latin typeface="Aptos" panose="020B0004020202020204" pitchFamily="34" charset="0"/>
                <a:ea typeface="+mn-ea"/>
                <a:cs typeface="+mn-cs"/>
              </a:rPr>
              <a:t>Total</a:t>
            </a:r>
            <a:endParaRPr lang="tr-TR" sz="2400" b="1">
              <a:solidFill>
                <a:schemeClr val="bg1"/>
              </a:solidFill>
              <a:effectLst>
                <a:outerShdw blurRad="60007" dist="200025" dir="15000000" sy="30000" kx="-1800000" algn="bl" rotWithShape="0">
                  <a:prstClr val="black">
                    <a:alpha val="32000"/>
                  </a:prstClr>
                </a:outerShdw>
              </a:effectLst>
              <a:latin typeface="Aptos" panose="020B0004020202020204" pitchFamily="34" charset="0"/>
              <a:ea typeface="+mn-ea"/>
              <a:cs typeface="+mn-cs"/>
            </a:endParaRPr>
          </a:p>
        </xdr:txBody>
      </xdr:sp>
      <xdr:sp macro="" textlink="">
        <xdr:nvSpPr>
          <xdr:cNvPr id="11" name="Metin kutusu 10">
            <a:extLst>
              <a:ext uri="{FF2B5EF4-FFF2-40B4-BE49-F238E27FC236}">
                <a16:creationId xmlns:a16="http://schemas.microsoft.com/office/drawing/2014/main" id="{CC8C51F3-AF5F-4F1B-8135-D861F528F2EB}"/>
              </a:ext>
            </a:extLst>
          </xdr:cNvPr>
          <xdr:cNvSpPr txBox="1"/>
        </xdr:nvSpPr>
        <xdr:spPr>
          <a:xfrm>
            <a:off x="2562223" y="2847975"/>
            <a:ext cx="988829" cy="371475"/>
          </a:xfrm>
          <a:prstGeom prst="rect">
            <a:avLst/>
          </a:prstGeom>
          <a:noFill/>
          <a:ln w="9525" cmpd="sng"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2400" b="1">
                <a:solidFill>
                  <a:schemeClr val="bg1"/>
                </a:solidFill>
                <a:effectLst>
                  <a:outerShdw blurRad="60007" dist="200025" dir="15000000" sy="30000" kx="-1800000" algn="bl" rotWithShape="0">
                    <a:prstClr val="black">
                      <a:alpha val="32000"/>
                    </a:prstClr>
                  </a:outerShdw>
                </a:effectLst>
                <a:latin typeface="Aptos" panose="020B0004020202020204" pitchFamily="34" charset="0"/>
                <a:ea typeface="+mn-ea"/>
                <a:cs typeface="+mn-cs"/>
              </a:rPr>
              <a:t>Sales</a:t>
            </a:r>
            <a:endParaRPr lang="tr-TR" sz="2400" b="1">
              <a:solidFill>
                <a:schemeClr val="bg1"/>
              </a:solidFill>
              <a:effectLst>
                <a:outerShdw blurRad="60007" dist="200025" dir="15000000" sy="30000" kx="-1800000" algn="bl" rotWithShape="0">
                  <a:prstClr val="black">
                    <a:alpha val="32000"/>
                  </a:prstClr>
                </a:outerShdw>
              </a:effectLst>
              <a:latin typeface="Aptos" panose="020B0004020202020204" pitchFamily="34" charset="0"/>
              <a:ea typeface="+mn-ea"/>
              <a:cs typeface="+mn-cs"/>
            </a:endParaRPr>
          </a:p>
        </xdr:txBody>
      </xdr:sp>
      <xdr:pic>
        <xdr:nvPicPr>
          <xdr:cNvPr id="20" name="Grafik 19" descr="Yukarı eğilimli çubuk grafik düz dolguyla">
            <a:extLst>
              <a:ext uri="{FF2B5EF4-FFF2-40B4-BE49-F238E27FC236}">
                <a16:creationId xmlns:a16="http://schemas.microsoft.com/office/drawing/2014/main" id="{E52A1936-B53B-9422-15B8-2472AEB002C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942974" y="2549524"/>
            <a:ext cx="731520" cy="731520"/>
          </a:xfrm>
          <a:prstGeom prst="rect">
            <a:avLst/>
          </a:prstGeom>
          <a:effectLst>
            <a:outerShdw blurRad="50800" dist="38100" algn="l" rotWithShape="0">
              <a:prstClr val="black">
                <a:alpha val="40000"/>
              </a:prstClr>
            </a:outerShdw>
          </a:effectLst>
        </xdr:spPr>
      </xdr:pic>
    </xdr:grpSp>
    <xdr:clientData/>
  </xdr:twoCellAnchor>
  <xdr:twoCellAnchor editAs="absolute">
    <xdr:from>
      <xdr:col>6</xdr:col>
      <xdr:colOff>573666</xdr:colOff>
      <xdr:row>12</xdr:row>
      <xdr:rowOff>80434</xdr:rowOff>
    </xdr:from>
    <xdr:to>
      <xdr:col>10</xdr:col>
      <xdr:colOff>376668</xdr:colOff>
      <xdr:row>19</xdr:row>
      <xdr:rowOff>70908</xdr:rowOff>
    </xdr:to>
    <xdr:grpSp>
      <xdr:nvGrpSpPr>
        <xdr:cNvPr id="31" name="Grup 30">
          <a:extLst>
            <a:ext uri="{FF2B5EF4-FFF2-40B4-BE49-F238E27FC236}">
              <a16:creationId xmlns:a16="http://schemas.microsoft.com/office/drawing/2014/main" id="{70A8A10F-AB3D-E552-6C9E-66F2CA87EDF9}"/>
            </a:ext>
          </a:extLst>
        </xdr:cNvPr>
        <xdr:cNvGrpSpPr/>
      </xdr:nvGrpSpPr>
      <xdr:grpSpPr>
        <a:xfrm>
          <a:off x="4805487" y="2366434"/>
          <a:ext cx="3109538" cy="1323974"/>
          <a:chOff x="4832350" y="2441576"/>
          <a:chExt cx="3108177" cy="1323974"/>
        </a:xfrm>
      </xdr:grpSpPr>
      <xdr:sp macro="" textlink="Pivots!C4">
        <xdr:nvSpPr>
          <xdr:cNvPr id="5" name="Dikdörtgen: Köşeleri Yuvarlatılmış 4">
            <a:extLst>
              <a:ext uri="{FF2B5EF4-FFF2-40B4-BE49-F238E27FC236}">
                <a16:creationId xmlns:a16="http://schemas.microsoft.com/office/drawing/2014/main" id="{7FC47A5B-DB38-40D5-AF2D-913077F0B725}"/>
              </a:ext>
            </a:extLst>
          </xdr:cNvPr>
          <xdr:cNvSpPr/>
        </xdr:nvSpPr>
        <xdr:spPr>
          <a:xfrm>
            <a:off x="4832350" y="2441576"/>
            <a:ext cx="3038475" cy="1323974"/>
          </a:xfrm>
          <a:prstGeom prst="roundRect">
            <a:avLst>
              <a:gd name="adj" fmla="val 7243"/>
            </a:avLst>
          </a:prstGeom>
          <a:gradFill>
            <a:gsLst>
              <a:gs pos="0">
                <a:srgbClr val="7471D9"/>
              </a:gs>
              <a:gs pos="75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  <a:ln w="9525"/>
          <a:effectLst>
            <a:outerShdw blurRad="50800" dist="38100" algn="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b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fld id="{775D52A1-3933-4ED6-AF20-795EB8726AFA}" type="TxLink">
              <a:rPr lang="en-US" sz="2800" b="1" i="0" u="none" strike="noStrike">
                <a:solidFill>
                  <a:schemeClr val="bg1"/>
                </a:solidFill>
                <a:effectLst>
                  <a:outerShdw blurRad="60007" dist="200025" dir="15000000" sy="30000" kx="-1800000" algn="bl" rotWithShape="0">
                    <a:prstClr val="black">
                      <a:alpha val="32000"/>
                    </a:prstClr>
                  </a:outerShdw>
                </a:effectLst>
                <a:latin typeface="Aptos" panose="020B0004020202020204" pitchFamily="34" charset="0"/>
                <a:ea typeface="+mn-ea"/>
                <a:cs typeface="+mn-cs"/>
              </a:rPr>
              <a:pPr marL="0" indent="0" algn="ctr"/>
              <a:t> 30,488 </a:t>
            </a:fld>
            <a:endParaRPr lang="tr-TR" sz="2800" b="1" i="0" u="none" strike="noStrike">
              <a:solidFill>
                <a:schemeClr val="bg1"/>
              </a:solidFill>
              <a:effectLst>
                <a:outerShdw blurRad="60007" dist="200025" dir="15000000" sy="30000" kx="-1800000" algn="bl" rotWithShape="0">
                  <a:prstClr val="black">
                    <a:alpha val="32000"/>
                  </a:prstClr>
                </a:outerShdw>
              </a:effectLst>
              <a:latin typeface="Aptos" panose="020B0004020202020204" pitchFamily="34" charset="0"/>
              <a:ea typeface="+mn-ea"/>
              <a:cs typeface="+mn-cs"/>
            </a:endParaRPr>
          </a:p>
        </xdr:txBody>
      </xdr:sp>
      <xdr:pic>
        <xdr:nvPicPr>
          <xdr:cNvPr id="17" name="Grafik 16" descr="Aşağı Eğilimli Çubuk Grafik düz dolguyla">
            <a:extLst>
              <a:ext uri="{FF2B5EF4-FFF2-40B4-BE49-F238E27FC236}">
                <a16:creationId xmlns:a16="http://schemas.microsoft.com/office/drawing/2014/main" id="{805E98C2-22A2-E1C7-FC5D-86D1FCC2FE7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96DAC541-7B7A-43D3-8B79-37D633B846F1}">
                <asvg:svgBlip xmlns:asvg="http://schemas.microsoft.com/office/drawing/2016/SVG/main" r:embed="rId4"/>
              </a:ext>
            </a:extLst>
          </a:blip>
          <a:stretch>
            <a:fillRect/>
          </a:stretch>
        </xdr:blipFill>
        <xdr:spPr>
          <a:xfrm>
            <a:off x="4927599" y="2552698"/>
            <a:ext cx="731520" cy="731520"/>
          </a:xfrm>
          <a:prstGeom prst="rect">
            <a:avLst/>
          </a:prstGeom>
          <a:effectLst>
            <a:outerShdw blurRad="50800" dist="38100" algn="l" rotWithShape="0">
              <a:prstClr val="black">
                <a:alpha val="40000"/>
              </a:prstClr>
            </a:outerShdw>
          </a:effectLst>
        </xdr:spPr>
      </xdr:pic>
      <xdr:sp macro="" textlink="">
        <xdr:nvSpPr>
          <xdr:cNvPr id="18" name="Metin kutusu 17">
            <a:extLst>
              <a:ext uri="{FF2B5EF4-FFF2-40B4-BE49-F238E27FC236}">
                <a16:creationId xmlns:a16="http://schemas.microsoft.com/office/drawing/2014/main" id="{A39F9091-0EA4-49D3-9493-791F141A2F50}"/>
              </a:ext>
            </a:extLst>
          </xdr:cNvPr>
          <xdr:cNvSpPr txBox="1"/>
        </xdr:nvSpPr>
        <xdr:spPr>
          <a:xfrm>
            <a:off x="6315074" y="2847975"/>
            <a:ext cx="1625453" cy="428625"/>
          </a:xfrm>
          <a:prstGeom prst="rect">
            <a:avLst/>
          </a:prstGeom>
          <a:noFill/>
          <a:ln w="9525" cmpd="sng"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2400" b="1">
                <a:solidFill>
                  <a:schemeClr val="bg1"/>
                </a:solidFill>
                <a:effectLst>
                  <a:outerShdw blurRad="60007" dist="200025" dir="15000000" sy="30000" kx="-1800000" algn="bl" rotWithShape="0">
                    <a:prstClr val="black">
                      <a:alpha val="32000"/>
                    </a:prstClr>
                  </a:outerShdw>
                </a:effectLst>
                <a:latin typeface="Aptos" panose="020B0004020202020204" pitchFamily="34" charset="0"/>
                <a:ea typeface="+mn-ea"/>
                <a:cs typeface="+mn-cs"/>
              </a:rPr>
              <a:t>Returns</a:t>
            </a:r>
            <a:endParaRPr lang="tr-TR" sz="2400" b="1">
              <a:solidFill>
                <a:schemeClr val="bg1"/>
              </a:solidFill>
              <a:effectLst>
                <a:outerShdw blurRad="60007" dist="200025" dir="15000000" sy="30000" kx="-1800000" algn="bl" rotWithShape="0">
                  <a:prstClr val="black">
                    <a:alpha val="32000"/>
                  </a:prstClr>
                </a:outerShdw>
              </a:effectLst>
              <a:latin typeface="Aptos" panose="020B0004020202020204" pitchFamily="34" charset="0"/>
              <a:ea typeface="+mn-ea"/>
              <a:cs typeface="+mn-cs"/>
            </a:endParaRPr>
          </a:p>
        </xdr:txBody>
      </xdr:sp>
      <xdr:sp macro="" textlink="">
        <xdr:nvSpPr>
          <xdr:cNvPr id="22" name="Metin kutusu 21">
            <a:extLst>
              <a:ext uri="{FF2B5EF4-FFF2-40B4-BE49-F238E27FC236}">
                <a16:creationId xmlns:a16="http://schemas.microsoft.com/office/drawing/2014/main" id="{4D8B2986-B4E9-4EB2-9BD4-4BBA3D9FBDB8}"/>
              </a:ext>
            </a:extLst>
          </xdr:cNvPr>
          <xdr:cNvSpPr txBox="1"/>
        </xdr:nvSpPr>
        <xdr:spPr>
          <a:xfrm>
            <a:off x="6115049" y="2486025"/>
            <a:ext cx="1143001" cy="428625"/>
          </a:xfrm>
          <a:prstGeom prst="rect">
            <a:avLst/>
          </a:prstGeom>
          <a:noFill/>
          <a:ln w="9525" cmpd="sng"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2400" b="1">
                <a:solidFill>
                  <a:schemeClr val="bg1"/>
                </a:solidFill>
                <a:effectLst>
                  <a:outerShdw blurRad="60007" dist="200025" dir="15000000" sy="30000" kx="-1800000" algn="bl" rotWithShape="0">
                    <a:prstClr val="black">
                      <a:alpha val="32000"/>
                    </a:prstClr>
                  </a:outerShdw>
                </a:effectLst>
                <a:latin typeface="Aptos" panose="020B0004020202020204" pitchFamily="34" charset="0"/>
                <a:ea typeface="+mn-ea"/>
                <a:cs typeface="+mn-cs"/>
              </a:rPr>
              <a:t>Total</a:t>
            </a:r>
            <a:endParaRPr lang="tr-TR" sz="2400" b="1">
              <a:solidFill>
                <a:schemeClr val="bg1"/>
              </a:solidFill>
              <a:effectLst>
                <a:outerShdw blurRad="60007" dist="200025" dir="15000000" sy="30000" kx="-1800000" algn="bl" rotWithShape="0">
                  <a:prstClr val="black">
                    <a:alpha val="32000"/>
                  </a:prstClr>
                </a:outerShdw>
              </a:effectLst>
              <a:latin typeface="Aptos" panose="020B0004020202020204" pitchFamily="34" charset="0"/>
              <a:ea typeface="+mn-ea"/>
              <a:cs typeface="+mn-cs"/>
            </a:endParaRPr>
          </a:p>
        </xdr:txBody>
      </xdr:sp>
    </xdr:grpSp>
    <xdr:clientData/>
  </xdr:twoCellAnchor>
  <xdr:twoCellAnchor editAs="absolute">
    <xdr:from>
      <xdr:col>12</xdr:col>
      <xdr:colOff>312159</xdr:colOff>
      <xdr:row>12</xdr:row>
      <xdr:rowOff>75671</xdr:rowOff>
    </xdr:from>
    <xdr:to>
      <xdr:col>17</xdr:col>
      <xdr:colOff>121659</xdr:colOff>
      <xdr:row>19</xdr:row>
      <xdr:rowOff>75671</xdr:rowOff>
    </xdr:to>
    <xdr:grpSp>
      <xdr:nvGrpSpPr>
        <xdr:cNvPr id="32" name="Grup 31">
          <a:extLst>
            <a:ext uri="{FF2B5EF4-FFF2-40B4-BE49-F238E27FC236}">
              <a16:creationId xmlns:a16="http://schemas.microsoft.com/office/drawing/2014/main" id="{3BFC4D57-70A2-6CBC-084D-8C6F18ECBD03}"/>
            </a:ext>
          </a:extLst>
        </xdr:cNvPr>
        <xdr:cNvGrpSpPr/>
      </xdr:nvGrpSpPr>
      <xdr:grpSpPr>
        <a:xfrm>
          <a:off x="9075159" y="2361671"/>
          <a:ext cx="2871107" cy="1333500"/>
          <a:chOff x="8959850" y="2433638"/>
          <a:chExt cx="2857500" cy="1333500"/>
        </a:xfrm>
      </xdr:grpSpPr>
      <xdr:sp macro="" textlink="Pivots!C8">
        <xdr:nvSpPr>
          <xdr:cNvPr id="6" name="Dikdörtgen: Köşeleri Yuvarlatılmış 5">
            <a:extLst>
              <a:ext uri="{FF2B5EF4-FFF2-40B4-BE49-F238E27FC236}">
                <a16:creationId xmlns:a16="http://schemas.microsoft.com/office/drawing/2014/main" id="{2A019C50-4BD2-4F31-A95F-8A29A4D9E4E4}"/>
              </a:ext>
            </a:extLst>
          </xdr:cNvPr>
          <xdr:cNvSpPr/>
        </xdr:nvSpPr>
        <xdr:spPr>
          <a:xfrm>
            <a:off x="8959850" y="2433638"/>
            <a:ext cx="2857500" cy="1333500"/>
          </a:xfrm>
          <a:prstGeom prst="roundRect">
            <a:avLst>
              <a:gd name="adj" fmla="val 7243"/>
            </a:avLst>
          </a:prstGeom>
          <a:gradFill>
            <a:gsLst>
              <a:gs pos="0">
                <a:srgbClr val="7471D9"/>
              </a:gs>
              <a:gs pos="75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  <a:ln w="9525"/>
          <a:effectLst>
            <a:outerShdw blurRad="50800" dist="38100" algn="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b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fld id="{B949CBBD-315C-42DF-AE1A-7CA5AEE8B6F4}" type="TxLink">
              <a:rPr lang="en-US" sz="2800" b="1" i="0" u="none" strike="noStrike">
                <a:solidFill>
                  <a:schemeClr val="bg1"/>
                </a:solidFill>
                <a:effectLst>
                  <a:outerShdw blurRad="60007" dist="200025" dir="15000000" sy="30000" kx="-1800000" algn="bl" rotWithShape="0">
                    <a:prstClr val="black">
                      <a:alpha val="32000"/>
                    </a:prstClr>
                  </a:outerShdw>
                </a:effectLst>
                <a:latin typeface="Aptos" panose="020B0004020202020204" pitchFamily="34" charset="0"/>
                <a:ea typeface="+mn-ea"/>
                <a:cs typeface="+mn-cs"/>
              </a:rPr>
              <a:pPr marL="0" indent="0" algn="ctr"/>
              <a:t>1.23%</a:t>
            </a:fld>
            <a:endParaRPr lang="tr-TR" sz="2800" b="1" i="0" u="none" strike="noStrike">
              <a:solidFill>
                <a:schemeClr val="bg1"/>
              </a:solidFill>
              <a:effectLst>
                <a:outerShdw blurRad="60007" dist="200025" dir="15000000" sy="30000" kx="-1800000" algn="bl" rotWithShape="0">
                  <a:prstClr val="black">
                    <a:alpha val="32000"/>
                  </a:prstClr>
                </a:outerShdw>
              </a:effectLst>
              <a:latin typeface="Aptos" panose="020B0004020202020204" pitchFamily="34" charset="0"/>
              <a:ea typeface="+mn-ea"/>
              <a:cs typeface="+mn-cs"/>
            </a:endParaRPr>
          </a:p>
        </xdr:txBody>
      </xdr:sp>
      <xdr:sp macro="" textlink="">
        <xdr:nvSpPr>
          <xdr:cNvPr id="23" name="Metin kutusu 22">
            <a:extLst>
              <a:ext uri="{FF2B5EF4-FFF2-40B4-BE49-F238E27FC236}">
                <a16:creationId xmlns:a16="http://schemas.microsoft.com/office/drawing/2014/main" id="{29A6AF9F-5FA6-4F21-B380-34BCD088049F}"/>
              </a:ext>
            </a:extLst>
          </xdr:cNvPr>
          <xdr:cNvSpPr txBox="1"/>
        </xdr:nvSpPr>
        <xdr:spPr>
          <a:xfrm>
            <a:off x="10163174" y="2724150"/>
            <a:ext cx="1626782" cy="428625"/>
          </a:xfrm>
          <a:prstGeom prst="rect">
            <a:avLst/>
          </a:prstGeom>
          <a:noFill/>
          <a:ln w="9525" cmpd="sng"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2400" b="1">
                <a:solidFill>
                  <a:schemeClr val="bg1"/>
                </a:solidFill>
                <a:effectLst>
                  <a:outerShdw blurRad="60007" dist="200025" dir="15000000" sy="30000" kx="-1800000" algn="bl" rotWithShape="0">
                    <a:prstClr val="black">
                      <a:alpha val="32000"/>
                    </a:prstClr>
                  </a:outerShdw>
                </a:effectLst>
                <a:latin typeface="Aptos" panose="020B0004020202020204" pitchFamily="34" charset="0"/>
                <a:ea typeface="+mn-ea"/>
                <a:cs typeface="+mn-cs"/>
              </a:rPr>
              <a:t>Returns</a:t>
            </a:r>
            <a:r>
              <a:rPr lang="en-US" sz="2400" b="1">
                <a:solidFill>
                  <a:schemeClr val="bg1"/>
                </a:solidFill>
                <a:latin typeface="Aptos" panose="020B0004020202020204" pitchFamily="34" charset="0"/>
              </a:rPr>
              <a:t> %</a:t>
            </a:r>
            <a:endParaRPr lang="tr-TR" sz="2400" b="1">
              <a:solidFill>
                <a:schemeClr val="bg1"/>
              </a:solidFill>
              <a:latin typeface="Aptos" panose="020B0004020202020204" pitchFamily="34" charset="0"/>
            </a:endParaRPr>
          </a:p>
        </xdr:txBody>
      </xdr:sp>
      <xdr:pic>
        <xdr:nvPicPr>
          <xdr:cNvPr id="25" name="Grafik 24" descr="Harvey Topları 30% ana hat">
            <a:extLst>
              <a:ext uri="{FF2B5EF4-FFF2-40B4-BE49-F238E27FC236}">
                <a16:creationId xmlns:a16="http://schemas.microsoft.com/office/drawing/2014/main" id="{4AC9FF3C-1CC8-FF93-107A-56EC175C444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96DAC541-7B7A-43D3-8B79-37D633B846F1}">
                <asvg:svgBlip xmlns:asvg="http://schemas.microsoft.com/office/drawing/2016/SVG/main" r:embed="rId6"/>
              </a:ext>
            </a:extLst>
          </a:blip>
          <a:stretch>
            <a:fillRect/>
          </a:stretch>
        </xdr:blipFill>
        <xdr:spPr>
          <a:xfrm>
            <a:off x="9036049" y="2536825"/>
            <a:ext cx="731520" cy="731520"/>
          </a:xfrm>
          <a:prstGeom prst="rect">
            <a:avLst/>
          </a:prstGeom>
          <a:effectLst>
            <a:outerShdw blurRad="50800" dist="38100" algn="l" rotWithShape="0">
              <a:prstClr val="black">
                <a:alpha val="40000"/>
              </a:prstClr>
            </a:outerShdw>
          </a:effectLst>
        </xdr:spPr>
      </xdr:pic>
    </xdr:grpSp>
    <xdr:clientData/>
  </xdr:twoCellAnchor>
  <xdr:twoCellAnchor editAs="absolute">
    <xdr:from>
      <xdr:col>19</xdr:col>
      <xdr:colOff>57150</xdr:colOff>
      <xdr:row>12</xdr:row>
      <xdr:rowOff>80434</xdr:rowOff>
    </xdr:from>
    <xdr:to>
      <xdr:col>24</xdr:col>
      <xdr:colOff>76200</xdr:colOff>
      <xdr:row>19</xdr:row>
      <xdr:rowOff>70909</xdr:rowOff>
    </xdr:to>
    <xdr:grpSp>
      <xdr:nvGrpSpPr>
        <xdr:cNvPr id="33" name="Grup 32">
          <a:extLst>
            <a:ext uri="{FF2B5EF4-FFF2-40B4-BE49-F238E27FC236}">
              <a16:creationId xmlns:a16="http://schemas.microsoft.com/office/drawing/2014/main" id="{C2F7D804-3CCA-E22A-A21E-700F530160E9}"/>
            </a:ext>
          </a:extLst>
        </xdr:cNvPr>
        <xdr:cNvGrpSpPr/>
      </xdr:nvGrpSpPr>
      <xdr:grpSpPr>
        <a:xfrm>
          <a:off x="13106400" y="2366434"/>
          <a:ext cx="3080657" cy="1323975"/>
          <a:chOff x="12887325" y="2447926"/>
          <a:chExt cx="3067050" cy="1323975"/>
        </a:xfrm>
      </xdr:grpSpPr>
      <xdr:sp macro="" textlink="Pivots!A8">
        <xdr:nvSpPr>
          <xdr:cNvPr id="7" name="Dikdörtgen: Köşeleri Yuvarlatılmış 6">
            <a:extLst>
              <a:ext uri="{FF2B5EF4-FFF2-40B4-BE49-F238E27FC236}">
                <a16:creationId xmlns:a16="http://schemas.microsoft.com/office/drawing/2014/main" id="{3AA64078-69A7-4CC9-B11D-68BEE2446522}"/>
              </a:ext>
            </a:extLst>
          </xdr:cNvPr>
          <xdr:cNvSpPr/>
        </xdr:nvSpPr>
        <xdr:spPr>
          <a:xfrm>
            <a:off x="12906375" y="2447926"/>
            <a:ext cx="3048000" cy="1323975"/>
          </a:xfrm>
          <a:prstGeom prst="roundRect">
            <a:avLst>
              <a:gd name="adj" fmla="val 7243"/>
            </a:avLst>
          </a:prstGeom>
          <a:gradFill>
            <a:gsLst>
              <a:gs pos="0">
                <a:srgbClr val="7471D9"/>
              </a:gs>
              <a:gs pos="75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  <a:ln w="9525"/>
          <a:effectLst>
            <a:outerShdw blurRad="50800" dist="38100" algn="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b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fld id="{FA6F78E0-E1B0-4104-A968-28524D546D0D}" type="TxLink">
              <a:rPr lang="en-US" sz="2800" b="1" i="0" u="none" strike="noStrike">
                <a:solidFill>
                  <a:schemeClr val="bg1"/>
                </a:solidFill>
                <a:effectLst>
                  <a:outerShdw blurRad="60007" dist="200025" dir="15000000" sy="30000" kx="-1800000" algn="bl" rotWithShape="0">
                    <a:prstClr val="black">
                      <a:alpha val="32000"/>
                    </a:prstClr>
                  </a:outerShdw>
                </a:effectLst>
                <a:latin typeface="Aptos" panose="020B0004020202020204" pitchFamily="34" charset="0"/>
                <a:ea typeface="+mn-ea"/>
                <a:cs typeface="+mn-cs"/>
              </a:rPr>
              <a:pPr marL="0" indent="0" algn="ctr"/>
              <a:t>103,803,222</a:t>
            </a:fld>
            <a:endParaRPr lang="tr-TR" sz="2800" b="1" i="0" u="none" strike="noStrike">
              <a:solidFill>
                <a:schemeClr val="bg1"/>
              </a:solidFill>
              <a:effectLst>
                <a:outerShdw blurRad="60007" dist="200025" dir="15000000" sy="30000" kx="-1800000" algn="bl" rotWithShape="0">
                  <a:prstClr val="black">
                    <a:alpha val="32000"/>
                  </a:prstClr>
                </a:outerShdw>
              </a:effectLst>
              <a:latin typeface="Aptos" panose="020B0004020202020204" pitchFamily="34" charset="0"/>
              <a:ea typeface="+mn-ea"/>
              <a:cs typeface="+mn-cs"/>
            </a:endParaRPr>
          </a:p>
        </xdr:txBody>
      </xdr:sp>
      <xdr:sp macro="" textlink="">
        <xdr:nvSpPr>
          <xdr:cNvPr id="26" name="Metin kutusu 25">
            <a:extLst>
              <a:ext uri="{FF2B5EF4-FFF2-40B4-BE49-F238E27FC236}">
                <a16:creationId xmlns:a16="http://schemas.microsoft.com/office/drawing/2014/main" id="{6B752E0A-C91C-4680-A209-1FBF975CE16E}"/>
              </a:ext>
            </a:extLst>
          </xdr:cNvPr>
          <xdr:cNvSpPr txBox="1"/>
        </xdr:nvSpPr>
        <xdr:spPr>
          <a:xfrm>
            <a:off x="14458950" y="2838450"/>
            <a:ext cx="1424763" cy="428625"/>
          </a:xfrm>
          <a:prstGeom prst="rect">
            <a:avLst/>
          </a:prstGeom>
          <a:noFill/>
          <a:ln w="9525" cmpd="sng"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2400" b="1">
                <a:solidFill>
                  <a:schemeClr val="bg1"/>
                </a:solidFill>
                <a:effectLst>
                  <a:outerShdw blurRad="60007" dist="200025" dir="15000000" sy="30000" kx="-1800000" algn="bl" rotWithShape="0">
                    <a:prstClr val="black">
                      <a:alpha val="32000"/>
                    </a:prstClr>
                  </a:outerShdw>
                </a:effectLst>
                <a:latin typeface="Aptos" panose="020B0004020202020204" pitchFamily="34" charset="0"/>
                <a:ea typeface="+mn-ea"/>
                <a:cs typeface="+mn-cs"/>
              </a:rPr>
              <a:t>Revenue</a:t>
            </a:r>
            <a:endParaRPr lang="tr-TR" sz="2400" b="1">
              <a:solidFill>
                <a:schemeClr val="bg1"/>
              </a:solidFill>
              <a:effectLst>
                <a:outerShdw blurRad="60007" dist="200025" dir="15000000" sy="30000" kx="-1800000" algn="bl" rotWithShape="0">
                  <a:prstClr val="black">
                    <a:alpha val="32000"/>
                  </a:prstClr>
                </a:outerShdw>
              </a:effectLst>
              <a:latin typeface="Aptos" panose="020B0004020202020204" pitchFamily="34" charset="0"/>
              <a:ea typeface="+mn-ea"/>
              <a:cs typeface="+mn-cs"/>
            </a:endParaRPr>
          </a:p>
        </xdr:txBody>
      </xdr:sp>
      <xdr:pic>
        <xdr:nvPicPr>
          <xdr:cNvPr id="28" name="Grafik 27" descr="Dolar düz dolguyla">
            <a:extLst>
              <a:ext uri="{FF2B5EF4-FFF2-40B4-BE49-F238E27FC236}">
                <a16:creationId xmlns:a16="http://schemas.microsoft.com/office/drawing/2014/main" id="{CFCD3E13-614F-6073-78D1-6744D22C3E5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>
            <a:extLst>
              <a:ext uri="{96DAC541-7B7A-43D3-8B79-37D633B846F1}">
                <asvg:svgBlip xmlns:asvg="http://schemas.microsoft.com/office/drawing/2016/SVG/main" r:embed="rId8"/>
              </a:ext>
            </a:extLst>
          </a:blip>
          <a:stretch>
            <a:fillRect/>
          </a:stretch>
        </xdr:blipFill>
        <xdr:spPr>
          <a:xfrm>
            <a:off x="12887325" y="2543175"/>
            <a:ext cx="731520" cy="731520"/>
          </a:xfrm>
          <a:prstGeom prst="rect">
            <a:avLst/>
          </a:prstGeom>
          <a:effectLst>
            <a:outerShdw blurRad="50800" dist="38100" algn="l" rotWithShape="0">
              <a:prstClr val="black">
                <a:alpha val="40000"/>
              </a:prstClr>
            </a:outerShdw>
          </a:effectLst>
        </xdr:spPr>
      </xdr:pic>
      <xdr:sp macro="" textlink="">
        <xdr:nvSpPr>
          <xdr:cNvPr id="29" name="Metin kutusu 28">
            <a:extLst>
              <a:ext uri="{FF2B5EF4-FFF2-40B4-BE49-F238E27FC236}">
                <a16:creationId xmlns:a16="http://schemas.microsoft.com/office/drawing/2014/main" id="{9DDA8A11-C880-4ACE-989E-0D8AF7CCEEB4}"/>
              </a:ext>
            </a:extLst>
          </xdr:cNvPr>
          <xdr:cNvSpPr txBox="1"/>
        </xdr:nvSpPr>
        <xdr:spPr>
          <a:xfrm>
            <a:off x="13887449" y="2486025"/>
            <a:ext cx="914401" cy="428625"/>
          </a:xfrm>
          <a:prstGeom prst="rect">
            <a:avLst/>
          </a:prstGeom>
          <a:noFill/>
          <a:ln w="9525" cmpd="sng"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2400" b="1">
                <a:solidFill>
                  <a:schemeClr val="bg1"/>
                </a:solidFill>
                <a:effectLst>
                  <a:outerShdw blurRad="60007" dist="200025" dir="15000000" sy="30000" kx="-1800000" algn="bl" rotWithShape="0">
                    <a:prstClr val="black">
                      <a:alpha val="32000"/>
                    </a:prstClr>
                  </a:outerShdw>
                </a:effectLst>
                <a:latin typeface="Aptos" panose="020B0004020202020204" pitchFamily="34" charset="0"/>
                <a:ea typeface="+mn-ea"/>
                <a:cs typeface="+mn-cs"/>
              </a:rPr>
              <a:t>Total</a:t>
            </a:r>
            <a:endParaRPr lang="tr-TR" sz="2400" b="1">
              <a:solidFill>
                <a:schemeClr val="bg1"/>
              </a:solidFill>
              <a:effectLst>
                <a:outerShdw blurRad="60007" dist="200025" dir="15000000" sy="30000" kx="-1800000" algn="bl" rotWithShape="0">
                  <a:prstClr val="black">
                    <a:alpha val="32000"/>
                  </a:prstClr>
                </a:outerShdw>
              </a:effectLst>
              <a:latin typeface="Aptos" panose="020B0004020202020204" pitchFamily="34" charset="0"/>
              <a:ea typeface="+mn-ea"/>
              <a:cs typeface="+mn-cs"/>
            </a:endParaRPr>
          </a:p>
        </xdr:txBody>
      </xdr:sp>
    </xdr:grpSp>
    <xdr:clientData/>
  </xdr:twoCellAnchor>
  <xdr:twoCellAnchor editAs="absolute">
    <xdr:from>
      <xdr:col>12</xdr:col>
      <xdr:colOff>209550</xdr:colOff>
      <xdr:row>21</xdr:row>
      <xdr:rowOff>76200</xdr:rowOff>
    </xdr:from>
    <xdr:to>
      <xdr:col>24</xdr:col>
      <xdr:colOff>9526</xdr:colOff>
      <xdr:row>35</xdr:row>
      <xdr:rowOff>38099</xdr:rowOff>
    </xdr:to>
    <xdr:graphicFrame macro="">
      <xdr:nvGraphicFramePr>
        <xdr:cNvPr id="34" name="Grafik 33">
          <a:extLst>
            <a:ext uri="{FF2B5EF4-FFF2-40B4-BE49-F238E27FC236}">
              <a16:creationId xmlns:a16="http://schemas.microsoft.com/office/drawing/2014/main" id="{45200404-077A-444C-81EC-1CB2C6BE88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5</xdr:col>
      <xdr:colOff>142874</xdr:colOff>
      <xdr:row>6</xdr:row>
      <xdr:rowOff>161925</xdr:rowOff>
    </xdr:from>
    <xdr:to>
      <xdr:col>10</xdr:col>
      <xdr:colOff>278606</xdr:colOff>
      <xdr:row>10</xdr:row>
      <xdr:rowOff>142875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6" name="Ülke">
              <a:extLst>
                <a:ext uri="{FF2B5EF4-FFF2-40B4-BE49-F238E27FC236}">
                  <a16:creationId xmlns:a16="http://schemas.microsoft.com/office/drawing/2014/main" id="{304D6295-2475-466A-AD92-8C5E8C8F0E7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Ülk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762374" y="1304925"/>
              <a:ext cx="4054589" cy="7429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 editAs="absolute">
    <xdr:from>
      <xdr:col>10</xdr:col>
      <xdr:colOff>367551</xdr:colOff>
      <xdr:row>2</xdr:row>
      <xdr:rowOff>48325</xdr:rowOff>
    </xdr:from>
    <xdr:to>
      <xdr:col>16</xdr:col>
      <xdr:colOff>415528</xdr:colOff>
      <xdr:row>10</xdr:row>
      <xdr:rowOff>142874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7" name="Müşteri">
              <a:extLst>
                <a:ext uri="{FF2B5EF4-FFF2-40B4-BE49-F238E27FC236}">
                  <a16:creationId xmlns:a16="http://schemas.microsoft.com/office/drawing/2014/main" id="{95AE710C-C716-4ADE-A92D-6A3D0485F1C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üşteri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905908" y="429325"/>
              <a:ext cx="3721906" cy="161854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 editAs="absolute">
    <xdr:from>
      <xdr:col>1</xdr:col>
      <xdr:colOff>104774</xdr:colOff>
      <xdr:row>2</xdr:row>
      <xdr:rowOff>47625</xdr:rowOff>
    </xdr:from>
    <xdr:to>
      <xdr:col>4</xdr:col>
      <xdr:colOff>419100</xdr:colOff>
      <xdr:row>10</xdr:row>
      <xdr:rowOff>104775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8" name="Product">
              <a:extLst>
                <a:ext uri="{FF2B5EF4-FFF2-40B4-BE49-F238E27FC236}">
                  <a16:creationId xmlns:a16="http://schemas.microsoft.com/office/drawing/2014/main" id="{CB492EA5-DDB4-4196-AF7C-5D60EDCF178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82435" y="428625"/>
              <a:ext cx="2573111" cy="15811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 editAs="absolute">
    <xdr:from>
      <xdr:col>5</xdr:col>
      <xdr:colOff>142872</xdr:colOff>
      <xdr:row>2</xdr:row>
      <xdr:rowOff>57150</xdr:rowOff>
    </xdr:from>
    <xdr:to>
      <xdr:col>10</xdr:col>
      <xdr:colOff>276224</xdr:colOff>
      <xdr:row>6</xdr:row>
      <xdr:rowOff>66675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9" name="Sevkiyat">
              <a:extLst>
                <a:ext uri="{FF2B5EF4-FFF2-40B4-BE49-F238E27FC236}">
                  <a16:creationId xmlns:a16="http://schemas.microsoft.com/office/drawing/2014/main" id="{87880B8D-5D37-412F-B7ED-4F8A494F71A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vkiyat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762372" y="438150"/>
              <a:ext cx="4052209" cy="7715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>
    <xdr:from>
      <xdr:col>16</xdr:col>
      <xdr:colOff>485776</xdr:colOff>
      <xdr:row>3</xdr:row>
      <xdr:rowOff>28575</xdr:rowOff>
    </xdr:from>
    <xdr:to>
      <xdr:col>19</xdr:col>
      <xdr:colOff>238125</xdr:colOff>
      <xdr:row>6</xdr:row>
      <xdr:rowOff>19050</xdr:rowOff>
    </xdr:to>
    <xdr:sp macro="" textlink="">
      <xdr:nvSpPr>
        <xdr:cNvPr id="40" name="Metin kutusu 39">
          <a:extLst>
            <a:ext uri="{FF2B5EF4-FFF2-40B4-BE49-F238E27FC236}">
              <a16:creationId xmlns:a16="http://schemas.microsoft.com/office/drawing/2014/main" id="{717137E4-24CC-7581-6047-4E86760A9D39}"/>
            </a:ext>
          </a:extLst>
        </xdr:cNvPr>
        <xdr:cNvSpPr txBox="1"/>
      </xdr:nvSpPr>
      <xdr:spPr>
        <a:xfrm>
          <a:off x="11982451" y="600075"/>
          <a:ext cx="1581149" cy="561975"/>
        </a:xfrm>
        <a:prstGeom prst="rect">
          <a:avLst/>
        </a:prstGeom>
        <a:noFill/>
        <a:ln w="9525" cmpd="sng"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4800" b="1">
              <a:solidFill>
                <a:schemeClr val="bg1"/>
              </a:solidFill>
              <a:effectLst>
                <a:outerShdw blurRad="60007" dist="200025" dir="15000000" sy="30000" kx="-1800000" algn="bl" rotWithShape="0">
                  <a:prstClr val="black">
                    <a:alpha val="32000"/>
                  </a:prstClr>
                </a:outerShdw>
              </a:effectLst>
              <a:latin typeface="Aptos" panose="020B0004020202020204" pitchFamily="34" charset="0"/>
              <a:ea typeface="+mn-ea"/>
              <a:cs typeface="+mn-cs"/>
            </a:rPr>
            <a:t>TKN</a:t>
          </a:r>
          <a:endParaRPr lang="tr-TR" sz="2400" b="1">
            <a:solidFill>
              <a:schemeClr val="bg1"/>
            </a:solidFill>
            <a:effectLst>
              <a:outerShdw blurRad="60007" dist="200025" dir="15000000" sy="30000" kx="-1800000" algn="bl" rotWithShape="0">
                <a:prstClr val="black">
                  <a:alpha val="32000"/>
                </a:prstClr>
              </a:outerShdw>
            </a:effectLst>
            <a:latin typeface="Aptos" panose="020B00040202020202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18</xdr:col>
      <xdr:colOff>247651</xdr:colOff>
      <xdr:row>6</xdr:row>
      <xdr:rowOff>142875</xdr:rowOff>
    </xdr:from>
    <xdr:to>
      <xdr:col>23</xdr:col>
      <xdr:colOff>95251</xdr:colOff>
      <xdr:row>9</xdr:row>
      <xdr:rowOff>161925</xdr:rowOff>
    </xdr:to>
    <xdr:sp macro="" textlink="">
      <xdr:nvSpPr>
        <xdr:cNvPr id="41" name="Metin kutusu 40">
          <a:extLst>
            <a:ext uri="{FF2B5EF4-FFF2-40B4-BE49-F238E27FC236}">
              <a16:creationId xmlns:a16="http://schemas.microsoft.com/office/drawing/2014/main" id="{ACA38910-22AA-4852-83D8-96FCF1C88986}"/>
            </a:ext>
          </a:extLst>
        </xdr:cNvPr>
        <xdr:cNvSpPr txBox="1"/>
      </xdr:nvSpPr>
      <xdr:spPr>
        <a:xfrm>
          <a:off x="12963526" y="1285875"/>
          <a:ext cx="2895600" cy="590550"/>
        </a:xfrm>
        <a:prstGeom prst="rect">
          <a:avLst/>
        </a:prstGeom>
        <a:noFill/>
        <a:ln w="9525" cmpd="sng"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4800" b="1">
              <a:solidFill>
                <a:schemeClr val="bg1"/>
              </a:solidFill>
              <a:effectLst>
                <a:outerShdw blurRad="60007" dist="200025" dir="15000000" sy="30000" kx="-1800000" algn="bl" rotWithShape="0">
                  <a:prstClr val="black">
                    <a:alpha val="32000"/>
                  </a:prstClr>
                </a:outerShdw>
              </a:effectLst>
              <a:latin typeface="Aptos" panose="020B0004020202020204" pitchFamily="34" charset="0"/>
              <a:ea typeface="+mn-ea"/>
              <a:cs typeface="+mn-cs"/>
            </a:rPr>
            <a:t>HOLDING</a:t>
          </a:r>
          <a:endParaRPr lang="tr-TR" sz="2400" b="1">
            <a:solidFill>
              <a:schemeClr val="bg1"/>
            </a:solidFill>
            <a:effectLst>
              <a:outerShdw blurRad="60007" dist="200025" dir="15000000" sy="30000" kx="-1800000" algn="bl" rotWithShape="0">
                <a:prstClr val="black">
                  <a:alpha val="32000"/>
                </a:prstClr>
              </a:outerShdw>
            </a:effectLst>
            <a:latin typeface="Aptos" panose="020B0004020202020204" pitchFamily="34" charset="0"/>
            <a:ea typeface="+mn-ea"/>
            <a:cs typeface="+mn-cs"/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i Tekin" refreshedDate="46115.645981018519" createdVersion="8" refreshedVersion="8" minRefreshableVersion="3" recordCount="1000" xr:uid="{FD44D08B-91F3-4333-AF1C-07E823215EEB}">
  <cacheSource type="worksheet">
    <worksheetSource name="Table"/>
  </cacheSource>
  <cacheFields count="16">
    <cacheField name="Ürün No" numFmtId="0">
      <sharedItems containsSemiMixedTypes="0" containsString="0" containsNumber="1" containsInteger="1" minValue="210985" maxValue="998534972"/>
    </cacheField>
    <cacheField name="İsim" numFmtId="0">
      <sharedItems/>
    </cacheField>
    <cacheField name="Cinsiyet" numFmtId="0">
      <sharedItems/>
    </cacheField>
    <cacheField name="Tarih" numFmtId="0">
      <sharedItems containsSemiMixedTypes="0" containsString="0" containsNumber="1" containsInteger="1" minValue="47484" maxValue="48578"/>
    </cacheField>
    <cacheField name="Satış Miktarı" numFmtId="0">
      <sharedItems containsSemiMixedTypes="0" containsString="0" containsNumber="1" containsInteger="1" minValue="1000" maxValue="4996"/>
    </cacheField>
    <cacheField name="İade Miktarı" numFmtId="0">
      <sharedItems containsSemiMixedTypes="0" containsString="0" containsNumber="1" containsInteger="1" minValue="10" maxValue="50"/>
    </cacheField>
    <cacheField name="% İade Oranı" numFmtId="10">
      <sharedItems containsSemiMixedTypes="0" containsString="0" containsNumber="1" minValue="2.1404109589041095E-3" maxValue="4.6860356138706656E-2"/>
    </cacheField>
    <cacheField name="Ülke" numFmtId="0">
      <sharedItems count="5">
        <s v="France"/>
        <s v="Germany"/>
        <s v="Belgium"/>
        <s v="Algeria"/>
        <s v="Turkey"/>
      </sharedItems>
    </cacheField>
    <cacheField name="Satış Fiyatı" numFmtId="0">
      <sharedItems containsSemiMixedTypes="0" containsString="0" containsNumber="1" containsInteger="1" minValue="20" maxValue="50"/>
    </cacheField>
    <cacheField name="Ciro" numFmtId="173">
      <sharedItems containsSemiMixedTypes="0" containsString="0" containsNumber="1" containsInteger="1" minValue="21220" maxValue="244050"/>
    </cacheField>
    <cacheField name="Para Birimi" numFmtId="0">
      <sharedItems/>
    </cacheField>
    <cacheField name="Müşteri" numFmtId="0">
      <sharedItems count="15">
        <s v="Brightdog"/>
        <s v="Jamia"/>
        <s v="Twinte"/>
        <s v="Rhynyx"/>
        <s v="Tazzy"/>
        <s v="Pixoboo"/>
        <s v="Meemm"/>
        <s v="Thoughtblab"/>
        <s v="Mycat"/>
        <s v="Devbug"/>
        <s v="Leenti"/>
        <s v="Edgepulse"/>
        <s v="Myworks"/>
        <s v="Bubblemix"/>
        <s v="Kazio"/>
      </sharedItems>
    </cacheField>
    <cacheField name="Ürün Adı" numFmtId="0">
      <sharedItems count="11">
        <s v="Steel"/>
        <s v="Plastic"/>
        <s v="Glass"/>
        <s v="Vinyl"/>
        <s v="Aluminum"/>
        <s v="Granite"/>
        <s v="Plexiglass"/>
        <s v="Brass"/>
        <s v="Stone"/>
        <s v="Wood"/>
        <s v="Rubber"/>
      </sharedItems>
    </cacheField>
    <cacheField name="KDV" numFmtId="0">
      <sharedItems containsSemiMixedTypes="0" containsString="0" containsNumber="1" minValue="0.2" maxValue="0.2"/>
    </cacheField>
    <cacheField name="Sevkiyat" numFmtId="0">
      <sharedItems count="4">
        <s v="Delivered"/>
        <s v="Shipped"/>
        <s v="Teslim Edildi" u="1"/>
        <s v="Sevk Edildi" u="1"/>
      </sharedItems>
    </cacheField>
    <cacheField name="Renk" numFmtId="0">
      <sharedItems/>
    </cacheField>
  </cacheFields>
  <extLst>
    <ext xmlns:x14="http://schemas.microsoft.com/office/spreadsheetml/2009/9/main" uri="{725AE2AE-9491-48be-B2B4-4EB974FC3084}">
      <x14:pivotCacheDefinition pivotCacheId="108186612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548995724"/>
    <s v="Ali"/>
    <s v="Male"/>
    <n v="48377"/>
    <n v="1795"/>
    <n v="41"/>
    <n v="2.2841225626740947E-2"/>
    <x v="0"/>
    <n v="48"/>
    <n v="86160"/>
    <s v="EUR"/>
    <x v="0"/>
    <x v="0"/>
    <n v="0.2"/>
    <x v="0"/>
    <s v="Blue"/>
  </r>
  <r>
    <n v="709816894"/>
    <s v="Hasan"/>
    <s v="Male"/>
    <n v="48016"/>
    <n v="1819"/>
    <n v="42"/>
    <n v="2.308960967564596E-2"/>
    <x v="0"/>
    <n v="31"/>
    <n v="56389"/>
    <s v="EUR"/>
    <x v="1"/>
    <x v="1"/>
    <n v="0.2"/>
    <x v="1"/>
    <s v="Pink"/>
  </r>
  <r>
    <n v="307695570"/>
    <s v="Hüseyin"/>
    <s v="Male"/>
    <n v="47915"/>
    <n v="2458"/>
    <n v="46"/>
    <n v="1.8714401952807162E-2"/>
    <x v="0"/>
    <n v="38"/>
    <n v="93404"/>
    <s v="EUR"/>
    <x v="2"/>
    <x v="2"/>
    <n v="0.2"/>
    <x v="1"/>
    <s v="Puce"/>
  </r>
  <r>
    <n v="813468636"/>
    <s v="Canan"/>
    <s v="Female"/>
    <n v="48414"/>
    <n v="4415"/>
    <n v="28"/>
    <n v="6.3420158550396375E-3"/>
    <x v="0"/>
    <n v="49"/>
    <n v="216335"/>
    <s v="EUR"/>
    <x v="3"/>
    <x v="0"/>
    <n v="0.2"/>
    <x v="0"/>
    <s v="Indigo"/>
  </r>
  <r>
    <n v="210985"/>
    <s v="Cansu"/>
    <s v="Female"/>
    <n v="48409"/>
    <n v="2833"/>
    <n v="31"/>
    <n v="1.0942463819272856E-2"/>
    <x v="0"/>
    <n v="28"/>
    <n v="79324"/>
    <s v="EUR"/>
    <x v="4"/>
    <x v="3"/>
    <n v="0.2"/>
    <x v="0"/>
    <s v="Crimson"/>
  </r>
  <r>
    <n v="620436955"/>
    <s v="Kenan"/>
    <s v="Male"/>
    <n v="48327"/>
    <n v="1688"/>
    <n v="32"/>
    <n v="1.8957345971563982E-2"/>
    <x v="0"/>
    <n v="20"/>
    <n v="33760"/>
    <s v="EUR"/>
    <x v="5"/>
    <x v="4"/>
    <n v="0.2"/>
    <x v="1"/>
    <s v="Indigo"/>
  </r>
  <r>
    <n v="300157339"/>
    <s v="Mirza"/>
    <s v="Male"/>
    <n v="47635"/>
    <n v="4994"/>
    <n v="47"/>
    <n v="9.4112935522627159E-3"/>
    <x v="1"/>
    <n v="24"/>
    <n v="119856"/>
    <s v="EUR"/>
    <x v="6"/>
    <x v="5"/>
    <n v="0.2"/>
    <x v="1"/>
    <s v="Orange"/>
  </r>
  <r>
    <n v="433553833"/>
    <s v="Ebrar"/>
    <s v="Female"/>
    <n v="47642"/>
    <n v="4780"/>
    <n v="31"/>
    <n v="6.4853556485355646E-3"/>
    <x v="0"/>
    <n v="50"/>
    <n v="239000"/>
    <s v="EUR"/>
    <x v="6"/>
    <x v="6"/>
    <n v="0.2"/>
    <x v="0"/>
    <s v="Orange"/>
  </r>
  <r>
    <n v="293491892"/>
    <s v="Semih"/>
    <s v="Male"/>
    <n v="47568"/>
    <n v="1596"/>
    <n v="36"/>
    <n v="2.2556390977443608E-2"/>
    <x v="0"/>
    <n v="46"/>
    <n v="73416"/>
    <s v="EUR"/>
    <x v="7"/>
    <x v="2"/>
    <n v="0.2"/>
    <x v="0"/>
    <s v="Mauv"/>
  </r>
  <r>
    <n v="98590735"/>
    <s v="Sevcan"/>
    <s v="Female"/>
    <n v="48098"/>
    <n v="1919"/>
    <n v="13"/>
    <n v="6.7743616466909851E-3"/>
    <x v="0"/>
    <n v="20"/>
    <n v="38380"/>
    <s v="EUR"/>
    <x v="8"/>
    <x v="5"/>
    <n v="0.2"/>
    <x v="0"/>
    <s v="Violet"/>
  </r>
  <r>
    <n v="779716772"/>
    <s v="Sevtap"/>
    <s v="Female"/>
    <n v="48063"/>
    <n v="4640"/>
    <n v="47"/>
    <n v="1.0129310344827586E-2"/>
    <x v="0"/>
    <n v="35"/>
    <n v="162400"/>
    <s v="EUR"/>
    <x v="9"/>
    <x v="3"/>
    <n v="0.2"/>
    <x v="1"/>
    <s v="Puce"/>
  </r>
  <r>
    <n v="84296813"/>
    <s v="Kemal"/>
    <s v="Male"/>
    <n v="47775"/>
    <n v="1712"/>
    <n v="14"/>
    <n v="8.1775700934579431E-3"/>
    <x v="0"/>
    <n v="49"/>
    <n v="83888"/>
    <s v="EUR"/>
    <x v="10"/>
    <x v="7"/>
    <n v="0.2"/>
    <x v="1"/>
    <s v="Khaki"/>
  </r>
  <r>
    <n v="95577681"/>
    <s v="Resul"/>
    <s v="Male"/>
    <n v="47742"/>
    <n v="3533"/>
    <n v="50"/>
    <n v="1.4152278516841211E-2"/>
    <x v="0"/>
    <n v="32"/>
    <n v="113056"/>
    <s v="EUR"/>
    <x v="11"/>
    <x v="8"/>
    <n v="0.2"/>
    <x v="0"/>
    <s v="Purple"/>
  </r>
  <r>
    <n v="93011668"/>
    <s v="Beşir"/>
    <s v="Male"/>
    <n v="48242"/>
    <n v="2173"/>
    <n v="35"/>
    <n v="1.6106764841233318E-2"/>
    <x v="0"/>
    <n v="22"/>
    <n v="47806"/>
    <s v="EUR"/>
    <x v="12"/>
    <x v="3"/>
    <n v="0.2"/>
    <x v="0"/>
    <s v="Maroon"/>
  </r>
  <r>
    <n v="78512802"/>
    <s v="Yusuf"/>
    <s v="Male"/>
    <n v="48578"/>
    <n v="3485"/>
    <n v="28"/>
    <n v="8.0344332855093251E-3"/>
    <x v="0"/>
    <n v="20"/>
    <n v="69700"/>
    <s v="EUR"/>
    <x v="13"/>
    <x v="2"/>
    <n v="0.2"/>
    <x v="0"/>
    <s v="Turquoise"/>
  </r>
  <r>
    <n v="499786792"/>
    <s v="Soner"/>
    <s v="Male"/>
    <n v="47688"/>
    <n v="4057"/>
    <n v="30"/>
    <n v="7.3946265713581462E-3"/>
    <x v="0"/>
    <n v="35"/>
    <n v="141995"/>
    <s v="EUR"/>
    <x v="14"/>
    <x v="4"/>
    <n v="0.2"/>
    <x v="0"/>
    <s v="Violet"/>
  </r>
  <r>
    <n v="387313784"/>
    <s v="Ali"/>
    <s v="Male"/>
    <n v="47966"/>
    <n v="4512"/>
    <n v="42"/>
    <n v="9.3085106382978719E-3"/>
    <x v="0"/>
    <n v="41"/>
    <n v="184992"/>
    <s v="EUR"/>
    <x v="0"/>
    <x v="0"/>
    <n v="0.2"/>
    <x v="0"/>
    <s v="Red"/>
  </r>
  <r>
    <n v="989266977"/>
    <s v="Hasan"/>
    <s v="Male"/>
    <n v="47577"/>
    <n v="1668"/>
    <n v="21"/>
    <n v="1.2589928057553957E-2"/>
    <x v="0"/>
    <n v="45"/>
    <n v="75060"/>
    <s v="EUR"/>
    <x v="1"/>
    <x v="0"/>
    <n v="0.2"/>
    <x v="0"/>
    <s v="Pink"/>
  </r>
  <r>
    <n v="421144025"/>
    <s v="Hüseyin"/>
    <s v="Male"/>
    <n v="47600"/>
    <n v="3079"/>
    <n v="28"/>
    <n v="9.0938616433907105E-3"/>
    <x v="0"/>
    <n v="20"/>
    <n v="61580"/>
    <s v="EUR"/>
    <x v="2"/>
    <x v="9"/>
    <n v="0.2"/>
    <x v="0"/>
    <s v="Teal"/>
  </r>
  <r>
    <n v="247019161"/>
    <s v="Canan"/>
    <s v="Female"/>
    <n v="48331"/>
    <n v="1727"/>
    <n v="27"/>
    <n v="1.5634047481181239E-2"/>
    <x v="0"/>
    <n v="47"/>
    <n v="81169"/>
    <s v="EUR"/>
    <x v="3"/>
    <x v="10"/>
    <n v="0.2"/>
    <x v="0"/>
    <s v="Puce"/>
  </r>
  <r>
    <n v="450401046"/>
    <s v="Cansu"/>
    <s v="Female"/>
    <n v="48374"/>
    <n v="1846"/>
    <n v="42"/>
    <n v="2.2751895991332611E-2"/>
    <x v="0"/>
    <n v="42"/>
    <n v="77532"/>
    <s v="EUR"/>
    <x v="4"/>
    <x v="4"/>
    <n v="0.2"/>
    <x v="0"/>
    <s v="Yellow"/>
  </r>
  <r>
    <n v="408095334"/>
    <s v="Kenan"/>
    <s v="Male"/>
    <n v="47929"/>
    <n v="2031"/>
    <n v="20"/>
    <n v="9.8473658296405718E-3"/>
    <x v="0"/>
    <n v="28"/>
    <n v="56868"/>
    <s v="EUR"/>
    <x v="5"/>
    <x v="9"/>
    <n v="0.2"/>
    <x v="0"/>
    <s v="Yellow"/>
  </r>
  <r>
    <n v="277425299"/>
    <s v="Mirza"/>
    <s v="Male"/>
    <n v="48041"/>
    <n v="4433"/>
    <n v="30"/>
    <n v="6.7674261222648319E-3"/>
    <x v="0"/>
    <n v="39"/>
    <n v="172887"/>
    <s v="EUR"/>
    <x v="6"/>
    <x v="0"/>
    <n v="0.2"/>
    <x v="0"/>
    <s v="Violet"/>
  </r>
  <r>
    <n v="699233387"/>
    <s v="Ebrar"/>
    <s v="Female"/>
    <n v="47873"/>
    <n v="3125"/>
    <n v="46"/>
    <n v="1.472E-2"/>
    <x v="0"/>
    <n v="38"/>
    <n v="118750"/>
    <s v="EUR"/>
    <x v="6"/>
    <x v="4"/>
    <n v="0.2"/>
    <x v="1"/>
    <s v="Orange"/>
  </r>
  <r>
    <n v="209997565"/>
    <s v="Semih"/>
    <s v="Male"/>
    <n v="48229"/>
    <n v="1308"/>
    <n v="27"/>
    <n v="2.0642201834862386E-2"/>
    <x v="0"/>
    <n v="34"/>
    <n v="44472"/>
    <s v="EUR"/>
    <x v="7"/>
    <x v="9"/>
    <n v="0.2"/>
    <x v="0"/>
    <s v="Turquoise"/>
  </r>
  <r>
    <n v="764584492"/>
    <s v="Sevcan"/>
    <s v="Female"/>
    <n v="48381"/>
    <n v="4070"/>
    <n v="30"/>
    <n v="7.3710073710073713E-3"/>
    <x v="0"/>
    <n v="45"/>
    <n v="183150"/>
    <s v="EUR"/>
    <x v="8"/>
    <x v="1"/>
    <n v="0.2"/>
    <x v="0"/>
    <s v="Crimson"/>
  </r>
  <r>
    <n v="984361562"/>
    <s v="Sevtap"/>
    <s v="Female"/>
    <n v="48199"/>
    <n v="1015"/>
    <n v="21"/>
    <n v="2.0689655172413793E-2"/>
    <x v="0"/>
    <n v="34"/>
    <n v="34510"/>
    <s v="EUR"/>
    <x v="9"/>
    <x v="3"/>
    <n v="0.2"/>
    <x v="1"/>
    <s v="Khaki"/>
  </r>
  <r>
    <n v="738052081"/>
    <s v="Kemal"/>
    <s v="Male"/>
    <n v="48263"/>
    <n v="1294"/>
    <n v="29"/>
    <n v="2.241112828438949E-2"/>
    <x v="0"/>
    <n v="37"/>
    <n v="47878"/>
    <s v="EUR"/>
    <x v="10"/>
    <x v="4"/>
    <n v="0.2"/>
    <x v="0"/>
    <s v="Mauv"/>
  </r>
  <r>
    <n v="75315714"/>
    <s v="Resul"/>
    <s v="Male"/>
    <n v="48411"/>
    <n v="3008"/>
    <n v="19"/>
    <n v="6.3164893617021272E-3"/>
    <x v="0"/>
    <n v="20"/>
    <n v="60160"/>
    <s v="EUR"/>
    <x v="11"/>
    <x v="10"/>
    <n v="0.2"/>
    <x v="1"/>
    <s v="Pink"/>
  </r>
  <r>
    <n v="322338038"/>
    <s v="Beşir"/>
    <s v="Male"/>
    <n v="47614"/>
    <n v="4389"/>
    <n v="37"/>
    <n v="8.4301663249031662E-3"/>
    <x v="0"/>
    <n v="24"/>
    <n v="105336"/>
    <s v="EUR"/>
    <x v="12"/>
    <x v="0"/>
    <n v="0.2"/>
    <x v="1"/>
    <s v="Maroon"/>
  </r>
  <r>
    <n v="919016414"/>
    <s v="Yusuf"/>
    <s v="Male"/>
    <n v="48134"/>
    <n v="1189"/>
    <n v="18"/>
    <n v="1.5138772077375946E-2"/>
    <x v="1"/>
    <n v="20"/>
    <n v="23780"/>
    <s v="EUR"/>
    <x v="13"/>
    <x v="4"/>
    <n v="0.2"/>
    <x v="1"/>
    <s v="Maroon"/>
  </r>
  <r>
    <n v="700729527"/>
    <s v="Soner"/>
    <s v="Male"/>
    <n v="48132"/>
    <n v="2426"/>
    <n v="23"/>
    <n v="9.4806265457543278E-3"/>
    <x v="0"/>
    <n v="38"/>
    <n v="92188"/>
    <s v="EUR"/>
    <x v="14"/>
    <x v="9"/>
    <n v="0.2"/>
    <x v="0"/>
    <s v="Blue"/>
  </r>
  <r>
    <n v="698733752"/>
    <s v="Ali"/>
    <s v="Male"/>
    <n v="47667"/>
    <n v="4135"/>
    <n v="19"/>
    <n v="4.5949214026602177E-3"/>
    <x v="0"/>
    <n v="29"/>
    <n v="119915"/>
    <s v="EUR"/>
    <x v="0"/>
    <x v="6"/>
    <n v="0.2"/>
    <x v="1"/>
    <s v="Green"/>
  </r>
  <r>
    <n v="483874140"/>
    <s v="Hasan"/>
    <s v="Male"/>
    <n v="48152"/>
    <n v="3292"/>
    <n v="28"/>
    <n v="8.5054678007290396E-3"/>
    <x v="0"/>
    <n v="30"/>
    <n v="98760"/>
    <s v="EUR"/>
    <x v="1"/>
    <x v="2"/>
    <n v="0.2"/>
    <x v="1"/>
    <s v="Green"/>
  </r>
  <r>
    <n v="260934279"/>
    <s v="Hüseyin"/>
    <s v="Male"/>
    <n v="48027"/>
    <n v="3090"/>
    <n v="14"/>
    <n v="4.5307443365695792E-3"/>
    <x v="0"/>
    <n v="45"/>
    <n v="139050"/>
    <s v="EUR"/>
    <x v="2"/>
    <x v="7"/>
    <n v="0.2"/>
    <x v="1"/>
    <s v="Teal"/>
  </r>
  <r>
    <n v="72932923"/>
    <s v="Canan"/>
    <s v="Female"/>
    <n v="47624"/>
    <n v="4514"/>
    <n v="18"/>
    <n v="3.9875941515285776E-3"/>
    <x v="0"/>
    <n v="46"/>
    <n v="207644"/>
    <s v="EUR"/>
    <x v="3"/>
    <x v="8"/>
    <n v="0.2"/>
    <x v="0"/>
    <s v="Blue"/>
  </r>
  <r>
    <n v="796671823"/>
    <s v="Cansu"/>
    <s v="Female"/>
    <n v="47687"/>
    <n v="4751"/>
    <n v="41"/>
    <n v="8.6297621553357191E-3"/>
    <x v="0"/>
    <n v="35"/>
    <n v="166285"/>
    <s v="EUR"/>
    <x v="4"/>
    <x v="10"/>
    <n v="0.2"/>
    <x v="1"/>
    <s v="Mauv"/>
  </r>
  <r>
    <n v="747536355"/>
    <s v="Kenan"/>
    <s v="Male"/>
    <n v="47720"/>
    <n v="3353"/>
    <n v="12"/>
    <n v="3.5788845809722638E-3"/>
    <x v="0"/>
    <n v="29"/>
    <n v="97237"/>
    <s v="EUR"/>
    <x v="5"/>
    <x v="0"/>
    <n v="0.2"/>
    <x v="0"/>
    <s v="Maroon"/>
  </r>
  <r>
    <n v="302475099"/>
    <s v="Mirza"/>
    <s v="Male"/>
    <n v="47912"/>
    <n v="1933"/>
    <n v="26"/>
    <n v="1.3450594930160372E-2"/>
    <x v="0"/>
    <n v="20"/>
    <n v="38660"/>
    <s v="EUR"/>
    <x v="6"/>
    <x v="7"/>
    <n v="0.2"/>
    <x v="0"/>
    <s v="Yellow"/>
  </r>
  <r>
    <n v="326782196"/>
    <s v="Ebrar"/>
    <s v="Female"/>
    <n v="48375"/>
    <n v="3940"/>
    <n v="37"/>
    <n v="9.3908629441624373E-3"/>
    <x v="2"/>
    <n v="33"/>
    <n v="130020"/>
    <s v="EUR"/>
    <x v="6"/>
    <x v="8"/>
    <n v="0.2"/>
    <x v="0"/>
    <s v="Violet"/>
  </r>
  <r>
    <n v="899961615"/>
    <s v="Semih"/>
    <s v="Male"/>
    <n v="47511"/>
    <n v="4848"/>
    <n v="41"/>
    <n v="8.4570957095709571E-3"/>
    <x v="0"/>
    <n v="33"/>
    <n v="159984"/>
    <s v="EUR"/>
    <x v="7"/>
    <x v="2"/>
    <n v="0.2"/>
    <x v="0"/>
    <s v="Crimson"/>
  </r>
  <r>
    <n v="873719539"/>
    <s v="Sevcan"/>
    <s v="Female"/>
    <n v="47776"/>
    <n v="4881"/>
    <n v="27"/>
    <n v="5.531653349723417E-3"/>
    <x v="0"/>
    <n v="50"/>
    <n v="244050"/>
    <s v="EUR"/>
    <x v="8"/>
    <x v="9"/>
    <n v="0.2"/>
    <x v="0"/>
    <s v="Mauv"/>
  </r>
  <r>
    <n v="351607604"/>
    <s v="Sevtap"/>
    <s v="Female"/>
    <n v="48383"/>
    <n v="3025"/>
    <n v="44"/>
    <n v="1.4545454545454545E-2"/>
    <x v="0"/>
    <n v="30"/>
    <n v="90750"/>
    <s v="EUR"/>
    <x v="9"/>
    <x v="8"/>
    <n v="0.2"/>
    <x v="1"/>
    <s v="Mauv"/>
  </r>
  <r>
    <n v="815452492"/>
    <s v="Kemal"/>
    <s v="Male"/>
    <n v="48261"/>
    <n v="3684"/>
    <n v="10"/>
    <n v="2.7144408251900108E-3"/>
    <x v="0"/>
    <n v="32"/>
    <n v="117888"/>
    <s v="EUR"/>
    <x v="10"/>
    <x v="4"/>
    <n v="0.2"/>
    <x v="0"/>
    <s v="Goldenrod"/>
  </r>
  <r>
    <n v="498352952"/>
    <s v="Resul"/>
    <s v="Male"/>
    <n v="48101"/>
    <n v="3933"/>
    <n v="18"/>
    <n v="4.5766590389016018E-3"/>
    <x v="1"/>
    <n v="27"/>
    <n v="106191"/>
    <s v="EUR"/>
    <x v="11"/>
    <x v="6"/>
    <n v="0.2"/>
    <x v="0"/>
    <s v="Turquoise"/>
  </r>
  <r>
    <n v="504790159"/>
    <s v="Beşir"/>
    <s v="Male"/>
    <n v="48532"/>
    <n v="4394"/>
    <n v="45"/>
    <n v="1.0241238051888939E-2"/>
    <x v="0"/>
    <n v="50"/>
    <n v="219700"/>
    <s v="EUR"/>
    <x v="12"/>
    <x v="9"/>
    <n v="0.2"/>
    <x v="0"/>
    <s v="Maroon"/>
  </r>
  <r>
    <n v="103920935"/>
    <s v="Yusuf"/>
    <s v="Male"/>
    <n v="48223"/>
    <n v="2136"/>
    <n v="35"/>
    <n v="1.6385767790262171E-2"/>
    <x v="1"/>
    <n v="37"/>
    <n v="79032"/>
    <s v="EUR"/>
    <x v="13"/>
    <x v="8"/>
    <n v="0.2"/>
    <x v="0"/>
    <s v="Yellow"/>
  </r>
  <r>
    <n v="693007312"/>
    <s v="Soner"/>
    <s v="Male"/>
    <n v="47959"/>
    <n v="2130"/>
    <n v="44"/>
    <n v="2.0657276995305163E-2"/>
    <x v="0"/>
    <n v="32"/>
    <n v="68160"/>
    <s v="EUR"/>
    <x v="14"/>
    <x v="10"/>
    <n v="0.2"/>
    <x v="0"/>
    <s v="Khaki"/>
  </r>
  <r>
    <n v="323031393"/>
    <s v="Hüseyin"/>
    <s v="Male"/>
    <n v="47793"/>
    <n v="2432"/>
    <n v="42"/>
    <n v="1.7269736842105265E-2"/>
    <x v="0"/>
    <n v="29"/>
    <n v="70528"/>
    <s v="EUR"/>
    <x v="0"/>
    <x v="2"/>
    <n v="0.2"/>
    <x v="1"/>
    <s v="Fuscia"/>
  </r>
  <r>
    <n v="562747119"/>
    <s v="Canan"/>
    <s v="Female"/>
    <n v="48491"/>
    <n v="2241"/>
    <n v="31"/>
    <n v="1.3833110218652387E-2"/>
    <x v="0"/>
    <n v="44"/>
    <n v="98604"/>
    <s v="EUR"/>
    <x v="1"/>
    <x v="3"/>
    <n v="0.2"/>
    <x v="0"/>
    <s v="Pink"/>
  </r>
  <r>
    <n v="130556097"/>
    <s v="Cansu"/>
    <s v="Female"/>
    <n v="48292"/>
    <n v="2728"/>
    <n v="50"/>
    <n v="1.8328445747800588E-2"/>
    <x v="0"/>
    <n v="32"/>
    <n v="87296"/>
    <s v="EUR"/>
    <x v="2"/>
    <x v="5"/>
    <n v="0.2"/>
    <x v="1"/>
    <s v="Violet"/>
  </r>
  <r>
    <n v="968380166"/>
    <s v="Kenan"/>
    <s v="Male"/>
    <n v="48193"/>
    <n v="4812"/>
    <n v="21"/>
    <n v="4.3640897755610969E-3"/>
    <x v="0"/>
    <n v="27"/>
    <n v="129924"/>
    <s v="EUR"/>
    <x v="3"/>
    <x v="5"/>
    <n v="0.2"/>
    <x v="0"/>
    <s v="Maroon"/>
  </r>
  <r>
    <n v="177088758"/>
    <s v="Mirza"/>
    <s v="Male"/>
    <n v="47620"/>
    <n v="1428"/>
    <n v="34"/>
    <n v="2.3809523809523808E-2"/>
    <x v="0"/>
    <n v="23"/>
    <n v="32844"/>
    <s v="EUR"/>
    <x v="4"/>
    <x v="9"/>
    <n v="0.2"/>
    <x v="0"/>
    <s v="Puce"/>
  </r>
  <r>
    <n v="383293395"/>
    <s v="Ebrar"/>
    <s v="Female"/>
    <n v="48388"/>
    <n v="2077"/>
    <n v="36"/>
    <n v="1.7332691381800675E-2"/>
    <x v="0"/>
    <n v="40"/>
    <n v="83080"/>
    <s v="EUR"/>
    <x v="5"/>
    <x v="10"/>
    <n v="0.2"/>
    <x v="1"/>
    <s v="Goldenrod"/>
  </r>
  <r>
    <n v="562839063"/>
    <s v="Semih"/>
    <s v="Male"/>
    <n v="47669"/>
    <n v="1715"/>
    <n v="23"/>
    <n v="1.3411078717201166E-2"/>
    <x v="0"/>
    <n v="28"/>
    <n v="48020"/>
    <s v="EUR"/>
    <x v="6"/>
    <x v="7"/>
    <n v="0.2"/>
    <x v="0"/>
    <s v="Fuscia"/>
  </r>
  <r>
    <n v="476294540"/>
    <s v="Sevcan"/>
    <s v="Female"/>
    <n v="47595"/>
    <n v="3762"/>
    <n v="42"/>
    <n v="1.1164274322169059E-2"/>
    <x v="0"/>
    <n v="24"/>
    <n v="90288"/>
    <s v="EUR"/>
    <x v="6"/>
    <x v="9"/>
    <n v="0.2"/>
    <x v="1"/>
    <s v="Orange"/>
  </r>
  <r>
    <n v="563366580"/>
    <s v="Sevtap"/>
    <s v="Female"/>
    <n v="48496"/>
    <n v="1784"/>
    <n v="38"/>
    <n v="2.1300448430493273E-2"/>
    <x v="0"/>
    <n v="33"/>
    <n v="58872"/>
    <s v="EUR"/>
    <x v="7"/>
    <x v="8"/>
    <n v="0.2"/>
    <x v="0"/>
    <s v="Orange"/>
  </r>
  <r>
    <n v="844285958"/>
    <s v="Kemal"/>
    <s v="Male"/>
    <n v="48431"/>
    <n v="1399"/>
    <n v="40"/>
    <n v="2.8591851322373123E-2"/>
    <x v="0"/>
    <n v="43"/>
    <n v="60157"/>
    <s v="EUR"/>
    <x v="8"/>
    <x v="3"/>
    <n v="0.2"/>
    <x v="1"/>
    <s v="Red"/>
  </r>
  <r>
    <n v="952664542"/>
    <s v="Resul"/>
    <s v="Male"/>
    <n v="48412"/>
    <n v="4928"/>
    <n v="33"/>
    <n v="6.6964285714285711E-3"/>
    <x v="0"/>
    <n v="49"/>
    <n v="241472"/>
    <s v="EUR"/>
    <x v="9"/>
    <x v="3"/>
    <n v="0.2"/>
    <x v="0"/>
    <s v="Aquamarine"/>
  </r>
  <r>
    <n v="723294546"/>
    <s v="Beşir"/>
    <s v="Male"/>
    <n v="48051"/>
    <n v="3819"/>
    <n v="11"/>
    <n v="2.8803351662738939E-3"/>
    <x v="0"/>
    <n v="28"/>
    <n v="106932"/>
    <s v="EUR"/>
    <x v="10"/>
    <x v="9"/>
    <n v="0.2"/>
    <x v="1"/>
    <s v="Turquoise"/>
  </r>
  <r>
    <n v="719915464"/>
    <s v="Yusuf"/>
    <s v="Male"/>
    <n v="48034"/>
    <n v="4948"/>
    <n v="28"/>
    <n v="5.6588520614389648E-3"/>
    <x v="0"/>
    <n v="42"/>
    <n v="207816"/>
    <s v="EUR"/>
    <x v="11"/>
    <x v="8"/>
    <n v="0.2"/>
    <x v="1"/>
    <s v="Indigo"/>
  </r>
  <r>
    <n v="566572131"/>
    <s v="Soner"/>
    <s v="Male"/>
    <n v="48108"/>
    <n v="4329"/>
    <n v="44"/>
    <n v="1.0164010164010164E-2"/>
    <x v="0"/>
    <n v="27"/>
    <n v="116883"/>
    <s v="EUR"/>
    <x v="12"/>
    <x v="0"/>
    <n v="0.2"/>
    <x v="1"/>
    <s v="Puce"/>
  </r>
  <r>
    <n v="467597559"/>
    <s v="Ali"/>
    <s v="Male"/>
    <n v="48101"/>
    <n v="4094"/>
    <n v="10"/>
    <n v="2.4425989252564728E-3"/>
    <x v="0"/>
    <n v="29"/>
    <n v="118726"/>
    <s v="EUR"/>
    <x v="13"/>
    <x v="8"/>
    <n v="0.2"/>
    <x v="0"/>
    <s v="Violet"/>
  </r>
  <r>
    <n v="952054979"/>
    <s v="Hasan"/>
    <s v="Male"/>
    <n v="48064"/>
    <n v="4744"/>
    <n v="11"/>
    <n v="2.3187183811129849E-3"/>
    <x v="0"/>
    <n v="48"/>
    <n v="227712"/>
    <s v="EUR"/>
    <x v="14"/>
    <x v="10"/>
    <n v="0.2"/>
    <x v="0"/>
    <s v="Blue"/>
  </r>
  <r>
    <n v="362021707"/>
    <s v="Hüseyin"/>
    <s v="Male"/>
    <n v="47979"/>
    <n v="3718"/>
    <n v="50"/>
    <n v="1.3448090371167294E-2"/>
    <x v="0"/>
    <n v="22"/>
    <n v="81796"/>
    <s v="EUR"/>
    <x v="0"/>
    <x v="2"/>
    <n v="0.2"/>
    <x v="0"/>
    <s v="Orange"/>
  </r>
  <r>
    <n v="511326224"/>
    <s v="Canan"/>
    <s v="Female"/>
    <n v="48207"/>
    <n v="1094"/>
    <n v="44"/>
    <n v="4.0219378427787937E-2"/>
    <x v="0"/>
    <n v="37"/>
    <n v="40478"/>
    <s v="EUR"/>
    <x v="1"/>
    <x v="8"/>
    <n v="0.2"/>
    <x v="0"/>
    <s v="Goldenrod"/>
  </r>
  <r>
    <n v="643217276"/>
    <s v="Cansu"/>
    <s v="Female"/>
    <n v="48543"/>
    <n v="2697"/>
    <n v="39"/>
    <n v="1.4460511679644048E-2"/>
    <x v="0"/>
    <n v="26"/>
    <n v="70122"/>
    <s v="EUR"/>
    <x v="2"/>
    <x v="1"/>
    <n v="0.2"/>
    <x v="1"/>
    <s v="Maroon"/>
  </r>
  <r>
    <n v="843094642"/>
    <s v="Kenan"/>
    <s v="Male"/>
    <n v="48448"/>
    <n v="2337"/>
    <n v="33"/>
    <n v="1.4120667522464698E-2"/>
    <x v="0"/>
    <n v="34"/>
    <n v="79458"/>
    <s v="EUR"/>
    <x v="3"/>
    <x v="0"/>
    <n v="0.2"/>
    <x v="0"/>
    <s v="Goldenrod"/>
  </r>
  <r>
    <n v="341844679"/>
    <s v="Mirza"/>
    <s v="Male"/>
    <n v="47562"/>
    <n v="2859"/>
    <n v="40"/>
    <n v="1.3990905911157748E-2"/>
    <x v="0"/>
    <n v="36"/>
    <n v="102924"/>
    <s v="EUR"/>
    <x v="4"/>
    <x v="7"/>
    <n v="0.2"/>
    <x v="0"/>
    <s v="Khaki"/>
  </r>
  <r>
    <n v="599736618"/>
    <s v="Ebrar"/>
    <s v="Female"/>
    <n v="47811"/>
    <n v="4009"/>
    <n v="41"/>
    <n v="1.0226989274133201E-2"/>
    <x v="0"/>
    <n v="29"/>
    <n v="116261"/>
    <s v="EUR"/>
    <x v="5"/>
    <x v="6"/>
    <n v="0.2"/>
    <x v="0"/>
    <s v="Orange"/>
  </r>
  <r>
    <n v="506299926"/>
    <s v="Semih"/>
    <s v="Male"/>
    <n v="47911"/>
    <n v="3912"/>
    <n v="25"/>
    <n v="6.3905930470347649E-3"/>
    <x v="0"/>
    <n v="23"/>
    <n v="89976"/>
    <s v="EUR"/>
    <x v="6"/>
    <x v="5"/>
    <n v="0.2"/>
    <x v="1"/>
    <s v="Khaki"/>
  </r>
  <r>
    <n v="558759770"/>
    <s v="Sevcan"/>
    <s v="Female"/>
    <n v="48036"/>
    <n v="3090"/>
    <n v="20"/>
    <n v="6.4724919093851136E-3"/>
    <x v="0"/>
    <n v="48"/>
    <n v="148320"/>
    <s v="EUR"/>
    <x v="6"/>
    <x v="4"/>
    <n v="0.2"/>
    <x v="0"/>
    <s v="Mauv"/>
  </r>
  <r>
    <n v="1139850"/>
    <s v="Sevtap"/>
    <s v="Female"/>
    <n v="48155"/>
    <n v="2107"/>
    <n v="33"/>
    <n v="1.5662078785002372E-2"/>
    <x v="0"/>
    <n v="45"/>
    <n v="94815"/>
    <s v="EUR"/>
    <x v="7"/>
    <x v="0"/>
    <n v="0.2"/>
    <x v="1"/>
    <s v="Goldenrod"/>
  </r>
  <r>
    <n v="219129106"/>
    <s v="Kemal"/>
    <s v="Male"/>
    <n v="47752"/>
    <n v="1384"/>
    <n v="23"/>
    <n v="1.6618497109826588E-2"/>
    <x v="0"/>
    <n v="32"/>
    <n v="44288"/>
    <s v="EUR"/>
    <x v="8"/>
    <x v="2"/>
    <n v="0.2"/>
    <x v="0"/>
    <s v="Purple"/>
  </r>
  <r>
    <n v="813589020"/>
    <s v="Resul"/>
    <s v="Male"/>
    <n v="48095"/>
    <n v="4646"/>
    <n v="32"/>
    <n v="6.8876452862677573E-3"/>
    <x v="0"/>
    <n v="32"/>
    <n v="148672"/>
    <s v="EUR"/>
    <x v="9"/>
    <x v="1"/>
    <n v="0.2"/>
    <x v="1"/>
    <s v="Blue"/>
  </r>
  <r>
    <n v="114274814"/>
    <s v="Beşir"/>
    <s v="Male"/>
    <n v="48521"/>
    <n v="1631"/>
    <n v="29"/>
    <n v="1.7780502759043533E-2"/>
    <x v="0"/>
    <n v="50"/>
    <n v="81550"/>
    <s v="EUR"/>
    <x v="10"/>
    <x v="10"/>
    <n v="0.2"/>
    <x v="0"/>
    <s v="Teal"/>
  </r>
  <r>
    <n v="544757938"/>
    <s v="Yusuf"/>
    <s v="Male"/>
    <n v="47913"/>
    <n v="1033"/>
    <n v="26"/>
    <n v="2.516940948693127E-2"/>
    <x v="0"/>
    <n v="29"/>
    <n v="29957"/>
    <s v="EUR"/>
    <x v="11"/>
    <x v="8"/>
    <n v="0.2"/>
    <x v="0"/>
    <s v="Maroon"/>
  </r>
  <r>
    <n v="894772978"/>
    <s v="Soner"/>
    <s v="Male"/>
    <n v="48313"/>
    <n v="4585"/>
    <n v="33"/>
    <n v="7.1973827699018536E-3"/>
    <x v="0"/>
    <n v="20"/>
    <n v="91700"/>
    <s v="EUR"/>
    <x v="12"/>
    <x v="0"/>
    <n v="0.2"/>
    <x v="1"/>
    <s v="Turquoise"/>
  </r>
  <r>
    <n v="186781810"/>
    <s v="Ali"/>
    <s v="Male"/>
    <n v="48197"/>
    <n v="2329"/>
    <n v="26"/>
    <n v="1.11635895234006E-2"/>
    <x v="0"/>
    <n v="20"/>
    <n v="46580"/>
    <s v="EUR"/>
    <x v="13"/>
    <x v="0"/>
    <n v="0.2"/>
    <x v="1"/>
    <s v="Turquoise"/>
  </r>
  <r>
    <n v="757217956"/>
    <s v="Hasan"/>
    <s v="Male"/>
    <n v="47596"/>
    <n v="2926"/>
    <n v="24"/>
    <n v="8.2023239917976762E-3"/>
    <x v="0"/>
    <n v="40"/>
    <n v="117040"/>
    <s v="EUR"/>
    <x v="14"/>
    <x v="10"/>
    <n v="0.2"/>
    <x v="0"/>
    <s v="Pink"/>
  </r>
  <r>
    <n v="417388868"/>
    <s v="Hüseyin"/>
    <s v="Male"/>
    <n v="48466"/>
    <n v="3450"/>
    <n v="48"/>
    <n v="1.391304347826087E-2"/>
    <x v="0"/>
    <n v="32"/>
    <n v="110400"/>
    <s v="EUR"/>
    <x v="0"/>
    <x v="1"/>
    <n v="0.2"/>
    <x v="0"/>
    <s v="Purple"/>
  </r>
  <r>
    <n v="2962900"/>
    <s v="Canan"/>
    <s v="Female"/>
    <n v="48467"/>
    <n v="4205"/>
    <n v="11"/>
    <n v="2.6159334126040429E-3"/>
    <x v="0"/>
    <n v="25"/>
    <n v="105125"/>
    <s v="EUR"/>
    <x v="1"/>
    <x v="6"/>
    <n v="0.2"/>
    <x v="1"/>
    <s v="Pink"/>
  </r>
  <r>
    <n v="492280716"/>
    <s v="Cansu"/>
    <s v="Female"/>
    <n v="47542"/>
    <n v="4368"/>
    <n v="21"/>
    <n v="4.807692307692308E-3"/>
    <x v="0"/>
    <n v="30"/>
    <n v="131040"/>
    <s v="EUR"/>
    <x v="2"/>
    <x v="8"/>
    <n v="0.2"/>
    <x v="1"/>
    <s v="Fuscia"/>
  </r>
  <r>
    <n v="38426657"/>
    <s v="Kenan"/>
    <s v="Male"/>
    <n v="48030"/>
    <n v="4457"/>
    <n v="43"/>
    <n v="9.6477451200358989E-3"/>
    <x v="0"/>
    <n v="30"/>
    <n v="133710"/>
    <s v="EUR"/>
    <x v="3"/>
    <x v="0"/>
    <n v="0.2"/>
    <x v="0"/>
    <s v="Maroon"/>
  </r>
  <r>
    <n v="303867884"/>
    <s v="Mirza"/>
    <s v="Male"/>
    <n v="48411"/>
    <n v="1397"/>
    <n v="45"/>
    <n v="3.2211882605583393E-2"/>
    <x v="0"/>
    <n v="25"/>
    <n v="34925"/>
    <s v="EUR"/>
    <x v="4"/>
    <x v="0"/>
    <n v="0.2"/>
    <x v="1"/>
    <s v="Khaki"/>
  </r>
  <r>
    <n v="477244504"/>
    <s v="Ebrar"/>
    <s v="Female"/>
    <n v="48051"/>
    <n v="1814"/>
    <n v="23"/>
    <n v="1.2679162072767364E-2"/>
    <x v="0"/>
    <n v="22"/>
    <n v="39908"/>
    <s v="EUR"/>
    <x v="5"/>
    <x v="2"/>
    <n v="0.2"/>
    <x v="0"/>
    <s v="Khaki"/>
  </r>
  <r>
    <n v="851286247"/>
    <s v="Semih"/>
    <s v="Male"/>
    <n v="47902"/>
    <n v="1539"/>
    <n v="30"/>
    <n v="1.9493177387914229E-2"/>
    <x v="0"/>
    <n v="32"/>
    <n v="49248"/>
    <s v="EUR"/>
    <x v="6"/>
    <x v="10"/>
    <n v="0.2"/>
    <x v="0"/>
    <s v="Teal"/>
  </r>
  <r>
    <n v="891725493"/>
    <s v="Sevcan"/>
    <s v="Female"/>
    <n v="47489"/>
    <n v="2969"/>
    <n v="39"/>
    <n v="1.3135735938026272E-2"/>
    <x v="0"/>
    <n v="37"/>
    <n v="109853"/>
    <s v="EUR"/>
    <x v="6"/>
    <x v="1"/>
    <n v="0.2"/>
    <x v="1"/>
    <s v="Crimson"/>
  </r>
  <r>
    <n v="8705060"/>
    <s v="Sevtap"/>
    <s v="Female"/>
    <n v="48523"/>
    <n v="2999"/>
    <n v="42"/>
    <n v="1.4004668222740914E-2"/>
    <x v="0"/>
    <n v="34"/>
    <n v="101966"/>
    <s v="EUR"/>
    <x v="7"/>
    <x v="3"/>
    <n v="0.2"/>
    <x v="0"/>
    <s v="Red"/>
  </r>
  <r>
    <n v="818440994"/>
    <s v="Kemal"/>
    <s v="Male"/>
    <n v="48141"/>
    <n v="3507"/>
    <n v="43"/>
    <n v="1.2261191901910464E-2"/>
    <x v="0"/>
    <n v="29"/>
    <n v="101703"/>
    <s v="EUR"/>
    <x v="8"/>
    <x v="6"/>
    <n v="0.2"/>
    <x v="0"/>
    <s v="Indigo"/>
  </r>
  <r>
    <n v="527390654"/>
    <s v="Resul"/>
    <s v="Male"/>
    <n v="47959"/>
    <n v="4428"/>
    <n v="39"/>
    <n v="8.8075880758807581E-3"/>
    <x v="1"/>
    <n v="37"/>
    <n v="163836"/>
    <s v="EUR"/>
    <x v="9"/>
    <x v="2"/>
    <n v="0.2"/>
    <x v="0"/>
    <s v="Khaki"/>
  </r>
  <r>
    <n v="696600825"/>
    <s v="Hüseyin"/>
    <s v="Male"/>
    <n v="48397"/>
    <n v="3742"/>
    <n v="39"/>
    <n v="1.042223409941208E-2"/>
    <x v="0"/>
    <n v="37"/>
    <n v="138454"/>
    <s v="EUR"/>
    <x v="10"/>
    <x v="0"/>
    <n v="0.2"/>
    <x v="0"/>
    <s v="Teal"/>
  </r>
  <r>
    <n v="887570927"/>
    <s v="Canan"/>
    <s v="Female"/>
    <n v="47700"/>
    <n v="3367"/>
    <n v="22"/>
    <n v="6.5340065340065336E-3"/>
    <x v="0"/>
    <n v="42"/>
    <n v="141414"/>
    <s v="EUR"/>
    <x v="11"/>
    <x v="10"/>
    <n v="0.2"/>
    <x v="0"/>
    <s v="Crimson"/>
  </r>
  <r>
    <n v="509430066"/>
    <s v="Cansu"/>
    <s v="Female"/>
    <n v="48193"/>
    <n v="4536"/>
    <n v="26"/>
    <n v="5.7319223985890649E-3"/>
    <x v="0"/>
    <n v="29"/>
    <n v="131544"/>
    <s v="EUR"/>
    <x v="12"/>
    <x v="4"/>
    <n v="0.2"/>
    <x v="0"/>
    <s v="Aquamarine"/>
  </r>
  <r>
    <n v="68254802"/>
    <s v="Kenan"/>
    <s v="Male"/>
    <n v="48444"/>
    <n v="3851"/>
    <n v="35"/>
    <n v="9.0885484289794857E-3"/>
    <x v="0"/>
    <n v="23"/>
    <n v="88573"/>
    <s v="EUR"/>
    <x v="13"/>
    <x v="1"/>
    <n v="0.2"/>
    <x v="1"/>
    <s v="Orange"/>
  </r>
  <r>
    <n v="719188189"/>
    <s v="Mirza"/>
    <s v="Male"/>
    <n v="48413"/>
    <n v="3865"/>
    <n v="40"/>
    <n v="1.034928848641656E-2"/>
    <x v="0"/>
    <n v="36"/>
    <n v="139140"/>
    <s v="EUR"/>
    <x v="14"/>
    <x v="8"/>
    <n v="0.2"/>
    <x v="0"/>
    <s v="Green"/>
  </r>
  <r>
    <n v="998534972"/>
    <s v="Ebrar"/>
    <s v="Female"/>
    <n v="48352"/>
    <n v="1665"/>
    <n v="25"/>
    <n v="1.5015015015015015E-2"/>
    <x v="0"/>
    <n v="25"/>
    <n v="41625"/>
    <s v="EUR"/>
    <x v="0"/>
    <x v="2"/>
    <n v="0.2"/>
    <x v="0"/>
    <s v="Pink"/>
  </r>
  <r>
    <n v="460089503"/>
    <s v="Semih"/>
    <s v="Male"/>
    <n v="48154"/>
    <n v="4587"/>
    <n v="24"/>
    <n v="5.232177894048398E-3"/>
    <x v="0"/>
    <n v="48"/>
    <n v="220176"/>
    <s v="EUR"/>
    <x v="1"/>
    <x v="2"/>
    <n v="0.2"/>
    <x v="1"/>
    <s v="Orange"/>
  </r>
  <r>
    <n v="761840246"/>
    <s v="Sevcan"/>
    <s v="Female"/>
    <n v="48122"/>
    <n v="4237"/>
    <n v="30"/>
    <n v="7.0804814727401461E-3"/>
    <x v="0"/>
    <n v="44"/>
    <n v="186428"/>
    <s v="EUR"/>
    <x v="2"/>
    <x v="4"/>
    <n v="0.2"/>
    <x v="1"/>
    <s v="Teal"/>
  </r>
  <r>
    <n v="519647027"/>
    <s v="Sevtap"/>
    <s v="Female"/>
    <n v="47498"/>
    <n v="1841"/>
    <n v="23"/>
    <n v="1.2493210211841391E-2"/>
    <x v="0"/>
    <n v="40"/>
    <n v="73640"/>
    <s v="EUR"/>
    <x v="3"/>
    <x v="10"/>
    <n v="0.2"/>
    <x v="1"/>
    <s v="Orange"/>
  </r>
  <r>
    <n v="864173653"/>
    <s v="Kemal"/>
    <s v="Male"/>
    <n v="47699"/>
    <n v="4451"/>
    <n v="34"/>
    <n v="7.6387328690181982E-3"/>
    <x v="0"/>
    <n v="30"/>
    <n v="133530"/>
    <s v="EUR"/>
    <x v="4"/>
    <x v="8"/>
    <n v="0.2"/>
    <x v="1"/>
    <s v="Teal"/>
  </r>
  <r>
    <n v="157409899"/>
    <s v="Resul"/>
    <s v="Male"/>
    <n v="48123"/>
    <n v="3476"/>
    <n v="38"/>
    <n v="1.0932105868814729E-2"/>
    <x v="0"/>
    <n v="48"/>
    <n v="166848"/>
    <s v="EUR"/>
    <x v="5"/>
    <x v="10"/>
    <n v="0.2"/>
    <x v="1"/>
    <s v="Violet"/>
  </r>
  <r>
    <n v="347605193"/>
    <s v="Beşir"/>
    <s v="Male"/>
    <n v="47814"/>
    <n v="1618"/>
    <n v="34"/>
    <n v="2.1013597033374538E-2"/>
    <x v="0"/>
    <n v="37"/>
    <n v="59866"/>
    <s v="EUR"/>
    <x v="6"/>
    <x v="0"/>
    <n v="0.2"/>
    <x v="1"/>
    <s v="Green"/>
  </r>
  <r>
    <n v="678386064"/>
    <s v="Yusuf"/>
    <s v="Male"/>
    <n v="47941"/>
    <n v="4073"/>
    <n v="28"/>
    <n v="6.8745396513626321E-3"/>
    <x v="0"/>
    <n v="28"/>
    <n v="114044"/>
    <s v="EUR"/>
    <x v="6"/>
    <x v="5"/>
    <n v="0.2"/>
    <x v="1"/>
    <s v="Yellow"/>
  </r>
  <r>
    <n v="3678366"/>
    <s v="Soner"/>
    <s v="Male"/>
    <n v="48281"/>
    <n v="1526"/>
    <n v="24"/>
    <n v="1.5727391874180863E-2"/>
    <x v="0"/>
    <n v="28"/>
    <n v="42728"/>
    <s v="EUR"/>
    <x v="7"/>
    <x v="3"/>
    <n v="0.2"/>
    <x v="0"/>
    <s v="Green"/>
  </r>
  <r>
    <n v="858071449"/>
    <s v="Ali"/>
    <s v="Male"/>
    <n v="47655"/>
    <n v="4721"/>
    <n v="45"/>
    <n v="9.5318788392289768E-3"/>
    <x v="0"/>
    <n v="36"/>
    <n v="169956"/>
    <s v="EUR"/>
    <x v="8"/>
    <x v="10"/>
    <n v="0.2"/>
    <x v="0"/>
    <s v="Aquamarine"/>
  </r>
  <r>
    <n v="912263014"/>
    <s v="Hasan"/>
    <s v="Male"/>
    <n v="47632"/>
    <n v="2069"/>
    <n v="31"/>
    <n v="1.4983083615273078E-2"/>
    <x v="1"/>
    <n v="40"/>
    <n v="82760"/>
    <s v="EUR"/>
    <x v="9"/>
    <x v="0"/>
    <n v="0.2"/>
    <x v="0"/>
    <s v="Puce"/>
  </r>
  <r>
    <n v="645409990"/>
    <s v="Hüseyin"/>
    <s v="Male"/>
    <n v="47724"/>
    <n v="3346"/>
    <n v="28"/>
    <n v="8.368200836820083E-3"/>
    <x v="0"/>
    <n v="26"/>
    <n v="86996"/>
    <s v="EUR"/>
    <x v="10"/>
    <x v="4"/>
    <n v="0.2"/>
    <x v="1"/>
    <s v="Khaki"/>
  </r>
  <r>
    <n v="862364127"/>
    <s v="Canan"/>
    <s v="Female"/>
    <n v="48368"/>
    <n v="3613"/>
    <n v="11"/>
    <n v="3.0445613063935788E-3"/>
    <x v="0"/>
    <n v="44"/>
    <n v="158972"/>
    <s v="EUR"/>
    <x v="11"/>
    <x v="5"/>
    <n v="0.2"/>
    <x v="1"/>
    <s v="Violet"/>
  </r>
  <r>
    <n v="896962324"/>
    <s v="Cansu"/>
    <s v="Female"/>
    <n v="47993"/>
    <n v="1563"/>
    <n v="48"/>
    <n v="3.0710172744721688E-2"/>
    <x v="0"/>
    <n v="28"/>
    <n v="43764"/>
    <s v="EUR"/>
    <x v="12"/>
    <x v="10"/>
    <n v="0.2"/>
    <x v="1"/>
    <s v="Teal"/>
  </r>
  <r>
    <n v="504287860"/>
    <s v="Kenan"/>
    <s v="Male"/>
    <n v="48432"/>
    <n v="1567"/>
    <n v="11"/>
    <n v="7.0197830248883214E-3"/>
    <x v="0"/>
    <n v="37"/>
    <n v="57979"/>
    <s v="EUR"/>
    <x v="13"/>
    <x v="3"/>
    <n v="0.2"/>
    <x v="1"/>
    <s v="Crimson"/>
  </r>
  <r>
    <n v="605464755"/>
    <s v="Mirza"/>
    <s v="Male"/>
    <n v="48253"/>
    <n v="1211"/>
    <n v="11"/>
    <n v="9.0834021469859624E-3"/>
    <x v="0"/>
    <n v="47"/>
    <n v="56917"/>
    <s v="EUR"/>
    <x v="14"/>
    <x v="0"/>
    <n v="0.2"/>
    <x v="1"/>
    <s v="Aquamarine"/>
  </r>
  <r>
    <n v="609813239"/>
    <s v="Ebrar"/>
    <s v="Female"/>
    <n v="47890"/>
    <n v="4887"/>
    <n v="38"/>
    <n v="7.7757315326376104E-3"/>
    <x v="0"/>
    <n v="27"/>
    <n v="131949"/>
    <s v="EUR"/>
    <x v="0"/>
    <x v="6"/>
    <n v="0.2"/>
    <x v="0"/>
    <s v="Crimson"/>
  </r>
  <r>
    <n v="186319538"/>
    <s v="Semih"/>
    <s v="Male"/>
    <n v="48076"/>
    <n v="1025"/>
    <n v="20"/>
    <n v="1.9512195121951219E-2"/>
    <x v="0"/>
    <n v="22"/>
    <n v="22550"/>
    <s v="EUR"/>
    <x v="1"/>
    <x v="0"/>
    <n v="0.2"/>
    <x v="1"/>
    <s v="Khaki"/>
  </r>
  <r>
    <n v="709066745"/>
    <s v="Sevcan"/>
    <s v="Female"/>
    <n v="47693"/>
    <n v="4656"/>
    <n v="43"/>
    <n v="9.2353951890034366E-3"/>
    <x v="0"/>
    <n v="26"/>
    <n v="121056"/>
    <s v="EUR"/>
    <x v="2"/>
    <x v="3"/>
    <n v="0.2"/>
    <x v="1"/>
    <s v="Teal"/>
  </r>
  <r>
    <n v="454190172"/>
    <s v="Sevtap"/>
    <s v="Female"/>
    <n v="47873"/>
    <n v="2848"/>
    <n v="48"/>
    <n v="1.6853932584269662E-2"/>
    <x v="0"/>
    <n v="41"/>
    <n v="116768"/>
    <s v="EUR"/>
    <x v="3"/>
    <x v="7"/>
    <n v="0.2"/>
    <x v="0"/>
    <s v="Red"/>
  </r>
  <r>
    <n v="972905267"/>
    <s v="Kemal"/>
    <s v="Male"/>
    <n v="48347"/>
    <n v="3435"/>
    <n v="12"/>
    <n v="3.4934497816593887E-3"/>
    <x v="0"/>
    <n v="40"/>
    <n v="137400"/>
    <s v="EUR"/>
    <x v="4"/>
    <x v="0"/>
    <n v="0.2"/>
    <x v="0"/>
    <s v="Purple"/>
  </r>
  <r>
    <n v="966031957"/>
    <s v="Resul"/>
    <s v="Male"/>
    <n v="48129"/>
    <n v="3231"/>
    <n v="34"/>
    <n v="1.0523057876818322E-2"/>
    <x v="3"/>
    <n v="20"/>
    <n v="64620"/>
    <s v="USD"/>
    <x v="5"/>
    <x v="2"/>
    <n v="0.2"/>
    <x v="0"/>
    <s v="Aquamarine"/>
  </r>
  <r>
    <n v="205495518"/>
    <s v="Beşir"/>
    <s v="Male"/>
    <n v="47550"/>
    <n v="1409"/>
    <n v="48"/>
    <n v="3.4066713981547196E-2"/>
    <x v="0"/>
    <n v="47"/>
    <n v="66223"/>
    <s v="EUR"/>
    <x v="6"/>
    <x v="10"/>
    <n v="0.2"/>
    <x v="0"/>
    <s v="Aquamarine"/>
  </r>
  <r>
    <n v="53858763"/>
    <s v="Yusuf"/>
    <s v="Male"/>
    <n v="48074"/>
    <n v="2238"/>
    <n v="13"/>
    <n v="5.8087578194816799E-3"/>
    <x v="0"/>
    <n v="40"/>
    <n v="89520"/>
    <s v="EUR"/>
    <x v="6"/>
    <x v="1"/>
    <n v="0.2"/>
    <x v="0"/>
    <s v="Crimson"/>
  </r>
  <r>
    <n v="800348229"/>
    <s v="Soner"/>
    <s v="Male"/>
    <n v="48459"/>
    <n v="1199"/>
    <n v="10"/>
    <n v="8.3402835696413675E-3"/>
    <x v="0"/>
    <n v="23"/>
    <n v="27577"/>
    <s v="EUR"/>
    <x v="7"/>
    <x v="10"/>
    <n v="0.2"/>
    <x v="1"/>
    <s v="Pink"/>
  </r>
  <r>
    <n v="845934966"/>
    <s v="Ali"/>
    <s v="Male"/>
    <n v="47497"/>
    <n v="3405"/>
    <n v="33"/>
    <n v="9.6916299559471359E-3"/>
    <x v="0"/>
    <n v="47"/>
    <n v="160035"/>
    <s v="EUR"/>
    <x v="8"/>
    <x v="8"/>
    <n v="0.2"/>
    <x v="0"/>
    <s v="Teal"/>
  </r>
  <r>
    <n v="194968374"/>
    <s v="Hasan"/>
    <s v="Male"/>
    <n v="48069"/>
    <n v="4101"/>
    <n v="31"/>
    <n v="7.5591319190441352E-3"/>
    <x v="0"/>
    <n v="38"/>
    <n v="155838"/>
    <s v="EUR"/>
    <x v="9"/>
    <x v="8"/>
    <n v="0.2"/>
    <x v="1"/>
    <s v="Green"/>
  </r>
  <r>
    <n v="297195918"/>
    <s v="Hüseyin"/>
    <s v="Male"/>
    <n v="48002"/>
    <n v="3312"/>
    <n v="18"/>
    <n v="5.434782608695652E-3"/>
    <x v="0"/>
    <n v="36"/>
    <n v="119232"/>
    <s v="EUR"/>
    <x v="10"/>
    <x v="8"/>
    <n v="0.2"/>
    <x v="1"/>
    <s v="Pink"/>
  </r>
  <r>
    <n v="701178266"/>
    <s v="Canan"/>
    <s v="Female"/>
    <n v="47987"/>
    <n v="4427"/>
    <n v="43"/>
    <n v="9.7131240117461042E-3"/>
    <x v="0"/>
    <n v="39"/>
    <n v="172653"/>
    <s v="EUR"/>
    <x v="11"/>
    <x v="4"/>
    <n v="0.2"/>
    <x v="1"/>
    <s v="Yellow"/>
  </r>
  <r>
    <n v="682379533"/>
    <s v="Cansu"/>
    <s v="Female"/>
    <n v="47583"/>
    <n v="3739"/>
    <n v="11"/>
    <n v="2.941963091735758E-3"/>
    <x v="0"/>
    <n v="46"/>
    <n v="171994"/>
    <s v="EUR"/>
    <x v="12"/>
    <x v="7"/>
    <n v="0.2"/>
    <x v="1"/>
    <s v="Goldenrod"/>
  </r>
  <r>
    <n v="641633091"/>
    <s v="Kenan"/>
    <s v="Male"/>
    <n v="48293"/>
    <n v="4158"/>
    <n v="16"/>
    <n v="3.8480038480038481E-3"/>
    <x v="1"/>
    <n v="39"/>
    <n v="162162"/>
    <s v="EUR"/>
    <x v="13"/>
    <x v="3"/>
    <n v="0.2"/>
    <x v="0"/>
    <s v="Goldenrod"/>
  </r>
  <r>
    <n v="271105689"/>
    <s v="Mirza"/>
    <s v="Male"/>
    <n v="47881"/>
    <n v="1288"/>
    <n v="46"/>
    <n v="3.5714285714285712E-2"/>
    <x v="0"/>
    <n v="46"/>
    <n v="59248"/>
    <s v="EUR"/>
    <x v="14"/>
    <x v="9"/>
    <n v="0.2"/>
    <x v="1"/>
    <s v="Pink"/>
  </r>
  <r>
    <n v="502464557"/>
    <s v="Ebrar"/>
    <s v="Female"/>
    <n v="48010"/>
    <n v="4396"/>
    <n v="17"/>
    <n v="3.8671519563239307E-3"/>
    <x v="0"/>
    <n v="43"/>
    <n v="189028"/>
    <s v="EUR"/>
    <x v="0"/>
    <x v="1"/>
    <n v="0.2"/>
    <x v="1"/>
    <s v="Fuscia"/>
  </r>
  <r>
    <n v="673071606"/>
    <s v="Semih"/>
    <s v="Male"/>
    <n v="48043"/>
    <n v="3192"/>
    <n v="32"/>
    <n v="1.0025062656641603E-2"/>
    <x v="0"/>
    <n v="23"/>
    <n v="73416"/>
    <s v="EUR"/>
    <x v="1"/>
    <x v="10"/>
    <n v="0.2"/>
    <x v="1"/>
    <s v="Maroon"/>
  </r>
  <r>
    <n v="589743272"/>
    <s v="Sevcan"/>
    <s v="Female"/>
    <n v="47945"/>
    <n v="2809"/>
    <n v="14"/>
    <n v="4.9839800640797439E-3"/>
    <x v="0"/>
    <n v="43"/>
    <n v="120787"/>
    <s v="EUR"/>
    <x v="2"/>
    <x v="5"/>
    <n v="0.2"/>
    <x v="1"/>
    <s v="Aquamarine"/>
  </r>
  <r>
    <n v="737998492"/>
    <s v="Sevtap"/>
    <s v="Female"/>
    <n v="48235"/>
    <n v="4787"/>
    <n v="43"/>
    <n v="8.9826613745560887E-3"/>
    <x v="0"/>
    <n v="33"/>
    <n v="157971"/>
    <s v="EUR"/>
    <x v="3"/>
    <x v="1"/>
    <n v="0.2"/>
    <x v="1"/>
    <s v="Khaki"/>
  </r>
  <r>
    <n v="162148496"/>
    <s v="Kemal"/>
    <s v="Male"/>
    <n v="48437"/>
    <n v="1672"/>
    <n v="10"/>
    <n v="5.9808612440191387E-3"/>
    <x v="0"/>
    <n v="35"/>
    <n v="58520"/>
    <s v="EUR"/>
    <x v="4"/>
    <x v="10"/>
    <n v="0.2"/>
    <x v="0"/>
    <s v="Teal"/>
  </r>
  <r>
    <n v="35567432"/>
    <s v="Resul"/>
    <s v="Male"/>
    <n v="47774"/>
    <n v="3318"/>
    <n v="43"/>
    <n v="1.2959614225437011E-2"/>
    <x v="0"/>
    <n v="41"/>
    <n v="136038"/>
    <s v="EUR"/>
    <x v="5"/>
    <x v="2"/>
    <n v="0.2"/>
    <x v="1"/>
    <s v="Orange"/>
  </r>
  <r>
    <n v="542819433"/>
    <s v="Hüseyin"/>
    <s v="Male"/>
    <n v="47822"/>
    <n v="4634"/>
    <n v="16"/>
    <n v="3.4527406128614588E-3"/>
    <x v="0"/>
    <n v="45"/>
    <n v="208530"/>
    <s v="EUR"/>
    <x v="6"/>
    <x v="8"/>
    <n v="0.2"/>
    <x v="0"/>
    <s v="Khaki"/>
  </r>
  <r>
    <n v="563539732"/>
    <s v="Canan"/>
    <s v="Female"/>
    <n v="47660"/>
    <n v="1278"/>
    <n v="15"/>
    <n v="1.1737089201877934E-2"/>
    <x v="0"/>
    <n v="22"/>
    <n v="28116"/>
    <s v="EUR"/>
    <x v="6"/>
    <x v="5"/>
    <n v="0.2"/>
    <x v="1"/>
    <s v="Purple"/>
  </r>
  <r>
    <n v="863058587"/>
    <s v="Cansu"/>
    <s v="Female"/>
    <n v="48535"/>
    <n v="3288"/>
    <n v="50"/>
    <n v="1.5206812652068127E-2"/>
    <x v="0"/>
    <n v="29"/>
    <n v="95352"/>
    <s v="EUR"/>
    <x v="7"/>
    <x v="7"/>
    <n v="0.2"/>
    <x v="1"/>
    <s v="Mauv"/>
  </r>
  <r>
    <n v="454150223"/>
    <s v="Kenan"/>
    <s v="Male"/>
    <n v="48513"/>
    <n v="3040"/>
    <n v="33"/>
    <n v="1.0855263157894738E-2"/>
    <x v="0"/>
    <n v="38"/>
    <n v="115520"/>
    <s v="EUR"/>
    <x v="8"/>
    <x v="5"/>
    <n v="0.2"/>
    <x v="1"/>
    <s v="Turquoise"/>
  </r>
  <r>
    <n v="932233219"/>
    <s v="Mirza"/>
    <s v="Male"/>
    <n v="48354"/>
    <n v="4132"/>
    <n v="20"/>
    <n v="4.8402710551790898E-3"/>
    <x v="0"/>
    <n v="48"/>
    <n v="198336"/>
    <s v="EUR"/>
    <x v="9"/>
    <x v="3"/>
    <n v="0.2"/>
    <x v="1"/>
    <s v="Aquamarine"/>
  </r>
  <r>
    <n v="866341175"/>
    <s v="Ebrar"/>
    <s v="Female"/>
    <n v="47793"/>
    <n v="3043"/>
    <n v="13"/>
    <n v="4.2720999014130793E-3"/>
    <x v="0"/>
    <n v="31"/>
    <n v="94333"/>
    <s v="EUR"/>
    <x v="10"/>
    <x v="2"/>
    <n v="0.2"/>
    <x v="1"/>
    <s v="Indigo"/>
  </r>
  <r>
    <n v="131807667"/>
    <s v="Semih"/>
    <s v="Male"/>
    <n v="48151"/>
    <n v="4395"/>
    <n v="10"/>
    <n v="2.2753128555176336E-3"/>
    <x v="0"/>
    <n v="21"/>
    <n v="92295"/>
    <s v="EUR"/>
    <x v="11"/>
    <x v="6"/>
    <n v="0.2"/>
    <x v="1"/>
    <s v="Aquamarine"/>
  </r>
  <r>
    <n v="318023118"/>
    <s v="Sevcan"/>
    <s v="Female"/>
    <n v="48521"/>
    <n v="2425"/>
    <n v="49"/>
    <n v="2.0206185567010308E-2"/>
    <x v="0"/>
    <n v="35"/>
    <n v="84875"/>
    <s v="EUR"/>
    <x v="12"/>
    <x v="9"/>
    <n v="0.2"/>
    <x v="1"/>
    <s v="Indigo"/>
  </r>
  <r>
    <n v="303772740"/>
    <s v="Sevtap"/>
    <s v="Female"/>
    <n v="47773"/>
    <n v="3327"/>
    <n v="13"/>
    <n v="3.9074241058010221E-3"/>
    <x v="1"/>
    <n v="20"/>
    <n v="66540"/>
    <s v="EUR"/>
    <x v="13"/>
    <x v="1"/>
    <n v="0.2"/>
    <x v="1"/>
    <s v="Khaki"/>
  </r>
  <r>
    <n v="816680854"/>
    <s v="Kemal"/>
    <s v="Male"/>
    <n v="47720"/>
    <n v="1316"/>
    <n v="47"/>
    <n v="3.5714285714285712E-2"/>
    <x v="0"/>
    <n v="27"/>
    <n v="35532"/>
    <s v="EUR"/>
    <x v="14"/>
    <x v="5"/>
    <n v="0.2"/>
    <x v="1"/>
    <s v="Orange"/>
  </r>
  <r>
    <n v="744557357"/>
    <s v="Resul"/>
    <s v="Male"/>
    <n v="48131"/>
    <n v="4544"/>
    <n v="28"/>
    <n v="6.1619718309859151E-3"/>
    <x v="0"/>
    <n v="32"/>
    <n v="145408"/>
    <s v="EUR"/>
    <x v="0"/>
    <x v="6"/>
    <n v="0.2"/>
    <x v="1"/>
    <s v="Orange"/>
  </r>
  <r>
    <n v="433523222"/>
    <s v="Beşir"/>
    <s v="Male"/>
    <n v="48316"/>
    <n v="4309"/>
    <n v="16"/>
    <n v="3.7131585054537017E-3"/>
    <x v="0"/>
    <n v="34"/>
    <n v="146506"/>
    <s v="EUR"/>
    <x v="1"/>
    <x v="4"/>
    <n v="0.2"/>
    <x v="0"/>
    <s v="Mauv"/>
  </r>
  <r>
    <n v="989368696"/>
    <s v="Yusuf"/>
    <s v="Male"/>
    <n v="48346"/>
    <n v="1139"/>
    <n v="38"/>
    <n v="3.3362598770851626E-2"/>
    <x v="0"/>
    <n v="22"/>
    <n v="25058"/>
    <s v="EUR"/>
    <x v="2"/>
    <x v="10"/>
    <n v="0.2"/>
    <x v="0"/>
    <s v="Purple"/>
  </r>
  <r>
    <n v="413811616"/>
    <s v="Soner"/>
    <s v="Male"/>
    <n v="47987"/>
    <n v="3560"/>
    <n v="24"/>
    <n v="6.7415730337078653E-3"/>
    <x v="1"/>
    <n v="23"/>
    <n v="81880"/>
    <s v="EUR"/>
    <x v="3"/>
    <x v="0"/>
    <n v="0.2"/>
    <x v="1"/>
    <s v="Goldenrod"/>
  </r>
  <r>
    <n v="865613442"/>
    <s v="Ali"/>
    <s v="Male"/>
    <n v="47590"/>
    <n v="4809"/>
    <n v="43"/>
    <n v="8.9415678935329587E-3"/>
    <x v="0"/>
    <n v="44"/>
    <n v="211596"/>
    <s v="EUR"/>
    <x v="4"/>
    <x v="1"/>
    <n v="0.2"/>
    <x v="0"/>
    <s v="Mauv"/>
  </r>
  <r>
    <n v="934091813"/>
    <s v="Hasan"/>
    <s v="Male"/>
    <n v="47984"/>
    <n v="4795"/>
    <n v="24"/>
    <n v="5.0052137643378522E-3"/>
    <x v="0"/>
    <n v="48"/>
    <n v="230160"/>
    <s v="EUR"/>
    <x v="5"/>
    <x v="2"/>
    <n v="0.2"/>
    <x v="1"/>
    <s v="Blue"/>
  </r>
  <r>
    <n v="32932035"/>
    <s v="Hüseyin"/>
    <s v="Male"/>
    <n v="48457"/>
    <n v="4030"/>
    <n v="42"/>
    <n v="1.0421836228287842E-2"/>
    <x v="0"/>
    <n v="28"/>
    <n v="112840"/>
    <s v="EUR"/>
    <x v="6"/>
    <x v="2"/>
    <n v="0.2"/>
    <x v="0"/>
    <s v="Fuscia"/>
  </r>
  <r>
    <n v="499640965"/>
    <s v="Canan"/>
    <s v="Female"/>
    <n v="47538"/>
    <n v="4193"/>
    <n v="44"/>
    <n v="1.0493679942761746E-2"/>
    <x v="0"/>
    <n v="41"/>
    <n v="171913"/>
    <s v="EUR"/>
    <x v="6"/>
    <x v="5"/>
    <n v="0.2"/>
    <x v="1"/>
    <s v="Green"/>
  </r>
  <r>
    <n v="45791235"/>
    <s v="Cansu"/>
    <s v="Female"/>
    <n v="47664"/>
    <n v="2352"/>
    <n v="37"/>
    <n v="1.5731292517006803E-2"/>
    <x v="0"/>
    <n v="22"/>
    <n v="51744"/>
    <s v="EUR"/>
    <x v="7"/>
    <x v="6"/>
    <n v="0.2"/>
    <x v="1"/>
    <s v="Yellow"/>
  </r>
  <r>
    <n v="891240939"/>
    <s v="Kenan"/>
    <s v="Male"/>
    <n v="48465"/>
    <n v="3020"/>
    <n v="45"/>
    <n v="1.4900662251655629E-2"/>
    <x v="0"/>
    <n v="48"/>
    <n v="144960"/>
    <s v="EUR"/>
    <x v="8"/>
    <x v="2"/>
    <n v="0.2"/>
    <x v="1"/>
    <s v="Khaki"/>
  </r>
  <r>
    <n v="292510700"/>
    <s v="Mirza"/>
    <s v="Male"/>
    <n v="48286"/>
    <n v="4569"/>
    <n v="42"/>
    <n v="9.1923834537097834E-3"/>
    <x v="0"/>
    <n v="40"/>
    <n v="182760"/>
    <s v="EUR"/>
    <x v="9"/>
    <x v="5"/>
    <n v="0.2"/>
    <x v="0"/>
    <s v="Khaki"/>
  </r>
  <r>
    <n v="303700032"/>
    <s v="Ebrar"/>
    <s v="Female"/>
    <n v="47848"/>
    <n v="2317"/>
    <n v="19"/>
    <n v="8.2002589555459655E-3"/>
    <x v="0"/>
    <n v="41"/>
    <n v="94997"/>
    <s v="EUR"/>
    <x v="10"/>
    <x v="2"/>
    <n v="0.2"/>
    <x v="1"/>
    <s v="Turquoise"/>
  </r>
  <r>
    <n v="15818414"/>
    <s v="Semih"/>
    <s v="Male"/>
    <n v="48129"/>
    <n v="1800"/>
    <n v="30"/>
    <n v="1.6666666666666666E-2"/>
    <x v="0"/>
    <n v="36"/>
    <n v="64800"/>
    <s v="EUR"/>
    <x v="11"/>
    <x v="5"/>
    <n v="0.2"/>
    <x v="1"/>
    <s v="Teal"/>
  </r>
  <r>
    <n v="588210732"/>
    <s v="Sevcan"/>
    <s v="Female"/>
    <n v="48409"/>
    <n v="3301"/>
    <n v="15"/>
    <n v="4.5440775522568918E-3"/>
    <x v="0"/>
    <n v="48"/>
    <n v="158448"/>
    <s v="EUR"/>
    <x v="12"/>
    <x v="2"/>
    <n v="0.2"/>
    <x v="0"/>
    <s v="Khaki"/>
  </r>
  <r>
    <n v="673277260"/>
    <s v="Sevtap"/>
    <s v="Female"/>
    <n v="47621"/>
    <n v="3729"/>
    <n v="32"/>
    <n v="8.5813891123625637E-3"/>
    <x v="0"/>
    <n v="37"/>
    <n v="137973"/>
    <s v="EUR"/>
    <x v="13"/>
    <x v="2"/>
    <n v="0.2"/>
    <x v="1"/>
    <s v="Goldenrod"/>
  </r>
  <r>
    <n v="472668913"/>
    <s v="Kemal"/>
    <s v="Male"/>
    <n v="48561"/>
    <n v="3920"/>
    <n v="27"/>
    <n v="6.8877551020408165E-3"/>
    <x v="0"/>
    <n v="43"/>
    <n v="168560"/>
    <s v="EUR"/>
    <x v="14"/>
    <x v="3"/>
    <n v="0.2"/>
    <x v="1"/>
    <s v="Puce"/>
  </r>
  <r>
    <n v="875201961"/>
    <s v="Resul"/>
    <s v="Male"/>
    <n v="48113"/>
    <n v="2718"/>
    <n v="22"/>
    <n v="8.0941869021339229E-3"/>
    <x v="0"/>
    <n v="42"/>
    <n v="114156"/>
    <s v="EUR"/>
    <x v="0"/>
    <x v="8"/>
    <n v="0.2"/>
    <x v="1"/>
    <s v="Orange"/>
  </r>
  <r>
    <n v="117585161"/>
    <s v="Beşir"/>
    <s v="Male"/>
    <n v="48458"/>
    <n v="2382"/>
    <n v="25"/>
    <n v="1.0495382031905962E-2"/>
    <x v="0"/>
    <n v="42"/>
    <n v="100044"/>
    <s v="EUR"/>
    <x v="1"/>
    <x v="7"/>
    <n v="0.2"/>
    <x v="1"/>
    <s v="Orange"/>
  </r>
  <r>
    <n v="664280847"/>
    <s v="Yusuf"/>
    <s v="Male"/>
    <n v="47797"/>
    <n v="4736"/>
    <n v="24"/>
    <n v="5.0675675675675678E-3"/>
    <x v="0"/>
    <n v="42"/>
    <n v="198912"/>
    <s v="EUR"/>
    <x v="2"/>
    <x v="8"/>
    <n v="0.2"/>
    <x v="1"/>
    <s v="Pink"/>
  </r>
  <r>
    <n v="897480248"/>
    <s v="Soner"/>
    <s v="Male"/>
    <n v="48556"/>
    <n v="3961"/>
    <n v="14"/>
    <n v="3.5344609946983086E-3"/>
    <x v="0"/>
    <n v="36"/>
    <n v="142596"/>
    <s v="EUR"/>
    <x v="3"/>
    <x v="8"/>
    <n v="0.2"/>
    <x v="0"/>
    <s v="Fuscia"/>
  </r>
  <r>
    <n v="953844275"/>
    <s v="Ali"/>
    <s v="Male"/>
    <n v="48151"/>
    <n v="1137"/>
    <n v="50"/>
    <n v="4.3975373790677223E-2"/>
    <x v="0"/>
    <n v="30"/>
    <n v="34110"/>
    <s v="EUR"/>
    <x v="4"/>
    <x v="2"/>
    <n v="0.2"/>
    <x v="0"/>
    <s v="Red"/>
  </r>
  <r>
    <n v="363689534"/>
    <s v="Hasan"/>
    <s v="Male"/>
    <n v="47953"/>
    <n v="3661"/>
    <n v="16"/>
    <n v="4.3703906036602017E-3"/>
    <x v="0"/>
    <n v="43"/>
    <n v="157423"/>
    <s v="EUR"/>
    <x v="5"/>
    <x v="7"/>
    <n v="0.2"/>
    <x v="0"/>
    <s v="Purple"/>
  </r>
  <r>
    <n v="938486606"/>
    <s v="Hüseyin"/>
    <s v="Male"/>
    <n v="48312"/>
    <n v="3914"/>
    <n v="24"/>
    <n v="6.1318344404701075E-3"/>
    <x v="0"/>
    <n v="27"/>
    <n v="105678"/>
    <s v="EUR"/>
    <x v="6"/>
    <x v="6"/>
    <n v="0.2"/>
    <x v="0"/>
    <s v="Pink"/>
  </r>
  <r>
    <n v="571170312"/>
    <s v="Canan"/>
    <s v="Female"/>
    <n v="47677"/>
    <n v="1733"/>
    <n v="38"/>
    <n v="2.1927293710328911E-2"/>
    <x v="2"/>
    <n v="39"/>
    <n v="67587"/>
    <s v="EUR"/>
    <x v="6"/>
    <x v="6"/>
    <n v="0.2"/>
    <x v="0"/>
    <s v="Teal"/>
  </r>
  <r>
    <n v="386593835"/>
    <s v="Cansu"/>
    <s v="Female"/>
    <n v="48525"/>
    <n v="4426"/>
    <n v="41"/>
    <n v="9.2634432896520555E-3"/>
    <x v="0"/>
    <n v="38"/>
    <n v="168188"/>
    <s v="EUR"/>
    <x v="7"/>
    <x v="6"/>
    <n v="0.2"/>
    <x v="0"/>
    <s v="Green"/>
  </r>
  <r>
    <n v="791096474"/>
    <s v="Kenan"/>
    <s v="Male"/>
    <n v="48156"/>
    <n v="4493"/>
    <n v="34"/>
    <n v="7.5673269530380591E-3"/>
    <x v="1"/>
    <n v="49"/>
    <n v="220157"/>
    <s v="EUR"/>
    <x v="8"/>
    <x v="5"/>
    <n v="0.2"/>
    <x v="0"/>
    <s v="Purple"/>
  </r>
  <r>
    <n v="207791251"/>
    <s v="Mirza"/>
    <s v="Male"/>
    <n v="48312"/>
    <n v="3370"/>
    <n v="27"/>
    <n v="8.0118694362017809E-3"/>
    <x v="0"/>
    <n v="45"/>
    <n v="151650"/>
    <s v="EUR"/>
    <x v="9"/>
    <x v="2"/>
    <n v="0.2"/>
    <x v="0"/>
    <s v="Puce"/>
  </r>
  <r>
    <n v="349853614"/>
    <s v="Ebrar"/>
    <s v="Female"/>
    <n v="47734"/>
    <n v="3697"/>
    <n v="33"/>
    <n v="8.9261563429807959E-3"/>
    <x v="0"/>
    <n v="35"/>
    <n v="129395"/>
    <s v="EUR"/>
    <x v="10"/>
    <x v="9"/>
    <n v="0.2"/>
    <x v="0"/>
    <s v="Red"/>
  </r>
  <r>
    <n v="854351783"/>
    <s v="Semih"/>
    <s v="Male"/>
    <n v="48282"/>
    <n v="2879"/>
    <n v="30"/>
    <n v="1.0420284821118444E-2"/>
    <x v="0"/>
    <n v="41"/>
    <n v="118039"/>
    <s v="EUR"/>
    <x v="11"/>
    <x v="4"/>
    <n v="0.2"/>
    <x v="0"/>
    <s v="Crimson"/>
  </r>
  <r>
    <n v="10357555"/>
    <s v="Sevcan"/>
    <s v="Female"/>
    <n v="47903"/>
    <n v="3675"/>
    <n v="11"/>
    <n v="2.9931972789115648E-3"/>
    <x v="0"/>
    <n v="40"/>
    <n v="147000"/>
    <s v="EUR"/>
    <x v="12"/>
    <x v="10"/>
    <n v="0.2"/>
    <x v="1"/>
    <s v="Goldenrod"/>
  </r>
  <r>
    <n v="302779479"/>
    <s v="Sevtap"/>
    <s v="Female"/>
    <n v="48083"/>
    <n v="1905"/>
    <n v="47"/>
    <n v="2.4671916010498687E-2"/>
    <x v="0"/>
    <n v="24"/>
    <n v="45720"/>
    <s v="EUR"/>
    <x v="13"/>
    <x v="6"/>
    <n v="0.2"/>
    <x v="0"/>
    <s v="Goldenrod"/>
  </r>
  <r>
    <n v="496987638"/>
    <s v="Kemal"/>
    <s v="Male"/>
    <n v="47687"/>
    <n v="1820"/>
    <n v="13"/>
    <n v="7.1428571428571426E-3"/>
    <x v="0"/>
    <n v="32"/>
    <n v="58240"/>
    <s v="EUR"/>
    <x v="14"/>
    <x v="9"/>
    <n v="0.2"/>
    <x v="0"/>
    <s v="Orange"/>
  </r>
  <r>
    <n v="833608993"/>
    <s v="Resul"/>
    <s v="Male"/>
    <n v="47718"/>
    <n v="3619"/>
    <n v="35"/>
    <n v="9.6711798839458421E-3"/>
    <x v="0"/>
    <n v="23"/>
    <n v="83237"/>
    <s v="EUR"/>
    <x v="0"/>
    <x v="2"/>
    <n v="0.2"/>
    <x v="1"/>
    <s v="Puce"/>
  </r>
  <r>
    <n v="370066516"/>
    <s v="Hüseyin"/>
    <s v="Male"/>
    <n v="47723"/>
    <n v="2963"/>
    <n v="21"/>
    <n v="7.0874114073574083E-3"/>
    <x v="0"/>
    <n v="41"/>
    <n v="121483"/>
    <s v="EUR"/>
    <x v="1"/>
    <x v="5"/>
    <n v="0.2"/>
    <x v="1"/>
    <s v="Yellow"/>
  </r>
  <r>
    <n v="76058008"/>
    <s v="Canan"/>
    <s v="Female"/>
    <n v="47881"/>
    <n v="4495"/>
    <n v="13"/>
    <n v="2.8921023359288096E-3"/>
    <x v="0"/>
    <n v="34"/>
    <n v="152830"/>
    <s v="EUR"/>
    <x v="2"/>
    <x v="1"/>
    <n v="0.2"/>
    <x v="0"/>
    <s v="Turquoise"/>
  </r>
  <r>
    <n v="94287276"/>
    <s v="Cansu"/>
    <s v="Female"/>
    <n v="47960"/>
    <n v="1314"/>
    <n v="26"/>
    <n v="1.9786910197869101E-2"/>
    <x v="0"/>
    <n v="27"/>
    <n v="35478"/>
    <s v="EUR"/>
    <x v="3"/>
    <x v="7"/>
    <n v="0.2"/>
    <x v="1"/>
    <s v="Purple"/>
  </r>
  <r>
    <n v="93572022"/>
    <s v="Kenan"/>
    <s v="Male"/>
    <n v="47564"/>
    <n v="2613"/>
    <n v="44"/>
    <n v="1.6838882510524303E-2"/>
    <x v="0"/>
    <n v="31"/>
    <n v="81003"/>
    <s v="EUR"/>
    <x v="4"/>
    <x v="5"/>
    <n v="0.2"/>
    <x v="0"/>
    <s v="Red"/>
  </r>
  <r>
    <n v="404765669"/>
    <s v="Mirza"/>
    <s v="Male"/>
    <n v="48336"/>
    <n v="3798"/>
    <n v="35"/>
    <n v="9.2153765139547129E-3"/>
    <x v="0"/>
    <n v="23"/>
    <n v="87354"/>
    <s v="EUR"/>
    <x v="5"/>
    <x v="10"/>
    <n v="0.2"/>
    <x v="1"/>
    <s v="Purple"/>
  </r>
  <r>
    <n v="976323545"/>
    <s v="Ebrar"/>
    <s v="Female"/>
    <n v="48191"/>
    <n v="3663"/>
    <n v="19"/>
    <n v="5.1870051870051871E-3"/>
    <x v="0"/>
    <n v="33"/>
    <n v="120879"/>
    <s v="EUR"/>
    <x v="6"/>
    <x v="10"/>
    <n v="0.2"/>
    <x v="0"/>
    <s v="Indigo"/>
  </r>
  <r>
    <n v="114481413"/>
    <s v="Semih"/>
    <s v="Male"/>
    <n v="47542"/>
    <n v="2254"/>
    <n v="17"/>
    <n v="7.5421472937000885E-3"/>
    <x v="0"/>
    <n v="30"/>
    <n v="67620"/>
    <s v="EUR"/>
    <x v="6"/>
    <x v="1"/>
    <n v="0.2"/>
    <x v="0"/>
    <s v="Teal"/>
  </r>
  <r>
    <n v="761229323"/>
    <s v="Sevcan"/>
    <s v="Female"/>
    <n v="48441"/>
    <n v="4609"/>
    <n v="34"/>
    <n v="7.3768713386851816E-3"/>
    <x v="0"/>
    <n v="36"/>
    <n v="165924"/>
    <s v="EUR"/>
    <x v="7"/>
    <x v="0"/>
    <n v="0.2"/>
    <x v="0"/>
    <s v="Yellow"/>
  </r>
  <r>
    <n v="240481122"/>
    <s v="Sevtap"/>
    <s v="Female"/>
    <n v="48125"/>
    <n v="1255"/>
    <n v="49"/>
    <n v="3.9043824701195218E-2"/>
    <x v="1"/>
    <n v="45"/>
    <n v="56475"/>
    <s v="EUR"/>
    <x v="8"/>
    <x v="6"/>
    <n v="0.2"/>
    <x v="0"/>
    <s v="Red"/>
  </r>
  <r>
    <n v="130130162"/>
    <s v="Kemal"/>
    <s v="Male"/>
    <n v="48487"/>
    <n v="1346"/>
    <n v="44"/>
    <n v="3.2689450222882617E-2"/>
    <x v="0"/>
    <n v="24"/>
    <n v="32304"/>
    <s v="EUR"/>
    <x v="9"/>
    <x v="7"/>
    <n v="0.2"/>
    <x v="0"/>
    <s v="Khaki"/>
  </r>
  <r>
    <n v="199544196"/>
    <s v="Resul"/>
    <s v="Male"/>
    <n v="48378"/>
    <n v="1528"/>
    <n v="36"/>
    <n v="2.356020942408377E-2"/>
    <x v="0"/>
    <n v="39"/>
    <n v="59592"/>
    <s v="EUR"/>
    <x v="10"/>
    <x v="4"/>
    <n v="0.2"/>
    <x v="0"/>
    <s v="Blue"/>
  </r>
  <r>
    <n v="427939159"/>
    <s v="Beşir"/>
    <s v="Male"/>
    <n v="48218"/>
    <n v="2388"/>
    <n v="43"/>
    <n v="1.8006700167504188E-2"/>
    <x v="0"/>
    <n v="43"/>
    <n v="102684"/>
    <s v="EUR"/>
    <x v="11"/>
    <x v="8"/>
    <n v="0.2"/>
    <x v="1"/>
    <s v="Fuscia"/>
  </r>
  <r>
    <n v="259380121"/>
    <s v="Yusuf"/>
    <s v="Male"/>
    <n v="47768"/>
    <n v="4014"/>
    <n v="18"/>
    <n v="4.4843049327354259E-3"/>
    <x v="0"/>
    <n v="22"/>
    <n v="88308"/>
    <s v="EUR"/>
    <x v="12"/>
    <x v="4"/>
    <n v="0.2"/>
    <x v="1"/>
    <s v="Maroon"/>
  </r>
  <r>
    <n v="581267588"/>
    <s v="Soner"/>
    <s v="Male"/>
    <n v="48524"/>
    <n v="3891"/>
    <n v="47"/>
    <n v="1.2079157029041377E-2"/>
    <x v="0"/>
    <n v="48"/>
    <n v="186768"/>
    <s v="EUR"/>
    <x v="13"/>
    <x v="2"/>
    <n v="0.2"/>
    <x v="0"/>
    <s v="Red"/>
  </r>
  <r>
    <n v="287188357"/>
    <s v="Ali"/>
    <s v="Male"/>
    <n v="47712"/>
    <n v="4471"/>
    <n v="38"/>
    <n v="8.4992171773652422E-3"/>
    <x v="0"/>
    <n v="34"/>
    <n v="152014"/>
    <s v="EUR"/>
    <x v="14"/>
    <x v="7"/>
    <n v="0.2"/>
    <x v="0"/>
    <s v="Pink"/>
  </r>
  <r>
    <n v="199261152"/>
    <s v="Hasan"/>
    <s v="Male"/>
    <n v="47583"/>
    <n v="1513"/>
    <n v="14"/>
    <n v="9.253139458030404E-3"/>
    <x v="0"/>
    <n v="22"/>
    <n v="33286"/>
    <s v="EUR"/>
    <x v="0"/>
    <x v="3"/>
    <n v="0.2"/>
    <x v="0"/>
    <s v="Aquamarine"/>
  </r>
  <r>
    <n v="339035875"/>
    <s v="Hüseyin"/>
    <s v="Male"/>
    <n v="48286"/>
    <n v="2109"/>
    <n v="18"/>
    <n v="8.5348506401137988E-3"/>
    <x v="0"/>
    <n v="27"/>
    <n v="56943"/>
    <s v="EUR"/>
    <x v="1"/>
    <x v="3"/>
    <n v="0.2"/>
    <x v="0"/>
    <s v="Goldenrod"/>
  </r>
  <r>
    <n v="870214267"/>
    <s v="Canan"/>
    <s v="Female"/>
    <n v="48176"/>
    <n v="4609"/>
    <n v="14"/>
    <n v="3.0375352571056628E-3"/>
    <x v="0"/>
    <n v="22"/>
    <n v="101398"/>
    <s v="EUR"/>
    <x v="2"/>
    <x v="10"/>
    <n v="0.2"/>
    <x v="1"/>
    <s v="Orange"/>
  </r>
  <r>
    <n v="896070755"/>
    <s v="Cansu"/>
    <s v="Female"/>
    <n v="47581"/>
    <n v="2185"/>
    <n v="33"/>
    <n v="1.5102974828375287E-2"/>
    <x v="0"/>
    <n v="48"/>
    <n v="104880"/>
    <s v="EUR"/>
    <x v="3"/>
    <x v="10"/>
    <n v="0.2"/>
    <x v="1"/>
    <s v="Goldenrod"/>
  </r>
  <r>
    <n v="46912151"/>
    <s v="Kenan"/>
    <s v="Male"/>
    <n v="47620"/>
    <n v="4674"/>
    <n v="50"/>
    <n v="1.069747539580659E-2"/>
    <x v="0"/>
    <n v="31"/>
    <n v="144894"/>
    <s v="EUR"/>
    <x v="4"/>
    <x v="10"/>
    <n v="0.2"/>
    <x v="0"/>
    <s v="Goldenrod"/>
  </r>
  <r>
    <n v="489021096"/>
    <s v="Mirza"/>
    <s v="Male"/>
    <n v="48472"/>
    <n v="1650"/>
    <n v="37"/>
    <n v="2.2424242424242423E-2"/>
    <x v="0"/>
    <n v="29"/>
    <n v="47850"/>
    <s v="EUR"/>
    <x v="5"/>
    <x v="7"/>
    <n v="0.2"/>
    <x v="1"/>
    <s v="Fuscia"/>
  </r>
  <r>
    <n v="449012743"/>
    <s v="Ebrar"/>
    <s v="Female"/>
    <n v="48162"/>
    <n v="3109"/>
    <n v="39"/>
    <n v="1.2544226439369572E-2"/>
    <x v="0"/>
    <n v="39"/>
    <n v="121251"/>
    <s v="EUR"/>
    <x v="6"/>
    <x v="9"/>
    <n v="0.2"/>
    <x v="1"/>
    <s v="Yellow"/>
  </r>
  <r>
    <n v="514710715"/>
    <s v="Semih"/>
    <s v="Male"/>
    <n v="48116"/>
    <n v="2377"/>
    <n v="46"/>
    <n v="1.9352124526714348E-2"/>
    <x v="0"/>
    <n v="32"/>
    <n v="76064"/>
    <s v="EUR"/>
    <x v="6"/>
    <x v="8"/>
    <n v="0.2"/>
    <x v="0"/>
    <s v="Green"/>
  </r>
  <r>
    <n v="623067664"/>
    <s v="Sevcan"/>
    <s v="Female"/>
    <n v="48120"/>
    <n v="2154"/>
    <n v="14"/>
    <n v="6.4995357474466105E-3"/>
    <x v="0"/>
    <n v="29"/>
    <n v="62466"/>
    <s v="EUR"/>
    <x v="7"/>
    <x v="5"/>
    <n v="0.2"/>
    <x v="1"/>
    <s v="Violet"/>
  </r>
  <r>
    <n v="6352290"/>
    <s v="Sevtap"/>
    <s v="Female"/>
    <n v="47598"/>
    <n v="4480"/>
    <n v="46"/>
    <n v="1.0267857142857143E-2"/>
    <x v="0"/>
    <n v="32"/>
    <n v="143360"/>
    <s v="EUR"/>
    <x v="8"/>
    <x v="6"/>
    <n v="0.2"/>
    <x v="0"/>
    <s v="Fuscia"/>
  </r>
  <r>
    <n v="391720483"/>
    <s v="Kemal"/>
    <s v="Male"/>
    <n v="47700"/>
    <n v="4111"/>
    <n v="23"/>
    <n v="5.5947458039406466E-3"/>
    <x v="0"/>
    <n v="20"/>
    <n v="82220"/>
    <s v="EUR"/>
    <x v="9"/>
    <x v="3"/>
    <n v="0.2"/>
    <x v="1"/>
    <s v="Purple"/>
  </r>
  <r>
    <n v="122717259"/>
    <s v="Resul"/>
    <s v="Male"/>
    <n v="47602"/>
    <n v="4160"/>
    <n v="47"/>
    <n v="1.1298076923076923E-2"/>
    <x v="0"/>
    <n v="25"/>
    <n v="104000"/>
    <s v="EUR"/>
    <x v="10"/>
    <x v="2"/>
    <n v="0.2"/>
    <x v="1"/>
    <s v="Fuscia"/>
  </r>
  <r>
    <n v="816960991"/>
    <s v="Beşir"/>
    <s v="Male"/>
    <n v="47629"/>
    <n v="4162"/>
    <n v="22"/>
    <n v="5.2859202306583374E-3"/>
    <x v="0"/>
    <n v="49"/>
    <n v="203938"/>
    <s v="EUR"/>
    <x v="11"/>
    <x v="0"/>
    <n v="0.2"/>
    <x v="0"/>
    <s v="Goldenrod"/>
  </r>
  <r>
    <n v="429407385"/>
    <s v="Yusuf"/>
    <s v="Male"/>
    <n v="47915"/>
    <n v="4466"/>
    <n v="28"/>
    <n v="6.269592476489028E-3"/>
    <x v="0"/>
    <n v="40"/>
    <n v="178640"/>
    <s v="EUR"/>
    <x v="12"/>
    <x v="1"/>
    <n v="0.2"/>
    <x v="0"/>
    <s v="Aquamarine"/>
  </r>
  <r>
    <n v="989830365"/>
    <s v="Soner"/>
    <s v="Male"/>
    <n v="47986"/>
    <n v="1220"/>
    <n v="10"/>
    <n v="8.1967213114754103E-3"/>
    <x v="0"/>
    <n v="49"/>
    <n v="59780"/>
    <s v="EUR"/>
    <x v="13"/>
    <x v="2"/>
    <n v="0.2"/>
    <x v="0"/>
    <s v="Aquamarine"/>
  </r>
  <r>
    <n v="142136793"/>
    <s v="Ali"/>
    <s v="Male"/>
    <n v="47876"/>
    <n v="3544"/>
    <n v="30"/>
    <n v="8.4650112866817163E-3"/>
    <x v="0"/>
    <n v="46"/>
    <n v="163024"/>
    <s v="EUR"/>
    <x v="14"/>
    <x v="1"/>
    <n v="0.2"/>
    <x v="0"/>
    <s v="Teal"/>
  </r>
  <r>
    <n v="810311764"/>
    <s v="Hasan"/>
    <s v="Male"/>
    <n v="47630"/>
    <n v="3030"/>
    <n v="21"/>
    <n v="6.9306930693069308E-3"/>
    <x v="1"/>
    <n v="31"/>
    <n v="93930"/>
    <s v="EUR"/>
    <x v="0"/>
    <x v="9"/>
    <n v="0.2"/>
    <x v="0"/>
    <s v="Mauv"/>
  </r>
  <r>
    <n v="105671652"/>
    <s v="Hüseyin"/>
    <s v="Male"/>
    <n v="47580"/>
    <n v="4159"/>
    <n v="38"/>
    <n v="9.1368117335898051E-3"/>
    <x v="0"/>
    <n v="46"/>
    <n v="191314"/>
    <s v="EUR"/>
    <x v="1"/>
    <x v="7"/>
    <n v="0.2"/>
    <x v="1"/>
    <s v="Maroon"/>
  </r>
  <r>
    <n v="551212865"/>
    <s v="Canan"/>
    <s v="Female"/>
    <n v="48571"/>
    <n v="1000"/>
    <n v="11"/>
    <n v="1.0999999999999999E-2"/>
    <x v="0"/>
    <n v="34"/>
    <n v="34000"/>
    <s v="EUR"/>
    <x v="2"/>
    <x v="6"/>
    <n v="0.2"/>
    <x v="1"/>
    <s v="Fuscia"/>
  </r>
  <r>
    <n v="794964429"/>
    <s v="Cansu"/>
    <s v="Female"/>
    <n v="47637"/>
    <n v="3786"/>
    <n v="48"/>
    <n v="1.2678288431061807E-2"/>
    <x v="0"/>
    <n v="24"/>
    <n v="90864"/>
    <s v="EUR"/>
    <x v="3"/>
    <x v="5"/>
    <n v="0.2"/>
    <x v="1"/>
    <s v="Blue"/>
  </r>
  <r>
    <n v="902392592"/>
    <s v="Kenan"/>
    <s v="Male"/>
    <n v="47717"/>
    <n v="2824"/>
    <n v="17"/>
    <n v="6.0198300283286115E-3"/>
    <x v="0"/>
    <n v="32"/>
    <n v="90368"/>
    <s v="EUR"/>
    <x v="4"/>
    <x v="7"/>
    <n v="0.2"/>
    <x v="1"/>
    <s v="Orange"/>
  </r>
  <r>
    <n v="488894497"/>
    <s v="Mirza"/>
    <s v="Male"/>
    <n v="48452"/>
    <n v="2173"/>
    <n v="39"/>
    <n v="1.7947537965945698E-2"/>
    <x v="0"/>
    <n v="37"/>
    <n v="80401"/>
    <s v="EUR"/>
    <x v="5"/>
    <x v="9"/>
    <n v="0.2"/>
    <x v="0"/>
    <s v="Orange"/>
  </r>
  <r>
    <n v="449767153"/>
    <s v="Ebrar"/>
    <s v="Female"/>
    <n v="47635"/>
    <n v="2940"/>
    <n v="35"/>
    <n v="1.1904761904761904E-2"/>
    <x v="0"/>
    <n v="31"/>
    <n v="91140"/>
    <s v="EUR"/>
    <x v="6"/>
    <x v="2"/>
    <n v="0.2"/>
    <x v="0"/>
    <s v="Teal"/>
  </r>
  <r>
    <n v="244672945"/>
    <s v="Semih"/>
    <s v="Male"/>
    <n v="47841"/>
    <n v="1952"/>
    <n v="12"/>
    <n v="6.1475409836065573E-3"/>
    <x v="0"/>
    <n v="22"/>
    <n v="42944"/>
    <s v="EUR"/>
    <x v="6"/>
    <x v="4"/>
    <n v="0.2"/>
    <x v="1"/>
    <s v="Khaki"/>
  </r>
  <r>
    <n v="543840471"/>
    <s v="Sevcan"/>
    <s v="Female"/>
    <n v="48553"/>
    <n v="2212"/>
    <n v="16"/>
    <n v="7.2332730560578659E-3"/>
    <x v="0"/>
    <n v="34"/>
    <n v="75208"/>
    <s v="EUR"/>
    <x v="7"/>
    <x v="6"/>
    <n v="0.2"/>
    <x v="1"/>
    <s v="Puce"/>
  </r>
  <r>
    <n v="201257872"/>
    <s v="Sevtap"/>
    <s v="Female"/>
    <n v="47611"/>
    <n v="3361"/>
    <n v="37"/>
    <n v="1.1008628384409401E-2"/>
    <x v="0"/>
    <n v="37"/>
    <n v="124357"/>
    <s v="EUR"/>
    <x v="8"/>
    <x v="9"/>
    <n v="0.2"/>
    <x v="1"/>
    <s v="Red"/>
  </r>
  <r>
    <n v="810895889"/>
    <s v="Kemal"/>
    <s v="Male"/>
    <n v="47530"/>
    <n v="2359"/>
    <n v="33"/>
    <n v="1.3988978380669776E-2"/>
    <x v="0"/>
    <n v="46"/>
    <n v="108514"/>
    <s v="EUR"/>
    <x v="9"/>
    <x v="7"/>
    <n v="0.2"/>
    <x v="1"/>
    <s v="Maroon"/>
  </r>
  <r>
    <n v="900057510"/>
    <s v="Resul"/>
    <s v="Male"/>
    <n v="47959"/>
    <n v="1957"/>
    <n v="34"/>
    <n v="1.7373530914665303E-2"/>
    <x v="0"/>
    <n v="37"/>
    <n v="72409"/>
    <s v="EUR"/>
    <x v="10"/>
    <x v="2"/>
    <n v="0.2"/>
    <x v="0"/>
    <s v="Turquoise"/>
  </r>
  <r>
    <n v="708473039"/>
    <s v="Hüseyin"/>
    <s v="Male"/>
    <n v="48185"/>
    <n v="1611"/>
    <n v="45"/>
    <n v="2.7932960893854747E-2"/>
    <x v="0"/>
    <n v="33"/>
    <n v="53163"/>
    <s v="EUR"/>
    <x v="11"/>
    <x v="5"/>
    <n v="0.2"/>
    <x v="0"/>
    <s v="Crimson"/>
  </r>
  <r>
    <n v="658121266"/>
    <s v="Canan"/>
    <s v="Female"/>
    <n v="47846"/>
    <n v="2197"/>
    <n v="41"/>
    <n v="1.8661811561219845E-2"/>
    <x v="0"/>
    <n v="40"/>
    <n v="87880"/>
    <s v="EUR"/>
    <x v="12"/>
    <x v="9"/>
    <n v="0.2"/>
    <x v="1"/>
    <s v="Aquamarine"/>
  </r>
  <r>
    <n v="106533270"/>
    <s v="Cansu"/>
    <s v="Female"/>
    <n v="47534"/>
    <n v="1111"/>
    <n v="45"/>
    <n v="4.0504050405040501E-2"/>
    <x v="1"/>
    <n v="48"/>
    <n v="53328"/>
    <s v="EUR"/>
    <x v="13"/>
    <x v="6"/>
    <n v="0.2"/>
    <x v="1"/>
    <s v="Aquamarine"/>
  </r>
  <r>
    <n v="588105298"/>
    <s v="Kenan"/>
    <s v="Male"/>
    <n v="47998"/>
    <n v="1486"/>
    <n v="32"/>
    <n v="2.1534320323014805E-2"/>
    <x v="0"/>
    <n v="35"/>
    <n v="52010"/>
    <s v="EUR"/>
    <x v="14"/>
    <x v="10"/>
    <n v="0.2"/>
    <x v="0"/>
    <s v="Goldenrod"/>
  </r>
  <r>
    <n v="855925986"/>
    <s v="Mirza"/>
    <s v="Male"/>
    <n v="48023"/>
    <n v="3703"/>
    <n v="12"/>
    <n v="3.2406157169862274E-3"/>
    <x v="0"/>
    <n v="29"/>
    <n v="107387"/>
    <s v="EUR"/>
    <x v="0"/>
    <x v="6"/>
    <n v="0.2"/>
    <x v="0"/>
    <s v="Khaki"/>
  </r>
  <r>
    <n v="650802858"/>
    <s v="Ebrar"/>
    <s v="Female"/>
    <n v="47854"/>
    <n v="3289"/>
    <n v="33"/>
    <n v="1.0033444816053512E-2"/>
    <x v="0"/>
    <n v="20"/>
    <n v="65780"/>
    <s v="EUR"/>
    <x v="1"/>
    <x v="7"/>
    <n v="0.2"/>
    <x v="0"/>
    <s v="Violet"/>
  </r>
  <r>
    <n v="2915337"/>
    <s v="Semih"/>
    <s v="Male"/>
    <n v="47939"/>
    <n v="1818"/>
    <n v="49"/>
    <n v="2.6952695269526952E-2"/>
    <x v="0"/>
    <n v="38"/>
    <n v="69084"/>
    <s v="EUR"/>
    <x v="2"/>
    <x v="8"/>
    <n v="0.2"/>
    <x v="1"/>
    <s v="Khaki"/>
  </r>
  <r>
    <n v="63645222"/>
    <s v="Sevcan"/>
    <s v="Female"/>
    <n v="48188"/>
    <n v="3058"/>
    <n v="17"/>
    <n v="5.5591890124264227E-3"/>
    <x v="0"/>
    <n v="22"/>
    <n v="67276"/>
    <s v="EUR"/>
    <x v="3"/>
    <x v="0"/>
    <n v="0.2"/>
    <x v="0"/>
    <s v="Fuscia"/>
  </r>
  <r>
    <n v="462585648"/>
    <s v="Sevtap"/>
    <s v="Female"/>
    <n v="47860"/>
    <n v="4383"/>
    <n v="16"/>
    <n v="3.650467716176135E-3"/>
    <x v="0"/>
    <n v="42"/>
    <n v="184086"/>
    <s v="EUR"/>
    <x v="4"/>
    <x v="4"/>
    <n v="0.2"/>
    <x v="1"/>
    <s v="Goldenrod"/>
  </r>
  <r>
    <n v="676608987"/>
    <s v="Kemal"/>
    <s v="Male"/>
    <n v="48292"/>
    <n v="1018"/>
    <n v="40"/>
    <n v="3.9292730844793712E-2"/>
    <x v="1"/>
    <n v="30"/>
    <n v="30540"/>
    <s v="EUR"/>
    <x v="5"/>
    <x v="0"/>
    <n v="0.2"/>
    <x v="0"/>
    <s v="Pink"/>
  </r>
  <r>
    <n v="770830751"/>
    <s v="Resul"/>
    <s v="Male"/>
    <n v="48058"/>
    <n v="1537"/>
    <n v="19"/>
    <n v="1.2361743656473649E-2"/>
    <x v="0"/>
    <n v="27"/>
    <n v="41499"/>
    <s v="EUR"/>
    <x v="6"/>
    <x v="9"/>
    <n v="0.2"/>
    <x v="1"/>
    <s v="Green"/>
  </r>
  <r>
    <n v="569049042"/>
    <s v="Beşir"/>
    <s v="Male"/>
    <n v="48357"/>
    <n v="3096"/>
    <n v="40"/>
    <n v="1.2919896640826873E-2"/>
    <x v="0"/>
    <n v="42"/>
    <n v="130032"/>
    <s v="EUR"/>
    <x v="6"/>
    <x v="2"/>
    <n v="0.2"/>
    <x v="0"/>
    <s v="Goldenrod"/>
  </r>
  <r>
    <n v="703796796"/>
    <s v="Yusuf"/>
    <s v="Male"/>
    <n v="48392"/>
    <n v="1438"/>
    <n v="35"/>
    <n v="2.4339360222531293E-2"/>
    <x v="0"/>
    <n v="31"/>
    <n v="44578"/>
    <s v="EUR"/>
    <x v="7"/>
    <x v="9"/>
    <n v="0.2"/>
    <x v="0"/>
    <s v="Teal"/>
  </r>
  <r>
    <n v="593484970"/>
    <s v="Soner"/>
    <s v="Male"/>
    <n v="47589"/>
    <n v="2172"/>
    <n v="10"/>
    <n v="4.6040515653775326E-3"/>
    <x v="0"/>
    <n v="42"/>
    <n v="91224"/>
    <s v="EUR"/>
    <x v="8"/>
    <x v="8"/>
    <n v="0.2"/>
    <x v="0"/>
    <s v="Indigo"/>
  </r>
  <r>
    <n v="893453145"/>
    <s v="Ali"/>
    <s v="Male"/>
    <n v="47741"/>
    <n v="3090"/>
    <n v="46"/>
    <n v="1.4886731391585761E-2"/>
    <x v="0"/>
    <n v="31"/>
    <n v="95790"/>
    <s v="EUR"/>
    <x v="9"/>
    <x v="3"/>
    <n v="0.2"/>
    <x v="1"/>
    <s v="Red"/>
  </r>
  <r>
    <n v="304099768"/>
    <s v="Hasan"/>
    <s v="Male"/>
    <n v="48380"/>
    <n v="4041"/>
    <n v="25"/>
    <n v="6.186587478346944E-3"/>
    <x v="0"/>
    <n v="21"/>
    <n v="84861"/>
    <s v="EUR"/>
    <x v="10"/>
    <x v="6"/>
    <n v="0.2"/>
    <x v="1"/>
    <s v="Green"/>
  </r>
  <r>
    <n v="869759082"/>
    <s v="Hüseyin"/>
    <s v="Male"/>
    <n v="47996"/>
    <n v="4066"/>
    <n v="49"/>
    <n v="1.2051155927201181E-2"/>
    <x v="0"/>
    <n v="50"/>
    <n v="203300"/>
    <s v="EUR"/>
    <x v="11"/>
    <x v="9"/>
    <n v="0.2"/>
    <x v="0"/>
    <s v="Violet"/>
  </r>
  <r>
    <n v="922042266"/>
    <s v="Canan"/>
    <s v="Female"/>
    <n v="48322"/>
    <n v="1019"/>
    <n v="24"/>
    <n v="2.3552502453385672E-2"/>
    <x v="0"/>
    <n v="26"/>
    <n v="26494"/>
    <s v="EUR"/>
    <x v="12"/>
    <x v="6"/>
    <n v="0.2"/>
    <x v="0"/>
    <s v="Green"/>
  </r>
  <r>
    <n v="30027623"/>
    <s v="Cansu"/>
    <s v="Female"/>
    <n v="47747"/>
    <n v="1193"/>
    <n v="10"/>
    <n v="8.3822296730930428E-3"/>
    <x v="1"/>
    <n v="28"/>
    <n v="33404"/>
    <s v="EUR"/>
    <x v="13"/>
    <x v="2"/>
    <n v="0.2"/>
    <x v="0"/>
    <s v="Teal"/>
  </r>
  <r>
    <n v="129880244"/>
    <s v="Kenan"/>
    <s v="Male"/>
    <n v="48572"/>
    <n v="1352"/>
    <n v="47"/>
    <n v="3.4763313609467453E-2"/>
    <x v="1"/>
    <n v="23"/>
    <n v="31096"/>
    <s v="EUR"/>
    <x v="14"/>
    <x v="2"/>
    <n v="0.2"/>
    <x v="1"/>
    <s v="Fuscia"/>
  </r>
  <r>
    <n v="91527841"/>
    <s v="Mirza"/>
    <s v="Male"/>
    <n v="47840"/>
    <n v="1354"/>
    <n v="20"/>
    <n v="1.4771048744460856E-2"/>
    <x v="0"/>
    <n v="48"/>
    <n v="64992"/>
    <s v="EUR"/>
    <x v="0"/>
    <x v="4"/>
    <n v="0.2"/>
    <x v="1"/>
    <s v="Mauv"/>
  </r>
  <r>
    <n v="628527609"/>
    <s v="Ebrar"/>
    <s v="Female"/>
    <n v="47690"/>
    <n v="3520"/>
    <n v="33"/>
    <n v="9.3749999999999997E-3"/>
    <x v="0"/>
    <n v="22"/>
    <n v="77440"/>
    <s v="EUR"/>
    <x v="1"/>
    <x v="6"/>
    <n v="0.2"/>
    <x v="1"/>
    <s v="Turquoise"/>
  </r>
  <r>
    <n v="287509539"/>
    <s v="Semih"/>
    <s v="Male"/>
    <n v="48380"/>
    <n v="3805"/>
    <n v="49"/>
    <n v="1.2877792378449408E-2"/>
    <x v="0"/>
    <n v="20"/>
    <n v="76100"/>
    <s v="EUR"/>
    <x v="2"/>
    <x v="4"/>
    <n v="0.2"/>
    <x v="0"/>
    <s v="Teal"/>
  </r>
  <r>
    <n v="243109829"/>
    <s v="Sevcan"/>
    <s v="Female"/>
    <n v="47779"/>
    <n v="3839"/>
    <n v="42"/>
    <n v="1.094034904923157E-2"/>
    <x v="0"/>
    <n v="49"/>
    <n v="188111"/>
    <s v="EUR"/>
    <x v="3"/>
    <x v="3"/>
    <n v="0.2"/>
    <x v="1"/>
    <s v="Orange"/>
  </r>
  <r>
    <n v="732202292"/>
    <s v="Sevtap"/>
    <s v="Female"/>
    <n v="48294"/>
    <n v="3138"/>
    <n v="38"/>
    <n v="1.2109623964308477E-2"/>
    <x v="0"/>
    <n v="37"/>
    <n v="116106"/>
    <s v="EUR"/>
    <x v="4"/>
    <x v="6"/>
    <n v="0.2"/>
    <x v="1"/>
    <s v="Maroon"/>
  </r>
  <r>
    <n v="323846627"/>
    <s v="Kemal"/>
    <s v="Male"/>
    <n v="48422"/>
    <n v="4380"/>
    <n v="14"/>
    <n v="3.1963470319634705E-3"/>
    <x v="0"/>
    <n v="36"/>
    <n v="157680"/>
    <s v="EUR"/>
    <x v="5"/>
    <x v="4"/>
    <n v="0.2"/>
    <x v="0"/>
    <s v="Maroon"/>
  </r>
  <r>
    <n v="325007338"/>
    <s v="Resul"/>
    <s v="Male"/>
    <n v="48520"/>
    <n v="2843"/>
    <n v="35"/>
    <n v="1.2310939148786493E-2"/>
    <x v="0"/>
    <n v="24"/>
    <n v="68232"/>
    <s v="EUR"/>
    <x v="6"/>
    <x v="1"/>
    <n v="0.2"/>
    <x v="0"/>
    <s v="Purple"/>
  </r>
  <r>
    <n v="789408484"/>
    <s v="Beşir"/>
    <s v="Male"/>
    <n v="47907"/>
    <n v="3137"/>
    <n v="25"/>
    <n v="7.9693975135479763E-3"/>
    <x v="0"/>
    <n v="44"/>
    <n v="138028"/>
    <s v="EUR"/>
    <x v="6"/>
    <x v="5"/>
    <n v="0.2"/>
    <x v="0"/>
    <s v="Maroon"/>
  </r>
  <r>
    <n v="483321534"/>
    <s v="Yusuf"/>
    <s v="Male"/>
    <n v="47879"/>
    <n v="1905"/>
    <n v="43"/>
    <n v="2.2572178477690288E-2"/>
    <x v="1"/>
    <n v="22"/>
    <n v="41910"/>
    <s v="EUR"/>
    <x v="7"/>
    <x v="7"/>
    <n v="0.2"/>
    <x v="1"/>
    <s v="Mauv"/>
  </r>
  <r>
    <n v="963364321"/>
    <s v="Soner"/>
    <s v="Male"/>
    <n v="47553"/>
    <n v="1124"/>
    <n v="20"/>
    <n v="1.7793594306049824E-2"/>
    <x v="0"/>
    <n v="31"/>
    <n v="34844"/>
    <s v="EUR"/>
    <x v="8"/>
    <x v="5"/>
    <n v="0.2"/>
    <x v="0"/>
    <s v="Red"/>
  </r>
  <r>
    <n v="621905664"/>
    <s v="Ali"/>
    <s v="Male"/>
    <n v="47641"/>
    <n v="1498"/>
    <n v="22"/>
    <n v="1.4686248331108143E-2"/>
    <x v="0"/>
    <n v="46"/>
    <n v="68908"/>
    <s v="EUR"/>
    <x v="9"/>
    <x v="0"/>
    <n v="0.2"/>
    <x v="0"/>
    <s v="Puce"/>
  </r>
  <r>
    <n v="406697823"/>
    <s v="Hasan"/>
    <s v="Male"/>
    <n v="47529"/>
    <n v="2421"/>
    <n v="11"/>
    <n v="4.543577034283354E-3"/>
    <x v="0"/>
    <n v="37"/>
    <n v="89577"/>
    <s v="EUR"/>
    <x v="10"/>
    <x v="5"/>
    <n v="0.2"/>
    <x v="0"/>
    <s v="Indigo"/>
  </r>
  <r>
    <n v="978656862"/>
    <s v="Hüseyin"/>
    <s v="Male"/>
    <n v="47879"/>
    <n v="4084"/>
    <n v="25"/>
    <n v="6.1214495592556315E-3"/>
    <x v="0"/>
    <n v="33"/>
    <n v="134772"/>
    <s v="EUR"/>
    <x v="11"/>
    <x v="10"/>
    <n v="0.2"/>
    <x v="1"/>
    <s v="Blue"/>
  </r>
  <r>
    <n v="48759631"/>
    <s v="Canan"/>
    <s v="Female"/>
    <n v="48503"/>
    <n v="3095"/>
    <n v="39"/>
    <n v="1.2600969305331179E-2"/>
    <x v="1"/>
    <n v="43"/>
    <n v="133085"/>
    <s v="EUR"/>
    <x v="12"/>
    <x v="4"/>
    <n v="0.2"/>
    <x v="1"/>
    <s v="Crimson"/>
  </r>
  <r>
    <n v="323835594"/>
    <s v="Cansu"/>
    <s v="Female"/>
    <n v="47489"/>
    <n v="4490"/>
    <n v="22"/>
    <n v="4.8997772828507794E-3"/>
    <x v="0"/>
    <n v="45"/>
    <n v="202050"/>
    <s v="EUR"/>
    <x v="13"/>
    <x v="8"/>
    <n v="0.2"/>
    <x v="0"/>
    <s v="Puce"/>
  </r>
  <r>
    <n v="85214067"/>
    <s v="Kenan"/>
    <s v="Male"/>
    <n v="47517"/>
    <n v="2044"/>
    <n v="15"/>
    <n v="7.3385518590998039E-3"/>
    <x v="0"/>
    <n v="35"/>
    <n v="71540"/>
    <s v="EUR"/>
    <x v="14"/>
    <x v="4"/>
    <n v="0.2"/>
    <x v="1"/>
    <s v="Purple"/>
  </r>
  <r>
    <n v="582419811"/>
    <s v="Mirza"/>
    <s v="Male"/>
    <n v="47607"/>
    <n v="3522"/>
    <n v="30"/>
    <n v="8.5178875638841564E-3"/>
    <x v="0"/>
    <n v="27"/>
    <n v="95094"/>
    <s v="EUR"/>
    <x v="0"/>
    <x v="2"/>
    <n v="0.2"/>
    <x v="0"/>
    <s v="Crimson"/>
  </r>
  <r>
    <n v="633226472"/>
    <s v="Ebrar"/>
    <s v="Female"/>
    <n v="48379"/>
    <n v="3071"/>
    <n v="21"/>
    <n v="6.8381634646694891E-3"/>
    <x v="0"/>
    <n v="48"/>
    <n v="147408"/>
    <s v="EUR"/>
    <x v="1"/>
    <x v="10"/>
    <n v="0.2"/>
    <x v="1"/>
    <s v="Teal"/>
  </r>
  <r>
    <n v="716113475"/>
    <s v="Semih"/>
    <s v="Male"/>
    <n v="48011"/>
    <n v="2012"/>
    <n v="45"/>
    <n v="2.2365805168986085E-2"/>
    <x v="0"/>
    <n v="25"/>
    <n v="50300"/>
    <s v="EUR"/>
    <x v="2"/>
    <x v="3"/>
    <n v="0.2"/>
    <x v="1"/>
    <s v="Khaki"/>
  </r>
  <r>
    <n v="551941495"/>
    <s v="Sevcan"/>
    <s v="Female"/>
    <n v="48262"/>
    <n v="4555"/>
    <n v="38"/>
    <n v="8.3424807903402856E-3"/>
    <x v="1"/>
    <n v="36"/>
    <n v="163980"/>
    <s v="EUR"/>
    <x v="3"/>
    <x v="1"/>
    <n v="0.2"/>
    <x v="0"/>
    <s v="Goldenrod"/>
  </r>
  <r>
    <n v="470546714"/>
    <s v="Sevtap"/>
    <s v="Female"/>
    <n v="47661"/>
    <n v="4212"/>
    <n v="30"/>
    <n v="7.1225071225071226E-3"/>
    <x v="0"/>
    <n v="42"/>
    <n v="176904"/>
    <s v="EUR"/>
    <x v="4"/>
    <x v="8"/>
    <n v="0.2"/>
    <x v="0"/>
    <s v="Violet"/>
  </r>
  <r>
    <n v="529666115"/>
    <s v="Kemal"/>
    <s v="Male"/>
    <n v="48381"/>
    <n v="2078"/>
    <n v="38"/>
    <n v="1.8286814244465831E-2"/>
    <x v="1"/>
    <n v="45"/>
    <n v="93510"/>
    <s v="EUR"/>
    <x v="5"/>
    <x v="7"/>
    <n v="0.2"/>
    <x v="1"/>
    <s v="Goldenrod"/>
  </r>
  <r>
    <n v="161129733"/>
    <s v="Resul"/>
    <s v="Male"/>
    <n v="48324"/>
    <n v="4874"/>
    <n v="49"/>
    <n v="1.0053344275748872E-2"/>
    <x v="1"/>
    <n v="47"/>
    <n v="229078"/>
    <s v="EUR"/>
    <x v="6"/>
    <x v="0"/>
    <n v="0.2"/>
    <x v="0"/>
    <s v="Pink"/>
  </r>
  <r>
    <n v="99107275"/>
    <s v="Hüseyin"/>
    <s v="Male"/>
    <n v="47643"/>
    <n v="2202"/>
    <n v="18"/>
    <n v="8.1743869209809257E-3"/>
    <x v="0"/>
    <n v="38"/>
    <n v="83676"/>
    <s v="EUR"/>
    <x v="6"/>
    <x v="10"/>
    <n v="0.2"/>
    <x v="0"/>
    <s v="Maroon"/>
  </r>
  <r>
    <n v="931846150"/>
    <s v="Canan"/>
    <s v="Female"/>
    <n v="47936"/>
    <n v="1950"/>
    <n v="39"/>
    <n v="0.02"/>
    <x v="0"/>
    <n v="37"/>
    <n v="72150"/>
    <s v="EUR"/>
    <x v="7"/>
    <x v="3"/>
    <n v="0.2"/>
    <x v="1"/>
    <s v="Crimson"/>
  </r>
  <r>
    <n v="633393832"/>
    <s v="Cansu"/>
    <s v="Female"/>
    <n v="47743"/>
    <n v="1552"/>
    <n v="30"/>
    <n v="1.9329896907216496E-2"/>
    <x v="0"/>
    <n v="33"/>
    <n v="51216"/>
    <s v="EUR"/>
    <x v="8"/>
    <x v="9"/>
    <n v="0.2"/>
    <x v="1"/>
    <s v="Fuscia"/>
  </r>
  <r>
    <n v="182030758"/>
    <s v="Kenan"/>
    <s v="Male"/>
    <n v="48006"/>
    <n v="3959"/>
    <n v="46"/>
    <n v="1.1619095731245263E-2"/>
    <x v="0"/>
    <n v="33"/>
    <n v="130647"/>
    <s v="EUR"/>
    <x v="9"/>
    <x v="1"/>
    <n v="0.2"/>
    <x v="1"/>
    <s v="Crimson"/>
  </r>
  <r>
    <n v="727393723"/>
    <s v="Mirza"/>
    <s v="Male"/>
    <n v="48168"/>
    <n v="2416"/>
    <n v="44"/>
    <n v="1.8211920529801324E-2"/>
    <x v="0"/>
    <n v="28"/>
    <n v="67648"/>
    <s v="EUR"/>
    <x v="10"/>
    <x v="6"/>
    <n v="0.2"/>
    <x v="1"/>
    <s v="Teal"/>
  </r>
  <r>
    <n v="346920927"/>
    <s v="Ebrar"/>
    <s v="Female"/>
    <n v="48561"/>
    <n v="3385"/>
    <n v="33"/>
    <n v="9.7488921713441649E-3"/>
    <x v="0"/>
    <n v="35"/>
    <n v="118475"/>
    <s v="EUR"/>
    <x v="11"/>
    <x v="9"/>
    <n v="0.2"/>
    <x v="0"/>
    <s v="Goldenrod"/>
  </r>
  <r>
    <n v="736238785"/>
    <s v="Semih"/>
    <s v="Male"/>
    <n v="47876"/>
    <n v="4123"/>
    <n v="23"/>
    <n v="5.5784622847441182E-3"/>
    <x v="0"/>
    <n v="25"/>
    <n v="103075"/>
    <s v="EUR"/>
    <x v="12"/>
    <x v="5"/>
    <n v="0.2"/>
    <x v="0"/>
    <s v="Goldenrod"/>
  </r>
  <r>
    <n v="667855935"/>
    <s v="Sevcan"/>
    <s v="Female"/>
    <n v="48091"/>
    <n v="1632"/>
    <n v="42"/>
    <n v="2.5735294117647058E-2"/>
    <x v="1"/>
    <n v="24"/>
    <n v="39168"/>
    <s v="EUR"/>
    <x v="13"/>
    <x v="6"/>
    <n v="0.2"/>
    <x v="1"/>
    <s v="Violet"/>
  </r>
  <r>
    <n v="871617400"/>
    <s v="Sevtap"/>
    <s v="Female"/>
    <n v="48151"/>
    <n v="2102"/>
    <n v="25"/>
    <n v="1.1893434823977164E-2"/>
    <x v="0"/>
    <n v="42"/>
    <n v="88284"/>
    <s v="EUR"/>
    <x v="14"/>
    <x v="8"/>
    <n v="0.2"/>
    <x v="1"/>
    <s v="Blue"/>
  </r>
  <r>
    <n v="739189323"/>
    <s v="Kemal"/>
    <s v="Male"/>
    <n v="47568"/>
    <n v="1462"/>
    <n v="23"/>
    <n v="1.573187414500684E-2"/>
    <x v="0"/>
    <n v="35"/>
    <n v="51170"/>
    <s v="EUR"/>
    <x v="0"/>
    <x v="5"/>
    <n v="0.2"/>
    <x v="0"/>
    <s v="Orange"/>
  </r>
  <r>
    <n v="167072191"/>
    <s v="Resul"/>
    <s v="Male"/>
    <n v="47939"/>
    <n v="3236"/>
    <n v="11"/>
    <n v="3.399258343634116E-3"/>
    <x v="0"/>
    <n v="42"/>
    <n v="135912"/>
    <s v="EUR"/>
    <x v="1"/>
    <x v="6"/>
    <n v="0.2"/>
    <x v="0"/>
    <s v="Orange"/>
  </r>
  <r>
    <n v="490753729"/>
    <s v="Beşir"/>
    <s v="Male"/>
    <n v="47887"/>
    <n v="3818"/>
    <n v="20"/>
    <n v="5.2383446830801469E-3"/>
    <x v="0"/>
    <n v="27"/>
    <n v="103086"/>
    <s v="EUR"/>
    <x v="2"/>
    <x v="0"/>
    <n v="0.2"/>
    <x v="1"/>
    <s v="Mauv"/>
  </r>
  <r>
    <n v="523413264"/>
    <s v="Yusuf"/>
    <s v="Male"/>
    <n v="48147"/>
    <n v="1961"/>
    <n v="46"/>
    <n v="2.3457419683834777E-2"/>
    <x v="0"/>
    <n v="30"/>
    <n v="58830"/>
    <s v="EUR"/>
    <x v="3"/>
    <x v="5"/>
    <n v="0.2"/>
    <x v="1"/>
    <s v="Goldenrod"/>
  </r>
  <r>
    <n v="405669941"/>
    <s v="Soner"/>
    <s v="Male"/>
    <n v="47793"/>
    <n v="4014"/>
    <n v="25"/>
    <n v="6.2282012954658697E-3"/>
    <x v="1"/>
    <n v="28"/>
    <n v="112392"/>
    <s v="EUR"/>
    <x v="4"/>
    <x v="7"/>
    <n v="0.2"/>
    <x v="1"/>
    <s v="Maroon"/>
  </r>
  <r>
    <n v="247006947"/>
    <s v="Ali"/>
    <s v="Male"/>
    <n v="48388"/>
    <n v="2717"/>
    <n v="10"/>
    <n v="3.6805299963194702E-3"/>
    <x v="0"/>
    <n v="39"/>
    <n v="105963"/>
    <s v="EUR"/>
    <x v="5"/>
    <x v="4"/>
    <n v="0.2"/>
    <x v="0"/>
    <s v="Orange"/>
  </r>
  <r>
    <n v="485359863"/>
    <s v="Hasan"/>
    <s v="Male"/>
    <n v="47766"/>
    <n v="3563"/>
    <n v="19"/>
    <n v="5.3325849003648612E-3"/>
    <x v="0"/>
    <n v="36"/>
    <n v="128268"/>
    <s v="EUR"/>
    <x v="6"/>
    <x v="2"/>
    <n v="0.2"/>
    <x v="0"/>
    <s v="Yellow"/>
  </r>
  <r>
    <n v="898808771"/>
    <s v="Hüseyin"/>
    <s v="Male"/>
    <n v="48362"/>
    <n v="1894"/>
    <n v="46"/>
    <n v="2.4287222808870117E-2"/>
    <x v="0"/>
    <n v="46"/>
    <n v="87124"/>
    <s v="EUR"/>
    <x v="6"/>
    <x v="9"/>
    <n v="0.2"/>
    <x v="1"/>
    <s v="Mauv"/>
  </r>
  <r>
    <n v="150181758"/>
    <s v="Canan"/>
    <s v="Female"/>
    <n v="48351"/>
    <n v="1918"/>
    <n v="38"/>
    <n v="1.9812304483837331E-2"/>
    <x v="0"/>
    <n v="41"/>
    <n v="78638"/>
    <s v="EUR"/>
    <x v="7"/>
    <x v="10"/>
    <n v="0.2"/>
    <x v="1"/>
    <s v="Khaki"/>
  </r>
  <r>
    <n v="810630011"/>
    <s v="Cansu"/>
    <s v="Female"/>
    <n v="48495"/>
    <n v="2583"/>
    <n v="11"/>
    <n v="4.2586140147115757E-3"/>
    <x v="0"/>
    <n v="48"/>
    <n v="123984"/>
    <s v="EUR"/>
    <x v="8"/>
    <x v="6"/>
    <n v="0.2"/>
    <x v="1"/>
    <s v="Puce"/>
  </r>
  <r>
    <n v="871304217"/>
    <s v="Kenan"/>
    <s v="Male"/>
    <n v="48232"/>
    <n v="3942"/>
    <n v="20"/>
    <n v="5.0735667174023336E-3"/>
    <x v="0"/>
    <n v="39"/>
    <n v="153738"/>
    <s v="EUR"/>
    <x v="9"/>
    <x v="1"/>
    <n v="0.2"/>
    <x v="1"/>
    <s v="Goldenrod"/>
  </r>
  <r>
    <n v="277913865"/>
    <s v="Mirza"/>
    <s v="Male"/>
    <n v="47723"/>
    <n v="1173"/>
    <n v="10"/>
    <n v="8.5251491901108273E-3"/>
    <x v="0"/>
    <n v="48"/>
    <n v="56304"/>
    <s v="EUR"/>
    <x v="10"/>
    <x v="8"/>
    <n v="0.2"/>
    <x v="0"/>
    <s v="Mauv"/>
  </r>
  <r>
    <n v="422523087"/>
    <s v="Ebrar"/>
    <s v="Female"/>
    <n v="48385"/>
    <n v="3655"/>
    <n v="32"/>
    <n v="8.7551299589603282E-3"/>
    <x v="0"/>
    <n v="41"/>
    <n v="149855"/>
    <s v="EUR"/>
    <x v="11"/>
    <x v="2"/>
    <n v="0.2"/>
    <x v="0"/>
    <s v="Violet"/>
  </r>
  <r>
    <n v="278583501"/>
    <s v="Semih"/>
    <s v="Male"/>
    <n v="47771"/>
    <n v="2446"/>
    <n v="33"/>
    <n v="1.3491414554374489E-2"/>
    <x v="0"/>
    <n v="45"/>
    <n v="110070"/>
    <s v="EUR"/>
    <x v="12"/>
    <x v="8"/>
    <n v="0.2"/>
    <x v="0"/>
    <s v="Indigo"/>
  </r>
  <r>
    <n v="510933382"/>
    <s v="Sevcan"/>
    <s v="Female"/>
    <n v="48067"/>
    <n v="1645"/>
    <n v="26"/>
    <n v="1.5805471124620062E-2"/>
    <x v="0"/>
    <n v="47"/>
    <n v="77315"/>
    <s v="EUR"/>
    <x v="13"/>
    <x v="5"/>
    <n v="0.2"/>
    <x v="1"/>
    <s v="Crimson"/>
  </r>
  <r>
    <n v="332049582"/>
    <s v="Sevtap"/>
    <s v="Female"/>
    <n v="47489"/>
    <n v="1441"/>
    <n v="21"/>
    <n v="1.457321304649549E-2"/>
    <x v="1"/>
    <n v="48"/>
    <n v="69168"/>
    <s v="EUR"/>
    <x v="14"/>
    <x v="0"/>
    <n v="0.2"/>
    <x v="0"/>
    <s v="Goldenrod"/>
  </r>
  <r>
    <n v="865117479"/>
    <s v="Kemal"/>
    <s v="Male"/>
    <n v="48172"/>
    <n v="1723"/>
    <n v="28"/>
    <n v="1.6250725478816019E-2"/>
    <x v="1"/>
    <n v="37"/>
    <n v="63751"/>
    <s v="EUR"/>
    <x v="0"/>
    <x v="6"/>
    <n v="0.2"/>
    <x v="1"/>
    <s v="Aquamarine"/>
  </r>
  <r>
    <n v="130900481"/>
    <s v="Resul"/>
    <s v="Male"/>
    <n v="48004"/>
    <n v="1172"/>
    <n v="31"/>
    <n v="2.6450511945392493E-2"/>
    <x v="0"/>
    <n v="27"/>
    <n v="31644"/>
    <s v="EUR"/>
    <x v="1"/>
    <x v="2"/>
    <n v="0.2"/>
    <x v="1"/>
    <s v="Turquoise"/>
  </r>
  <r>
    <n v="373577705"/>
    <s v="Beşir"/>
    <s v="Male"/>
    <n v="47987"/>
    <n v="4830"/>
    <n v="27"/>
    <n v="5.5900621118012426E-3"/>
    <x v="2"/>
    <n v="48"/>
    <n v="231840"/>
    <s v="EUR"/>
    <x v="2"/>
    <x v="2"/>
    <n v="0.2"/>
    <x v="0"/>
    <s v="Crimson"/>
  </r>
  <r>
    <n v="749959268"/>
    <s v="Yusuf"/>
    <s v="Male"/>
    <n v="47538"/>
    <n v="3222"/>
    <n v="47"/>
    <n v="1.4587212911235258E-2"/>
    <x v="1"/>
    <n v="39"/>
    <n v="125658"/>
    <s v="EUR"/>
    <x v="3"/>
    <x v="3"/>
    <n v="0.2"/>
    <x v="0"/>
    <s v="Violet"/>
  </r>
  <r>
    <n v="675453217"/>
    <s v="Soner"/>
    <s v="Male"/>
    <n v="47703"/>
    <n v="4684"/>
    <n v="38"/>
    <n v="8.1127241673783091E-3"/>
    <x v="0"/>
    <n v="47"/>
    <n v="220148"/>
    <s v="EUR"/>
    <x v="4"/>
    <x v="4"/>
    <n v="0.2"/>
    <x v="1"/>
    <s v="Khaki"/>
  </r>
  <r>
    <n v="269060241"/>
    <s v="Ali"/>
    <s v="Male"/>
    <n v="48193"/>
    <n v="3133"/>
    <n v="28"/>
    <n v="8.9371209703159905E-3"/>
    <x v="0"/>
    <n v="32"/>
    <n v="100256"/>
    <s v="EUR"/>
    <x v="5"/>
    <x v="3"/>
    <n v="0.2"/>
    <x v="1"/>
    <s v="Mauv"/>
  </r>
  <r>
    <n v="571123642"/>
    <s v="Hasan"/>
    <s v="Male"/>
    <n v="47811"/>
    <n v="2925"/>
    <n v="50"/>
    <n v="1.7094017094017096E-2"/>
    <x v="0"/>
    <n v="42"/>
    <n v="122850"/>
    <s v="EUR"/>
    <x v="6"/>
    <x v="3"/>
    <n v="0.2"/>
    <x v="0"/>
    <s v="Red"/>
  </r>
  <r>
    <n v="764898706"/>
    <s v="Hüseyin"/>
    <s v="Male"/>
    <n v="47642"/>
    <n v="3877"/>
    <n v="50"/>
    <n v="1.2896569512509672E-2"/>
    <x v="0"/>
    <n v="35"/>
    <n v="135695"/>
    <s v="EUR"/>
    <x v="6"/>
    <x v="2"/>
    <n v="0.2"/>
    <x v="0"/>
    <s v="Khaki"/>
  </r>
  <r>
    <n v="439577117"/>
    <s v="Canan"/>
    <s v="Female"/>
    <n v="48411"/>
    <n v="1507"/>
    <n v="47"/>
    <n v="3.1187790311877902E-2"/>
    <x v="0"/>
    <n v="20"/>
    <n v="30140"/>
    <s v="EUR"/>
    <x v="7"/>
    <x v="10"/>
    <n v="0.2"/>
    <x v="1"/>
    <s v="Red"/>
  </r>
  <r>
    <n v="225460271"/>
    <s v="Cansu"/>
    <s v="Female"/>
    <n v="48361"/>
    <n v="2335"/>
    <n v="14"/>
    <n v="5.9957173447537475E-3"/>
    <x v="0"/>
    <n v="24"/>
    <n v="56040"/>
    <s v="EUR"/>
    <x v="8"/>
    <x v="5"/>
    <n v="0.2"/>
    <x v="1"/>
    <s v="Khaki"/>
  </r>
  <r>
    <n v="915517789"/>
    <s v="Kenan"/>
    <s v="Male"/>
    <n v="48568"/>
    <n v="2276"/>
    <n v="37"/>
    <n v="1.6256590509666081E-2"/>
    <x v="0"/>
    <n v="25"/>
    <n v="56900"/>
    <s v="EUR"/>
    <x v="9"/>
    <x v="8"/>
    <n v="0.2"/>
    <x v="0"/>
    <s v="Violet"/>
  </r>
  <r>
    <n v="812562802"/>
    <s v="Mirza"/>
    <s v="Male"/>
    <n v="48089"/>
    <n v="1131"/>
    <n v="30"/>
    <n v="2.6525198938992044E-2"/>
    <x v="0"/>
    <n v="47"/>
    <n v="53157"/>
    <s v="EUR"/>
    <x v="10"/>
    <x v="10"/>
    <n v="0.2"/>
    <x v="1"/>
    <s v="Maroon"/>
  </r>
  <r>
    <n v="315531989"/>
    <s v="Ebrar"/>
    <s v="Female"/>
    <n v="47943"/>
    <n v="3816"/>
    <n v="47"/>
    <n v="1.2316561844863731E-2"/>
    <x v="0"/>
    <n v="25"/>
    <n v="95400"/>
    <s v="EUR"/>
    <x v="11"/>
    <x v="10"/>
    <n v="0.2"/>
    <x v="0"/>
    <s v="Pink"/>
  </r>
  <r>
    <n v="216192860"/>
    <s v="Semih"/>
    <s v="Male"/>
    <n v="48359"/>
    <n v="3230"/>
    <n v="15"/>
    <n v="4.6439628482972135E-3"/>
    <x v="0"/>
    <n v="23"/>
    <n v="74290"/>
    <s v="EUR"/>
    <x v="12"/>
    <x v="0"/>
    <n v="0.2"/>
    <x v="1"/>
    <s v="Mauv"/>
  </r>
  <r>
    <n v="66823187"/>
    <s v="Sevcan"/>
    <s v="Female"/>
    <n v="48426"/>
    <n v="4192"/>
    <n v="45"/>
    <n v="1.0734732824427481E-2"/>
    <x v="1"/>
    <n v="38"/>
    <n v="159296"/>
    <s v="EUR"/>
    <x v="13"/>
    <x v="9"/>
    <n v="0.2"/>
    <x v="0"/>
    <s v="Fuscia"/>
  </r>
  <r>
    <n v="39261039"/>
    <s v="Sevtap"/>
    <s v="Female"/>
    <n v="48401"/>
    <n v="4896"/>
    <n v="32"/>
    <n v="6.5359477124183009E-3"/>
    <x v="0"/>
    <n v="26"/>
    <n v="127296"/>
    <s v="EUR"/>
    <x v="14"/>
    <x v="5"/>
    <n v="0.2"/>
    <x v="1"/>
    <s v="Fuscia"/>
  </r>
  <r>
    <n v="469383305"/>
    <s v="Kemal"/>
    <s v="Male"/>
    <n v="47815"/>
    <n v="2440"/>
    <n v="42"/>
    <n v="1.7213114754098362E-2"/>
    <x v="0"/>
    <n v="38"/>
    <n v="92720"/>
    <s v="EUR"/>
    <x v="0"/>
    <x v="1"/>
    <n v="0.2"/>
    <x v="0"/>
    <s v="Purple"/>
  </r>
  <r>
    <n v="320819695"/>
    <s v="Resul"/>
    <s v="Male"/>
    <n v="48263"/>
    <n v="2557"/>
    <n v="14"/>
    <n v="5.4751662104028159E-3"/>
    <x v="0"/>
    <n v="22"/>
    <n v="56254"/>
    <s v="EUR"/>
    <x v="1"/>
    <x v="2"/>
    <n v="0.2"/>
    <x v="0"/>
    <s v="Maroon"/>
  </r>
  <r>
    <n v="743811693"/>
    <s v="Hüseyin"/>
    <s v="Male"/>
    <n v="48377"/>
    <n v="3409"/>
    <n v="48"/>
    <n v="1.4080375476679377E-2"/>
    <x v="0"/>
    <n v="44"/>
    <n v="149996"/>
    <s v="EUR"/>
    <x v="2"/>
    <x v="5"/>
    <n v="0.2"/>
    <x v="1"/>
    <s v="Khaki"/>
  </r>
  <r>
    <n v="230398745"/>
    <s v="Canan"/>
    <s v="Female"/>
    <n v="48213"/>
    <n v="4947"/>
    <n v="32"/>
    <n v="6.4685668081665652E-3"/>
    <x v="0"/>
    <n v="39"/>
    <n v="192933"/>
    <s v="EUR"/>
    <x v="3"/>
    <x v="2"/>
    <n v="0.2"/>
    <x v="0"/>
    <s v="Purple"/>
  </r>
  <r>
    <n v="937610170"/>
    <s v="Cansu"/>
    <s v="Female"/>
    <n v="48092"/>
    <n v="3573"/>
    <n v="36"/>
    <n v="1.0075566750629723E-2"/>
    <x v="0"/>
    <n v="22"/>
    <n v="78606"/>
    <s v="EUR"/>
    <x v="4"/>
    <x v="10"/>
    <n v="0.2"/>
    <x v="1"/>
    <s v="Puce"/>
  </r>
  <r>
    <n v="164110663"/>
    <s v="Kenan"/>
    <s v="Male"/>
    <n v="47493"/>
    <n v="1270"/>
    <n v="17"/>
    <n v="1.3385826771653543E-2"/>
    <x v="0"/>
    <n v="27"/>
    <n v="34290"/>
    <s v="EUR"/>
    <x v="5"/>
    <x v="10"/>
    <n v="0.2"/>
    <x v="0"/>
    <s v="Orange"/>
  </r>
  <r>
    <n v="192369972"/>
    <s v="Mirza"/>
    <s v="Male"/>
    <n v="48278"/>
    <n v="3912"/>
    <n v="34"/>
    <n v="8.6912065439672809E-3"/>
    <x v="0"/>
    <n v="38"/>
    <n v="148656"/>
    <s v="EUR"/>
    <x v="6"/>
    <x v="0"/>
    <n v="0.2"/>
    <x v="0"/>
    <s v="Indigo"/>
  </r>
  <r>
    <n v="555555504"/>
    <s v="Ebrar"/>
    <s v="Female"/>
    <n v="47490"/>
    <n v="3569"/>
    <n v="43"/>
    <n v="1.2048192771084338E-2"/>
    <x v="0"/>
    <n v="47"/>
    <n v="167743"/>
    <s v="EUR"/>
    <x v="6"/>
    <x v="5"/>
    <n v="0.2"/>
    <x v="0"/>
    <s v="Crimson"/>
  </r>
  <r>
    <n v="606299653"/>
    <s v="Semih"/>
    <s v="Male"/>
    <n v="47505"/>
    <n v="3359"/>
    <n v="23"/>
    <n v="6.8472759749925571E-3"/>
    <x v="0"/>
    <n v="20"/>
    <n v="67180"/>
    <s v="EUR"/>
    <x v="7"/>
    <x v="7"/>
    <n v="0.2"/>
    <x v="0"/>
    <s v="Orange"/>
  </r>
  <r>
    <n v="408112860"/>
    <s v="Sevcan"/>
    <s v="Female"/>
    <n v="48512"/>
    <n v="4200"/>
    <n v="22"/>
    <n v="5.2380952380952379E-3"/>
    <x v="0"/>
    <n v="33"/>
    <n v="138600"/>
    <s v="EUR"/>
    <x v="8"/>
    <x v="4"/>
    <n v="0.2"/>
    <x v="1"/>
    <s v="Green"/>
  </r>
  <r>
    <n v="325632395"/>
    <s v="Sevtap"/>
    <s v="Female"/>
    <n v="48321"/>
    <n v="1768"/>
    <n v="50"/>
    <n v="2.828054298642534E-2"/>
    <x v="0"/>
    <n v="40"/>
    <n v="70720"/>
    <s v="EUR"/>
    <x v="9"/>
    <x v="9"/>
    <n v="0.2"/>
    <x v="1"/>
    <s v="Khaki"/>
  </r>
  <r>
    <n v="886575714"/>
    <s v="Kemal"/>
    <s v="Male"/>
    <n v="47725"/>
    <n v="2594"/>
    <n v="42"/>
    <n v="1.6191210485736313E-2"/>
    <x v="1"/>
    <n v="28"/>
    <n v="72632"/>
    <s v="EUR"/>
    <x v="10"/>
    <x v="4"/>
    <n v="0.2"/>
    <x v="1"/>
    <s v="Puce"/>
  </r>
  <r>
    <n v="763654449"/>
    <s v="Resul"/>
    <s v="Male"/>
    <n v="47928"/>
    <n v="2107"/>
    <n v="29"/>
    <n v="1.3763644992880873E-2"/>
    <x v="0"/>
    <n v="46"/>
    <n v="96922"/>
    <s v="EUR"/>
    <x v="11"/>
    <x v="7"/>
    <n v="0.2"/>
    <x v="0"/>
    <s v="Indigo"/>
  </r>
  <r>
    <n v="942852441"/>
    <s v="Beşir"/>
    <s v="Male"/>
    <n v="48045"/>
    <n v="1686"/>
    <n v="33"/>
    <n v="1.9572953736654804E-2"/>
    <x v="0"/>
    <n v="49"/>
    <n v="82614"/>
    <s v="EUR"/>
    <x v="12"/>
    <x v="9"/>
    <n v="0.2"/>
    <x v="1"/>
    <s v="Yellow"/>
  </r>
  <r>
    <n v="864574031"/>
    <s v="Yusuf"/>
    <s v="Male"/>
    <n v="48305"/>
    <n v="2160"/>
    <n v="29"/>
    <n v="1.3425925925925926E-2"/>
    <x v="0"/>
    <n v="36"/>
    <n v="77760"/>
    <s v="EUR"/>
    <x v="13"/>
    <x v="5"/>
    <n v="0.2"/>
    <x v="1"/>
    <s v="Violet"/>
  </r>
  <r>
    <n v="512470980"/>
    <s v="Soner"/>
    <s v="Male"/>
    <n v="47939"/>
    <n v="4346"/>
    <n v="36"/>
    <n v="8.283479061205707E-3"/>
    <x v="0"/>
    <n v="28"/>
    <n v="121688"/>
    <s v="EUR"/>
    <x v="14"/>
    <x v="0"/>
    <n v="0.2"/>
    <x v="1"/>
    <s v="Crimson"/>
  </r>
  <r>
    <n v="980572645"/>
    <s v="Ali"/>
    <s v="Male"/>
    <n v="48268"/>
    <n v="1141"/>
    <n v="22"/>
    <n v="1.9281332164767746E-2"/>
    <x v="0"/>
    <n v="36"/>
    <n v="41076"/>
    <s v="EUR"/>
    <x v="0"/>
    <x v="4"/>
    <n v="0.2"/>
    <x v="0"/>
    <s v="Mauv"/>
  </r>
  <r>
    <n v="563226510"/>
    <s v="Hasan"/>
    <s v="Male"/>
    <n v="47534"/>
    <n v="2243"/>
    <n v="50"/>
    <n v="2.229157378510923E-2"/>
    <x v="0"/>
    <n v="22"/>
    <n v="49346"/>
    <s v="EUR"/>
    <x v="1"/>
    <x v="8"/>
    <n v="0.2"/>
    <x v="0"/>
    <s v="Mauv"/>
  </r>
  <r>
    <n v="589173225"/>
    <s v="Hüseyin"/>
    <s v="Male"/>
    <n v="47758"/>
    <n v="2955"/>
    <n v="19"/>
    <n v="6.4297800338409478E-3"/>
    <x v="0"/>
    <n v="31"/>
    <n v="91605"/>
    <s v="EUR"/>
    <x v="2"/>
    <x v="10"/>
    <n v="0.2"/>
    <x v="0"/>
    <s v="Goldenrod"/>
  </r>
  <r>
    <n v="834244564"/>
    <s v="Canan"/>
    <s v="Female"/>
    <n v="47576"/>
    <n v="1065"/>
    <n v="10"/>
    <n v="9.3896713615023476E-3"/>
    <x v="0"/>
    <n v="20"/>
    <n v="21300"/>
    <s v="EUR"/>
    <x v="3"/>
    <x v="2"/>
    <n v="0.2"/>
    <x v="1"/>
    <s v="Turquoise"/>
  </r>
  <r>
    <n v="998333129"/>
    <s v="Cansu"/>
    <s v="Female"/>
    <n v="47862"/>
    <n v="2531"/>
    <n v="36"/>
    <n v="1.4223627024891347E-2"/>
    <x v="0"/>
    <n v="41"/>
    <n v="103771"/>
    <s v="EUR"/>
    <x v="4"/>
    <x v="3"/>
    <n v="0.2"/>
    <x v="1"/>
    <s v="Yellow"/>
  </r>
  <r>
    <n v="163967671"/>
    <s v="Kenan"/>
    <s v="Male"/>
    <n v="47818"/>
    <n v="3063"/>
    <n v="29"/>
    <n v="9.4678419849820433E-3"/>
    <x v="0"/>
    <n v="32"/>
    <n v="98016"/>
    <s v="EUR"/>
    <x v="5"/>
    <x v="4"/>
    <n v="0.2"/>
    <x v="0"/>
    <s v="Puce"/>
  </r>
  <r>
    <n v="900522368"/>
    <s v="Mirza"/>
    <s v="Male"/>
    <n v="47827"/>
    <n v="1067"/>
    <n v="50"/>
    <n v="4.6860356138706656E-2"/>
    <x v="0"/>
    <n v="48"/>
    <n v="51216"/>
    <s v="EUR"/>
    <x v="6"/>
    <x v="8"/>
    <n v="0.2"/>
    <x v="1"/>
    <s v="Yellow"/>
  </r>
  <r>
    <n v="413196922"/>
    <s v="Ebrar"/>
    <s v="Female"/>
    <n v="48471"/>
    <n v="1236"/>
    <n v="27"/>
    <n v="2.1844660194174758E-2"/>
    <x v="0"/>
    <n v="38"/>
    <n v="46968"/>
    <s v="EUR"/>
    <x v="6"/>
    <x v="4"/>
    <n v="0.2"/>
    <x v="0"/>
    <s v="Green"/>
  </r>
  <r>
    <n v="453320891"/>
    <s v="Semih"/>
    <s v="Male"/>
    <n v="47884"/>
    <n v="3690"/>
    <n v="13"/>
    <n v="3.5230352303523035E-3"/>
    <x v="0"/>
    <n v="25"/>
    <n v="92250"/>
    <s v="EUR"/>
    <x v="7"/>
    <x v="3"/>
    <n v="0.2"/>
    <x v="1"/>
    <s v="Turquoise"/>
  </r>
  <r>
    <n v="472422663"/>
    <s v="Sevcan"/>
    <s v="Female"/>
    <n v="48331"/>
    <n v="4521"/>
    <n v="35"/>
    <n v="7.7416500774165004E-3"/>
    <x v="0"/>
    <n v="35"/>
    <n v="158235"/>
    <s v="EUR"/>
    <x v="8"/>
    <x v="0"/>
    <n v="0.2"/>
    <x v="0"/>
    <s v="Puce"/>
  </r>
  <r>
    <n v="161464892"/>
    <s v="Sevtap"/>
    <s v="Female"/>
    <n v="48428"/>
    <n v="1443"/>
    <n v="35"/>
    <n v="2.4255024255024255E-2"/>
    <x v="0"/>
    <n v="24"/>
    <n v="34632"/>
    <s v="EUR"/>
    <x v="9"/>
    <x v="0"/>
    <n v="0.2"/>
    <x v="1"/>
    <s v="Pink"/>
  </r>
  <r>
    <n v="233757768"/>
    <s v="Kemal"/>
    <s v="Male"/>
    <n v="48115"/>
    <n v="3013"/>
    <n v="25"/>
    <n v="8.2973780285429798E-3"/>
    <x v="0"/>
    <n v="40"/>
    <n v="120520"/>
    <s v="EUR"/>
    <x v="10"/>
    <x v="4"/>
    <n v="0.2"/>
    <x v="0"/>
    <s v="Turquoise"/>
  </r>
  <r>
    <n v="599795200"/>
    <s v="Resul"/>
    <s v="Male"/>
    <n v="48002"/>
    <n v="3892"/>
    <n v="50"/>
    <n v="1.2846865364850977E-2"/>
    <x v="0"/>
    <n v="40"/>
    <n v="155680"/>
    <s v="EUR"/>
    <x v="11"/>
    <x v="7"/>
    <n v="0.2"/>
    <x v="0"/>
    <s v="Green"/>
  </r>
  <r>
    <n v="967341269"/>
    <s v="Beşir"/>
    <s v="Male"/>
    <n v="47865"/>
    <n v="1595"/>
    <n v="47"/>
    <n v="2.9467084639498431E-2"/>
    <x v="0"/>
    <n v="46"/>
    <n v="73370"/>
    <s v="EUR"/>
    <x v="12"/>
    <x v="7"/>
    <n v="0.2"/>
    <x v="1"/>
    <s v="Maroon"/>
  </r>
  <r>
    <n v="275160764"/>
    <s v="Yusuf"/>
    <s v="Male"/>
    <n v="47667"/>
    <n v="3054"/>
    <n v="43"/>
    <n v="1.4079895219384414E-2"/>
    <x v="0"/>
    <n v="44"/>
    <n v="134376"/>
    <s v="EUR"/>
    <x v="13"/>
    <x v="0"/>
    <n v="0.2"/>
    <x v="1"/>
    <s v="Indigo"/>
  </r>
  <r>
    <n v="837123858"/>
    <s v="Soner"/>
    <s v="Male"/>
    <n v="48225"/>
    <n v="3009"/>
    <n v="36"/>
    <n v="1.1964107676969093E-2"/>
    <x v="0"/>
    <n v="27"/>
    <n v="81243"/>
    <s v="EUR"/>
    <x v="14"/>
    <x v="6"/>
    <n v="0.2"/>
    <x v="1"/>
    <s v="Blue"/>
  </r>
  <r>
    <n v="393637923"/>
    <s v="Ali"/>
    <s v="Male"/>
    <n v="47975"/>
    <n v="1935"/>
    <n v="41"/>
    <n v="2.1188630490956071E-2"/>
    <x v="0"/>
    <n v="41"/>
    <n v="79335"/>
    <s v="EUR"/>
    <x v="0"/>
    <x v="9"/>
    <n v="0.2"/>
    <x v="0"/>
    <s v="Goldenrod"/>
  </r>
  <r>
    <n v="619683359"/>
    <s v="Hasan"/>
    <s v="Male"/>
    <n v="47955"/>
    <n v="2882"/>
    <n v="41"/>
    <n v="1.4226231783483692E-2"/>
    <x v="0"/>
    <n v="44"/>
    <n v="126808"/>
    <s v="EUR"/>
    <x v="1"/>
    <x v="9"/>
    <n v="0.2"/>
    <x v="0"/>
    <s v="Maroon"/>
  </r>
  <r>
    <n v="774999625"/>
    <s v="Hüseyin"/>
    <s v="Male"/>
    <n v="48473"/>
    <n v="2267"/>
    <n v="37"/>
    <n v="1.6321129245699163E-2"/>
    <x v="1"/>
    <n v="47"/>
    <n v="106549"/>
    <s v="EUR"/>
    <x v="2"/>
    <x v="4"/>
    <n v="0.2"/>
    <x v="0"/>
    <s v="Aquamarine"/>
  </r>
  <r>
    <n v="995997187"/>
    <s v="Canan"/>
    <s v="Female"/>
    <n v="47640"/>
    <n v="1578"/>
    <n v="10"/>
    <n v="6.3371356147021544E-3"/>
    <x v="0"/>
    <n v="31"/>
    <n v="48918"/>
    <s v="EUR"/>
    <x v="3"/>
    <x v="0"/>
    <n v="0.2"/>
    <x v="1"/>
    <s v="Pink"/>
  </r>
  <r>
    <n v="957456117"/>
    <s v="Cansu"/>
    <s v="Female"/>
    <n v="48564"/>
    <n v="4615"/>
    <n v="48"/>
    <n v="1.0400866738894909E-2"/>
    <x v="0"/>
    <n v="24"/>
    <n v="110760"/>
    <s v="EUR"/>
    <x v="4"/>
    <x v="9"/>
    <n v="0.2"/>
    <x v="0"/>
    <s v="Crimson"/>
  </r>
  <r>
    <n v="399677076"/>
    <s v="Kenan"/>
    <s v="Male"/>
    <n v="47601"/>
    <n v="1305"/>
    <n v="38"/>
    <n v="2.9118773946360154E-2"/>
    <x v="0"/>
    <n v="42"/>
    <n v="54810"/>
    <s v="EUR"/>
    <x v="5"/>
    <x v="10"/>
    <n v="0.2"/>
    <x v="1"/>
    <s v="Pink"/>
  </r>
  <r>
    <n v="532867589"/>
    <s v="Mirza"/>
    <s v="Male"/>
    <n v="48198"/>
    <n v="2633"/>
    <n v="44"/>
    <n v="1.6710976072920623E-2"/>
    <x v="0"/>
    <n v="25"/>
    <n v="65825"/>
    <s v="EUR"/>
    <x v="6"/>
    <x v="0"/>
    <n v="0.2"/>
    <x v="1"/>
    <s v="Aquamarine"/>
  </r>
  <r>
    <n v="75797482"/>
    <s v="Ebrar"/>
    <s v="Female"/>
    <n v="48339"/>
    <n v="1140"/>
    <n v="10"/>
    <n v="8.771929824561403E-3"/>
    <x v="0"/>
    <n v="26"/>
    <n v="29640"/>
    <s v="EUR"/>
    <x v="6"/>
    <x v="0"/>
    <n v="0.2"/>
    <x v="0"/>
    <s v="Red"/>
  </r>
  <r>
    <n v="35303416"/>
    <s v="Semih"/>
    <s v="Male"/>
    <n v="47611"/>
    <n v="2293"/>
    <n v="23"/>
    <n v="1.003052769297863E-2"/>
    <x v="0"/>
    <n v="26"/>
    <n v="59618"/>
    <s v="EUR"/>
    <x v="7"/>
    <x v="3"/>
    <n v="0.2"/>
    <x v="1"/>
    <s v="Orange"/>
  </r>
  <r>
    <n v="672260151"/>
    <s v="Sevcan"/>
    <s v="Female"/>
    <n v="48130"/>
    <n v="2834"/>
    <n v="16"/>
    <n v="5.6457304163726185E-3"/>
    <x v="0"/>
    <n v="24"/>
    <n v="68016"/>
    <s v="EUR"/>
    <x v="8"/>
    <x v="4"/>
    <n v="0.2"/>
    <x v="0"/>
    <s v="Aquamarine"/>
  </r>
  <r>
    <n v="890305859"/>
    <s v="Sevtap"/>
    <s v="Female"/>
    <n v="48356"/>
    <n v="3603"/>
    <n v="49"/>
    <n v="1.3599777962808771E-2"/>
    <x v="1"/>
    <n v="42"/>
    <n v="151326"/>
    <s v="EUR"/>
    <x v="9"/>
    <x v="1"/>
    <n v="0.2"/>
    <x v="0"/>
    <s v="Maroon"/>
  </r>
  <r>
    <n v="138376828"/>
    <s v="Kemal"/>
    <s v="Male"/>
    <n v="47580"/>
    <n v="3241"/>
    <n v="38"/>
    <n v="1.1724776303609998E-2"/>
    <x v="1"/>
    <n v="22"/>
    <n v="71302"/>
    <s v="EUR"/>
    <x v="10"/>
    <x v="7"/>
    <n v="0.2"/>
    <x v="0"/>
    <s v="Crimson"/>
  </r>
  <r>
    <n v="12380638"/>
    <s v="Resul"/>
    <s v="Male"/>
    <n v="48457"/>
    <n v="3002"/>
    <n v="38"/>
    <n v="1.2658227848101266E-2"/>
    <x v="0"/>
    <n v="37"/>
    <n v="111074"/>
    <s v="EUR"/>
    <x v="11"/>
    <x v="1"/>
    <n v="0.2"/>
    <x v="0"/>
    <s v="Puce"/>
  </r>
  <r>
    <n v="682271092"/>
    <s v="Hüseyin"/>
    <s v="Male"/>
    <n v="47881"/>
    <n v="3132"/>
    <n v="48"/>
    <n v="1.532567049808429E-2"/>
    <x v="0"/>
    <n v="46"/>
    <n v="144072"/>
    <s v="EUR"/>
    <x v="12"/>
    <x v="8"/>
    <n v="0.2"/>
    <x v="0"/>
    <s v="Pink"/>
  </r>
  <r>
    <n v="715890337"/>
    <s v="Canan"/>
    <s v="Female"/>
    <n v="48214"/>
    <n v="1728"/>
    <n v="36"/>
    <n v="2.0833333333333332E-2"/>
    <x v="0"/>
    <n v="44"/>
    <n v="76032"/>
    <s v="EUR"/>
    <x v="13"/>
    <x v="9"/>
    <n v="0.2"/>
    <x v="0"/>
    <s v="Violet"/>
  </r>
  <r>
    <n v="29433812"/>
    <s v="Cansu"/>
    <s v="Female"/>
    <n v="48250"/>
    <n v="4254"/>
    <n v="40"/>
    <n v="9.4029149036201215E-3"/>
    <x v="0"/>
    <n v="43"/>
    <n v="182922"/>
    <s v="EUR"/>
    <x v="14"/>
    <x v="10"/>
    <n v="0.2"/>
    <x v="1"/>
    <s v="Crimson"/>
  </r>
  <r>
    <n v="148598513"/>
    <s v="Kenan"/>
    <s v="Male"/>
    <n v="47829"/>
    <n v="3604"/>
    <n v="42"/>
    <n v="1.1653718091009988E-2"/>
    <x v="0"/>
    <n v="41"/>
    <n v="147764"/>
    <s v="EUR"/>
    <x v="0"/>
    <x v="0"/>
    <n v="0.2"/>
    <x v="0"/>
    <s v="Purple"/>
  </r>
  <r>
    <n v="484871661"/>
    <s v="Mirza"/>
    <s v="Male"/>
    <n v="48442"/>
    <n v="2014"/>
    <n v="26"/>
    <n v="1.2909632571996028E-2"/>
    <x v="0"/>
    <n v="49"/>
    <n v="98686"/>
    <s v="EUR"/>
    <x v="1"/>
    <x v="4"/>
    <n v="0.2"/>
    <x v="0"/>
    <s v="Yellow"/>
  </r>
  <r>
    <n v="541492597"/>
    <s v="Ebrar"/>
    <s v="Female"/>
    <n v="47922"/>
    <n v="4483"/>
    <n v="27"/>
    <n v="6.0227526210127145E-3"/>
    <x v="0"/>
    <n v="24"/>
    <n v="107592"/>
    <s v="EUR"/>
    <x v="2"/>
    <x v="5"/>
    <n v="0.2"/>
    <x v="0"/>
    <s v="Blue"/>
  </r>
  <r>
    <n v="724601240"/>
    <s v="Semih"/>
    <s v="Male"/>
    <n v="48198"/>
    <n v="2045"/>
    <n v="43"/>
    <n v="2.1026894865525673E-2"/>
    <x v="0"/>
    <n v="29"/>
    <n v="59305"/>
    <s v="EUR"/>
    <x v="3"/>
    <x v="4"/>
    <n v="0.2"/>
    <x v="1"/>
    <s v="Pink"/>
  </r>
  <r>
    <n v="611288097"/>
    <s v="Sevcan"/>
    <s v="Female"/>
    <n v="48289"/>
    <n v="1105"/>
    <n v="24"/>
    <n v="2.171945701357466E-2"/>
    <x v="0"/>
    <n v="35"/>
    <n v="38675"/>
    <s v="EUR"/>
    <x v="4"/>
    <x v="1"/>
    <n v="0.2"/>
    <x v="1"/>
    <s v="Maroon"/>
  </r>
  <r>
    <n v="933384298"/>
    <s v="Sevtap"/>
    <s v="Female"/>
    <n v="48100"/>
    <n v="3941"/>
    <n v="25"/>
    <n v="6.3435676224308547E-3"/>
    <x v="0"/>
    <n v="50"/>
    <n v="197050"/>
    <s v="EUR"/>
    <x v="5"/>
    <x v="2"/>
    <n v="0.2"/>
    <x v="0"/>
    <s v="Blue"/>
  </r>
  <r>
    <n v="153521260"/>
    <s v="Kemal"/>
    <s v="Male"/>
    <n v="48125"/>
    <n v="2179"/>
    <n v="49"/>
    <n v="2.2487379531895366E-2"/>
    <x v="0"/>
    <n v="42"/>
    <n v="91518"/>
    <s v="EUR"/>
    <x v="6"/>
    <x v="0"/>
    <n v="0.2"/>
    <x v="1"/>
    <s v="Maroon"/>
  </r>
  <r>
    <n v="877090044"/>
    <s v="Resul"/>
    <s v="Male"/>
    <n v="47936"/>
    <n v="2137"/>
    <n v="49"/>
    <n v="2.2929340196537203E-2"/>
    <x v="0"/>
    <n v="40"/>
    <n v="85480"/>
    <s v="EUR"/>
    <x v="6"/>
    <x v="5"/>
    <n v="0.2"/>
    <x v="1"/>
    <s v="Yellow"/>
  </r>
  <r>
    <n v="608790063"/>
    <s v="Beşir"/>
    <s v="Male"/>
    <n v="47905"/>
    <n v="2514"/>
    <n v="41"/>
    <n v="1.6308671439936355E-2"/>
    <x v="0"/>
    <n v="39"/>
    <n v="98046"/>
    <s v="EUR"/>
    <x v="7"/>
    <x v="7"/>
    <n v="0.2"/>
    <x v="0"/>
    <s v="Puce"/>
  </r>
  <r>
    <n v="85231847"/>
    <s v="Yusuf"/>
    <s v="Male"/>
    <n v="47988"/>
    <n v="4971"/>
    <n v="32"/>
    <n v="6.4373365520016095E-3"/>
    <x v="0"/>
    <n v="37"/>
    <n v="183927"/>
    <s v="EUR"/>
    <x v="8"/>
    <x v="8"/>
    <n v="0.2"/>
    <x v="1"/>
    <s v="Pink"/>
  </r>
  <r>
    <n v="754639731"/>
    <s v="Soner"/>
    <s v="Male"/>
    <n v="48185"/>
    <n v="3172"/>
    <n v="12"/>
    <n v="3.7831021437578815E-3"/>
    <x v="0"/>
    <n v="27"/>
    <n v="85644"/>
    <s v="EUR"/>
    <x v="9"/>
    <x v="3"/>
    <n v="0.2"/>
    <x v="1"/>
    <s v="Red"/>
  </r>
  <r>
    <n v="778887914"/>
    <s v="Ali"/>
    <s v="Male"/>
    <n v="47805"/>
    <n v="1456"/>
    <n v="32"/>
    <n v="2.197802197802198E-2"/>
    <x v="0"/>
    <n v="23"/>
    <n v="33488"/>
    <s v="EUR"/>
    <x v="10"/>
    <x v="5"/>
    <n v="0.2"/>
    <x v="1"/>
    <s v="Red"/>
  </r>
  <r>
    <n v="903434078"/>
    <s v="Hasan"/>
    <s v="Male"/>
    <n v="48412"/>
    <n v="2260"/>
    <n v="28"/>
    <n v="1.2389380530973451E-2"/>
    <x v="0"/>
    <n v="35"/>
    <n v="79100"/>
    <s v="EUR"/>
    <x v="11"/>
    <x v="3"/>
    <n v="0.2"/>
    <x v="1"/>
    <s v="Goldenrod"/>
  </r>
  <r>
    <n v="358337177"/>
    <s v="Hüseyin"/>
    <s v="Male"/>
    <n v="48367"/>
    <n v="4533"/>
    <n v="26"/>
    <n v="5.7357158614604019E-3"/>
    <x v="0"/>
    <n v="48"/>
    <n v="217584"/>
    <s v="EUR"/>
    <x v="12"/>
    <x v="8"/>
    <n v="0.2"/>
    <x v="0"/>
    <s v="Fuscia"/>
  </r>
  <r>
    <n v="805235619"/>
    <s v="Canan"/>
    <s v="Female"/>
    <n v="47763"/>
    <n v="4144"/>
    <n v="11"/>
    <n v="2.6544401544401543E-3"/>
    <x v="0"/>
    <n v="37"/>
    <n v="153328"/>
    <s v="EUR"/>
    <x v="13"/>
    <x v="0"/>
    <n v="0.2"/>
    <x v="0"/>
    <s v="Pink"/>
  </r>
  <r>
    <n v="744556997"/>
    <s v="Cansu"/>
    <s v="Female"/>
    <n v="48015"/>
    <n v="1692"/>
    <n v="19"/>
    <n v="1.1229314420803783E-2"/>
    <x v="0"/>
    <n v="26"/>
    <n v="43992"/>
    <s v="EUR"/>
    <x v="14"/>
    <x v="2"/>
    <n v="0.2"/>
    <x v="0"/>
    <s v="Red"/>
  </r>
  <r>
    <n v="487196834"/>
    <s v="Kenan"/>
    <s v="Male"/>
    <n v="47745"/>
    <n v="3320"/>
    <n v="13"/>
    <n v="3.9156626506024099E-3"/>
    <x v="0"/>
    <n v="36"/>
    <n v="119520"/>
    <s v="EUR"/>
    <x v="0"/>
    <x v="0"/>
    <n v="0.2"/>
    <x v="0"/>
    <s v="Violet"/>
  </r>
  <r>
    <n v="856397065"/>
    <s v="Mirza"/>
    <s v="Male"/>
    <n v="47815"/>
    <n v="3317"/>
    <n v="31"/>
    <n v="9.3457943925233638E-3"/>
    <x v="0"/>
    <n v="27"/>
    <n v="89559"/>
    <s v="EUR"/>
    <x v="1"/>
    <x v="6"/>
    <n v="0.2"/>
    <x v="1"/>
    <s v="Indigo"/>
  </r>
  <r>
    <n v="5254101"/>
    <s v="Ebrar"/>
    <s v="Female"/>
    <n v="47555"/>
    <n v="1195"/>
    <n v="28"/>
    <n v="2.3430962343096235E-2"/>
    <x v="0"/>
    <n v="47"/>
    <n v="56165"/>
    <s v="EUR"/>
    <x v="2"/>
    <x v="7"/>
    <n v="0.2"/>
    <x v="1"/>
    <s v="Turquoise"/>
  </r>
  <r>
    <n v="238962431"/>
    <s v="Semih"/>
    <s v="Male"/>
    <n v="47492"/>
    <n v="3125"/>
    <n v="50"/>
    <n v="1.6E-2"/>
    <x v="0"/>
    <n v="25"/>
    <n v="78125"/>
    <s v="EUR"/>
    <x v="3"/>
    <x v="0"/>
    <n v="0.2"/>
    <x v="0"/>
    <s v="Violet"/>
  </r>
  <r>
    <n v="965533716"/>
    <s v="Sevcan"/>
    <s v="Female"/>
    <n v="47727"/>
    <n v="2411"/>
    <n v="18"/>
    <n v="7.4657818332642054E-3"/>
    <x v="0"/>
    <n v="40"/>
    <n v="96440"/>
    <s v="EUR"/>
    <x v="4"/>
    <x v="2"/>
    <n v="0.2"/>
    <x v="0"/>
    <s v="Teal"/>
  </r>
  <r>
    <n v="56526469"/>
    <s v="Sevtap"/>
    <s v="Female"/>
    <n v="47929"/>
    <n v="4630"/>
    <n v="11"/>
    <n v="2.3758099352051837E-3"/>
    <x v="0"/>
    <n v="38"/>
    <n v="175940"/>
    <s v="EUR"/>
    <x v="5"/>
    <x v="2"/>
    <n v="0.2"/>
    <x v="1"/>
    <s v="Orange"/>
  </r>
  <r>
    <n v="884408935"/>
    <s v="Kemal"/>
    <s v="Male"/>
    <n v="48502"/>
    <n v="2387"/>
    <n v="24"/>
    <n v="1.0054461667364893E-2"/>
    <x v="0"/>
    <n v="36"/>
    <n v="85932"/>
    <s v="EUR"/>
    <x v="6"/>
    <x v="1"/>
    <n v="0.2"/>
    <x v="0"/>
    <s v="Pink"/>
  </r>
  <r>
    <n v="859489898"/>
    <s v="Resul"/>
    <s v="Male"/>
    <n v="48517"/>
    <n v="2288"/>
    <n v="39"/>
    <n v="1.7045454545454544E-2"/>
    <x v="0"/>
    <n v="22"/>
    <n v="50336"/>
    <s v="EUR"/>
    <x v="6"/>
    <x v="1"/>
    <n v="0.2"/>
    <x v="1"/>
    <s v="Crimson"/>
  </r>
  <r>
    <n v="308904112"/>
    <s v="Beşir"/>
    <s v="Male"/>
    <n v="47748"/>
    <n v="3248"/>
    <n v="26"/>
    <n v="8.0049261083743849E-3"/>
    <x v="0"/>
    <n v="23"/>
    <n v="74704"/>
    <s v="EUR"/>
    <x v="7"/>
    <x v="9"/>
    <n v="0.2"/>
    <x v="0"/>
    <s v="Maroon"/>
  </r>
  <r>
    <n v="786884351"/>
    <s v="Yusuf"/>
    <s v="Male"/>
    <n v="47687"/>
    <n v="2526"/>
    <n v="37"/>
    <n v="1.4647664291369754E-2"/>
    <x v="0"/>
    <n v="26"/>
    <n v="65676"/>
    <s v="EUR"/>
    <x v="8"/>
    <x v="8"/>
    <n v="0.2"/>
    <x v="1"/>
    <s v="Goldenrod"/>
  </r>
  <r>
    <n v="582018669"/>
    <s v="Soner"/>
    <s v="Male"/>
    <n v="48502"/>
    <n v="2046"/>
    <n v="31"/>
    <n v="1.5151515151515152E-2"/>
    <x v="0"/>
    <n v="49"/>
    <n v="100254"/>
    <s v="EUR"/>
    <x v="9"/>
    <x v="8"/>
    <n v="0.2"/>
    <x v="0"/>
    <s v="Fuscia"/>
  </r>
  <r>
    <n v="50275812"/>
    <s v="Ali"/>
    <s v="Male"/>
    <n v="48418"/>
    <n v="4411"/>
    <n v="15"/>
    <n v="3.4005894355021537E-3"/>
    <x v="0"/>
    <n v="20"/>
    <n v="88220"/>
    <s v="EUR"/>
    <x v="10"/>
    <x v="3"/>
    <n v="0.2"/>
    <x v="1"/>
    <s v="Khaki"/>
  </r>
  <r>
    <n v="668700405"/>
    <s v="Hasan"/>
    <s v="Male"/>
    <n v="48069"/>
    <n v="1482"/>
    <n v="33"/>
    <n v="2.2267206477732792E-2"/>
    <x v="0"/>
    <n v="49"/>
    <n v="72618"/>
    <s v="EUR"/>
    <x v="11"/>
    <x v="7"/>
    <n v="0.2"/>
    <x v="0"/>
    <s v="Fuscia"/>
  </r>
  <r>
    <n v="357955912"/>
    <s v="Hüseyin"/>
    <s v="Male"/>
    <n v="48466"/>
    <n v="1647"/>
    <n v="28"/>
    <n v="1.700060716454159E-2"/>
    <x v="0"/>
    <n v="48"/>
    <n v="79056"/>
    <s v="EUR"/>
    <x v="12"/>
    <x v="0"/>
    <n v="0.2"/>
    <x v="0"/>
    <s v="Aquamarine"/>
  </r>
  <r>
    <n v="612468039"/>
    <s v="Canan"/>
    <s v="Female"/>
    <n v="47618"/>
    <n v="1798"/>
    <n v="18"/>
    <n v="1.0011123470522803E-2"/>
    <x v="0"/>
    <n v="31"/>
    <n v="55738"/>
    <s v="EUR"/>
    <x v="13"/>
    <x v="1"/>
    <n v="0.2"/>
    <x v="0"/>
    <s v="Yellow"/>
  </r>
  <r>
    <n v="341351921"/>
    <s v="Cansu"/>
    <s v="Female"/>
    <n v="47573"/>
    <n v="1432"/>
    <n v="26"/>
    <n v="1.8156424581005588E-2"/>
    <x v="0"/>
    <n v="21"/>
    <n v="30072"/>
    <s v="EUR"/>
    <x v="14"/>
    <x v="10"/>
    <n v="0.2"/>
    <x v="1"/>
    <s v="Turquoise"/>
  </r>
  <r>
    <n v="922536509"/>
    <s v="Kenan"/>
    <s v="Male"/>
    <n v="48065"/>
    <n v="3264"/>
    <n v="19"/>
    <n v="5.8210784313725492E-3"/>
    <x v="0"/>
    <n v="33"/>
    <n v="107712"/>
    <s v="EUR"/>
    <x v="0"/>
    <x v="10"/>
    <n v="0.2"/>
    <x v="0"/>
    <s v="Teal"/>
  </r>
  <r>
    <n v="159350700"/>
    <s v="Mirza"/>
    <s v="Male"/>
    <n v="47702"/>
    <n v="4984"/>
    <n v="46"/>
    <n v="9.2295345104333876E-3"/>
    <x v="0"/>
    <n v="30"/>
    <n v="149520"/>
    <s v="EUR"/>
    <x v="1"/>
    <x v="9"/>
    <n v="0.2"/>
    <x v="1"/>
    <s v="Indigo"/>
  </r>
  <r>
    <n v="951368012"/>
    <s v="Ebrar"/>
    <s v="Female"/>
    <n v="47516"/>
    <n v="4801"/>
    <n v="43"/>
    <n v="8.9564674026244538E-3"/>
    <x v="1"/>
    <n v="40"/>
    <n v="192040"/>
    <s v="EUR"/>
    <x v="2"/>
    <x v="0"/>
    <n v="0.2"/>
    <x v="1"/>
    <s v="Fuscia"/>
  </r>
  <r>
    <n v="994151866"/>
    <s v="Semih"/>
    <s v="Male"/>
    <n v="47862"/>
    <n v="3322"/>
    <n v="22"/>
    <n v="6.6225165562913907E-3"/>
    <x v="1"/>
    <n v="41"/>
    <n v="136202"/>
    <s v="EUR"/>
    <x v="3"/>
    <x v="0"/>
    <n v="0.2"/>
    <x v="1"/>
    <s v="Maroon"/>
  </r>
  <r>
    <n v="227315267"/>
    <s v="Sevcan"/>
    <s v="Female"/>
    <n v="48174"/>
    <n v="3842"/>
    <n v="36"/>
    <n v="9.3701197293076521E-3"/>
    <x v="0"/>
    <n v="23"/>
    <n v="88366"/>
    <s v="EUR"/>
    <x v="4"/>
    <x v="5"/>
    <n v="0.2"/>
    <x v="1"/>
    <s v="Pink"/>
  </r>
  <r>
    <n v="951507426"/>
    <s v="Sevtap"/>
    <s v="Female"/>
    <n v="48216"/>
    <n v="1037"/>
    <n v="13"/>
    <n v="1.253616200578592E-2"/>
    <x v="0"/>
    <n v="30"/>
    <n v="31110"/>
    <s v="EUR"/>
    <x v="5"/>
    <x v="9"/>
    <n v="0.2"/>
    <x v="0"/>
    <s v="Violet"/>
  </r>
  <r>
    <n v="837952620"/>
    <s v="Kemal"/>
    <s v="Male"/>
    <n v="47881"/>
    <n v="4521"/>
    <n v="40"/>
    <n v="8.8476000884760014E-3"/>
    <x v="0"/>
    <n v="46"/>
    <n v="207966"/>
    <s v="EUR"/>
    <x v="6"/>
    <x v="3"/>
    <n v="0.2"/>
    <x v="0"/>
    <s v="Purple"/>
  </r>
  <r>
    <n v="806365175"/>
    <s v="Resul"/>
    <s v="Male"/>
    <n v="48360"/>
    <n v="4520"/>
    <n v="18"/>
    <n v="3.9823008849557522E-3"/>
    <x v="0"/>
    <n v="29"/>
    <n v="131080"/>
    <s v="EUR"/>
    <x v="6"/>
    <x v="4"/>
    <n v="0.2"/>
    <x v="1"/>
    <s v="Maroon"/>
  </r>
  <r>
    <n v="678325819"/>
    <s v="Hüseyin"/>
    <s v="Male"/>
    <n v="47857"/>
    <n v="1687"/>
    <n v="43"/>
    <n v="2.5489033787788974E-2"/>
    <x v="0"/>
    <n v="33"/>
    <n v="55671"/>
    <s v="EUR"/>
    <x v="7"/>
    <x v="4"/>
    <n v="0.2"/>
    <x v="1"/>
    <s v="Green"/>
  </r>
  <r>
    <n v="387648927"/>
    <s v="Canan"/>
    <s v="Female"/>
    <n v="47680"/>
    <n v="3907"/>
    <n v="36"/>
    <n v="9.2142308676734074E-3"/>
    <x v="0"/>
    <n v="47"/>
    <n v="183629"/>
    <s v="EUR"/>
    <x v="8"/>
    <x v="0"/>
    <n v="0.2"/>
    <x v="0"/>
    <s v="Puce"/>
  </r>
  <r>
    <n v="409639775"/>
    <s v="Cansu"/>
    <s v="Female"/>
    <n v="47928"/>
    <n v="1013"/>
    <n v="45"/>
    <n v="4.4422507403751234E-2"/>
    <x v="0"/>
    <n v="42"/>
    <n v="42546"/>
    <s v="EUR"/>
    <x v="9"/>
    <x v="10"/>
    <n v="0.2"/>
    <x v="0"/>
    <s v="Yellow"/>
  </r>
  <r>
    <n v="937208840"/>
    <s v="Kenan"/>
    <s v="Male"/>
    <n v="48155"/>
    <n v="2759"/>
    <n v="36"/>
    <n v="1.3048205871692642E-2"/>
    <x v="0"/>
    <n v="29"/>
    <n v="80011"/>
    <s v="EUR"/>
    <x v="10"/>
    <x v="8"/>
    <n v="0.2"/>
    <x v="1"/>
    <s v="Teal"/>
  </r>
  <r>
    <n v="256624467"/>
    <s v="Mirza"/>
    <s v="Male"/>
    <n v="48258"/>
    <n v="1065"/>
    <n v="44"/>
    <n v="4.1314553990610327E-2"/>
    <x v="0"/>
    <n v="36"/>
    <n v="38340"/>
    <s v="EUR"/>
    <x v="11"/>
    <x v="5"/>
    <n v="0.2"/>
    <x v="0"/>
    <s v="Teal"/>
  </r>
  <r>
    <n v="523128234"/>
    <s v="Ebrar"/>
    <s v="Female"/>
    <n v="48099"/>
    <n v="2701"/>
    <n v="10"/>
    <n v="3.7023324694557573E-3"/>
    <x v="0"/>
    <n v="24"/>
    <n v="64824"/>
    <s v="EUR"/>
    <x v="12"/>
    <x v="10"/>
    <n v="0.2"/>
    <x v="1"/>
    <s v="Pink"/>
  </r>
  <r>
    <n v="973627291"/>
    <s v="Semih"/>
    <s v="Male"/>
    <n v="48463"/>
    <n v="1871"/>
    <n v="42"/>
    <n v="2.2447888829502941E-2"/>
    <x v="0"/>
    <n v="26"/>
    <n v="48646"/>
    <s v="EUR"/>
    <x v="13"/>
    <x v="2"/>
    <n v="0.2"/>
    <x v="0"/>
    <s v="Pink"/>
  </r>
  <r>
    <n v="414676374"/>
    <s v="Sevcan"/>
    <s v="Female"/>
    <n v="48265"/>
    <n v="4292"/>
    <n v="18"/>
    <n v="4.1938490214352281E-3"/>
    <x v="0"/>
    <n v="36"/>
    <n v="154512"/>
    <s v="EUR"/>
    <x v="14"/>
    <x v="10"/>
    <n v="0.2"/>
    <x v="0"/>
    <s v="Aquamarine"/>
  </r>
  <r>
    <n v="792896553"/>
    <s v="Sevtap"/>
    <s v="Female"/>
    <n v="48344"/>
    <n v="3047"/>
    <n v="24"/>
    <n v="7.8765999343616677E-3"/>
    <x v="0"/>
    <n v="41"/>
    <n v="124927"/>
    <s v="EUR"/>
    <x v="0"/>
    <x v="1"/>
    <n v="0.2"/>
    <x v="1"/>
    <s v="Mauv"/>
  </r>
  <r>
    <n v="986892627"/>
    <s v="Kemal"/>
    <s v="Male"/>
    <n v="48053"/>
    <n v="1687"/>
    <n v="20"/>
    <n v="1.1855364552459988E-2"/>
    <x v="0"/>
    <n v="28"/>
    <n v="47236"/>
    <s v="EUR"/>
    <x v="1"/>
    <x v="3"/>
    <n v="0.2"/>
    <x v="1"/>
    <s v="Mauv"/>
  </r>
  <r>
    <n v="904196464"/>
    <s v="Resul"/>
    <s v="Male"/>
    <n v="48297"/>
    <n v="2635"/>
    <n v="29"/>
    <n v="1.1005692599620493E-2"/>
    <x v="0"/>
    <n v="35"/>
    <n v="92225"/>
    <s v="EUR"/>
    <x v="2"/>
    <x v="5"/>
    <n v="0.2"/>
    <x v="0"/>
    <s v="Blue"/>
  </r>
  <r>
    <n v="920826362"/>
    <s v="Beşir"/>
    <s v="Male"/>
    <n v="47815"/>
    <n v="2299"/>
    <n v="20"/>
    <n v="8.6994345367551115E-3"/>
    <x v="0"/>
    <n v="37"/>
    <n v="85063"/>
    <s v="EUR"/>
    <x v="3"/>
    <x v="1"/>
    <n v="0.2"/>
    <x v="0"/>
    <s v="Mauv"/>
  </r>
  <r>
    <n v="33427584"/>
    <s v="Yusuf"/>
    <s v="Male"/>
    <n v="48308"/>
    <n v="4528"/>
    <n v="46"/>
    <n v="1.0159010600706713E-2"/>
    <x v="0"/>
    <n v="41"/>
    <n v="185648"/>
    <s v="EUR"/>
    <x v="4"/>
    <x v="10"/>
    <n v="0.2"/>
    <x v="1"/>
    <s v="Pink"/>
  </r>
  <r>
    <n v="54534382"/>
    <s v="Soner"/>
    <s v="Male"/>
    <n v="47599"/>
    <n v="2365"/>
    <n v="25"/>
    <n v="1.0570824524312896E-2"/>
    <x v="0"/>
    <n v="34"/>
    <n v="80410"/>
    <s v="EUR"/>
    <x v="5"/>
    <x v="3"/>
    <n v="0.2"/>
    <x v="1"/>
    <s v="Khaki"/>
  </r>
  <r>
    <n v="153539830"/>
    <s v="Ali"/>
    <s v="Male"/>
    <n v="48041"/>
    <n v="3919"/>
    <n v="46"/>
    <n v="1.1737688185761675E-2"/>
    <x v="1"/>
    <n v="43"/>
    <n v="168517"/>
    <s v="EUR"/>
    <x v="6"/>
    <x v="9"/>
    <n v="0.2"/>
    <x v="0"/>
    <s v="Goldenrod"/>
  </r>
  <r>
    <n v="513141817"/>
    <s v="Hasan"/>
    <s v="Male"/>
    <n v="47533"/>
    <n v="4250"/>
    <n v="24"/>
    <n v="5.6470588235294121E-3"/>
    <x v="2"/>
    <n v="39"/>
    <n v="165750"/>
    <s v="EUR"/>
    <x v="6"/>
    <x v="3"/>
    <n v="0.2"/>
    <x v="0"/>
    <s v="Red"/>
  </r>
  <r>
    <n v="958515770"/>
    <s v="Hüseyin"/>
    <s v="Male"/>
    <n v="47656"/>
    <n v="3962"/>
    <n v="15"/>
    <n v="3.7859666834931852E-3"/>
    <x v="0"/>
    <n v="49"/>
    <n v="194138"/>
    <s v="EUR"/>
    <x v="7"/>
    <x v="7"/>
    <n v="0.2"/>
    <x v="0"/>
    <s v="Yellow"/>
  </r>
  <r>
    <n v="899388065"/>
    <s v="Canan"/>
    <s v="Female"/>
    <n v="48214"/>
    <n v="3393"/>
    <n v="31"/>
    <n v="9.1364574123194812E-3"/>
    <x v="0"/>
    <n v="47"/>
    <n v="159471"/>
    <s v="EUR"/>
    <x v="8"/>
    <x v="1"/>
    <n v="0.2"/>
    <x v="0"/>
    <s v="Turquoise"/>
  </r>
  <r>
    <n v="634814089"/>
    <s v="Cansu"/>
    <s v="Female"/>
    <n v="48086"/>
    <n v="3144"/>
    <n v="28"/>
    <n v="8.9058524173027988E-3"/>
    <x v="1"/>
    <n v="39"/>
    <n v="122616"/>
    <s v="EUR"/>
    <x v="9"/>
    <x v="8"/>
    <n v="0.2"/>
    <x v="1"/>
    <s v="Teal"/>
  </r>
  <r>
    <n v="653046066"/>
    <s v="Kenan"/>
    <s v="Male"/>
    <n v="48157"/>
    <n v="3169"/>
    <n v="48"/>
    <n v="1.5146733985484381E-2"/>
    <x v="0"/>
    <n v="49"/>
    <n v="155281"/>
    <s v="EUR"/>
    <x v="10"/>
    <x v="7"/>
    <n v="0.2"/>
    <x v="0"/>
    <s v="Goldenrod"/>
  </r>
  <r>
    <n v="13988356"/>
    <s v="Mirza"/>
    <s v="Male"/>
    <n v="48510"/>
    <n v="2680"/>
    <n v="43"/>
    <n v="1.6044776119402984E-2"/>
    <x v="0"/>
    <n v="49"/>
    <n v="131320"/>
    <s v="EUR"/>
    <x v="11"/>
    <x v="1"/>
    <n v="0.2"/>
    <x v="1"/>
    <s v="Red"/>
  </r>
  <r>
    <n v="491883478"/>
    <s v="Ebrar"/>
    <s v="Female"/>
    <n v="47754"/>
    <n v="4442"/>
    <n v="45"/>
    <n v="1.0130571814497974E-2"/>
    <x v="1"/>
    <n v="47"/>
    <n v="208774"/>
    <s v="EUR"/>
    <x v="12"/>
    <x v="6"/>
    <n v="0.2"/>
    <x v="0"/>
    <s v="Blue"/>
  </r>
  <r>
    <n v="302573945"/>
    <s v="Semih"/>
    <s v="Male"/>
    <n v="48234"/>
    <n v="2337"/>
    <n v="18"/>
    <n v="7.7021822849807449E-3"/>
    <x v="0"/>
    <n v="25"/>
    <n v="58425"/>
    <s v="EUR"/>
    <x v="13"/>
    <x v="7"/>
    <n v="0.2"/>
    <x v="0"/>
    <s v="Maroon"/>
  </r>
  <r>
    <n v="222851619"/>
    <s v="Sevcan"/>
    <s v="Female"/>
    <n v="48268"/>
    <n v="3201"/>
    <n v="16"/>
    <n v="4.9984379881287096E-3"/>
    <x v="0"/>
    <n v="42"/>
    <n v="134442"/>
    <s v="EUR"/>
    <x v="14"/>
    <x v="7"/>
    <n v="0.2"/>
    <x v="1"/>
    <s v="Turquoise"/>
  </r>
  <r>
    <n v="653849314"/>
    <s v="Sevtap"/>
    <s v="Female"/>
    <n v="47715"/>
    <n v="1631"/>
    <n v="19"/>
    <n v="1.1649294911097487E-2"/>
    <x v="0"/>
    <n v="30"/>
    <n v="48930"/>
    <s v="EUR"/>
    <x v="0"/>
    <x v="5"/>
    <n v="0.2"/>
    <x v="0"/>
    <s v="Pink"/>
  </r>
  <r>
    <n v="467315940"/>
    <s v="Kemal"/>
    <s v="Male"/>
    <n v="48096"/>
    <n v="3167"/>
    <n v="38"/>
    <n v="1.1998736975055258E-2"/>
    <x v="0"/>
    <n v="41"/>
    <n v="129847"/>
    <s v="EUR"/>
    <x v="1"/>
    <x v="6"/>
    <n v="0.2"/>
    <x v="0"/>
    <s v="Fuscia"/>
  </r>
  <r>
    <n v="86558851"/>
    <s v="Resul"/>
    <s v="Male"/>
    <n v="48378"/>
    <n v="3353"/>
    <n v="36"/>
    <n v="1.0736653742916791E-2"/>
    <x v="0"/>
    <n v="36"/>
    <n v="120708"/>
    <s v="EUR"/>
    <x v="2"/>
    <x v="8"/>
    <n v="0.2"/>
    <x v="1"/>
    <s v="Aquamarine"/>
  </r>
  <r>
    <n v="647793679"/>
    <s v="Beşir"/>
    <s v="Male"/>
    <n v="47540"/>
    <n v="3525"/>
    <n v="11"/>
    <n v="3.1205673758865249E-3"/>
    <x v="0"/>
    <n v="30"/>
    <n v="105750"/>
    <s v="EUR"/>
    <x v="3"/>
    <x v="2"/>
    <n v="0.2"/>
    <x v="0"/>
    <s v="Fuscia"/>
  </r>
  <r>
    <n v="806350469"/>
    <s v="Yusuf"/>
    <s v="Male"/>
    <n v="47901"/>
    <n v="1708"/>
    <n v="31"/>
    <n v="1.8149882903981264E-2"/>
    <x v="0"/>
    <n v="39"/>
    <n v="66612"/>
    <s v="EUR"/>
    <x v="4"/>
    <x v="1"/>
    <n v="0.2"/>
    <x v="0"/>
    <s v="Aquamarine"/>
  </r>
  <r>
    <n v="661858154"/>
    <s v="Soner"/>
    <s v="Male"/>
    <n v="48141"/>
    <n v="1084"/>
    <n v="45"/>
    <n v="4.1512915129151291E-2"/>
    <x v="0"/>
    <n v="23"/>
    <n v="24932"/>
    <s v="EUR"/>
    <x v="5"/>
    <x v="4"/>
    <n v="0.2"/>
    <x v="1"/>
    <s v="Puce"/>
  </r>
  <r>
    <n v="90782674"/>
    <s v="Ali"/>
    <s v="Male"/>
    <n v="48322"/>
    <n v="1168"/>
    <n v="23"/>
    <n v="1.9691780821917807E-2"/>
    <x v="0"/>
    <n v="26"/>
    <n v="30368"/>
    <s v="EUR"/>
    <x v="6"/>
    <x v="6"/>
    <n v="0.2"/>
    <x v="1"/>
    <s v="Violet"/>
  </r>
  <r>
    <n v="288492273"/>
    <s v="Hasan"/>
    <s v="Male"/>
    <n v="48252"/>
    <n v="3273"/>
    <n v="19"/>
    <n v="5.8050717995722576E-3"/>
    <x v="0"/>
    <n v="22"/>
    <n v="72006"/>
    <s v="EUR"/>
    <x v="6"/>
    <x v="9"/>
    <n v="0.2"/>
    <x v="1"/>
    <s v="Khaki"/>
  </r>
  <r>
    <n v="136800186"/>
    <s v="Hüseyin"/>
    <s v="Male"/>
    <n v="47694"/>
    <n v="1491"/>
    <n v="10"/>
    <n v="6.7069081153588199E-3"/>
    <x v="0"/>
    <n v="23"/>
    <n v="34293"/>
    <s v="EUR"/>
    <x v="7"/>
    <x v="0"/>
    <n v="0.2"/>
    <x v="1"/>
    <s v="Pink"/>
  </r>
  <r>
    <n v="351091524"/>
    <s v="Canan"/>
    <s v="Female"/>
    <n v="48052"/>
    <n v="2437"/>
    <n v="25"/>
    <n v="1.0258514567090685E-2"/>
    <x v="1"/>
    <n v="33"/>
    <n v="80421"/>
    <s v="EUR"/>
    <x v="8"/>
    <x v="4"/>
    <n v="0.2"/>
    <x v="0"/>
    <s v="Fuscia"/>
  </r>
  <r>
    <n v="454943575"/>
    <s v="Cansu"/>
    <s v="Female"/>
    <n v="47745"/>
    <n v="2240"/>
    <n v="32"/>
    <n v="1.4285714285714285E-2"/>
    <x v="0"/>
    <n v="45"/>
    <n v="100800"/>
    <s v="EUR"/>
    <x v="9"/>
    <x v="7"/>
    <n v="0.2"/>
    <x v="0"/>
    <s v="Crimson"/>
  </r>
  <r>
    <n v="617849231"/>
    <s v="Kenan"/>
    <s v="Male"/>
    <n v="47836"/>
    <n v="4576"/>
    <n v="11"/>
    <n v="2.403846153846154E-3"/>
    <x v="0"/>
    <n v="36"/>
    <n v="164736"/>
    <s v="EUR"/>
    <x v="10"/>
    <x v="2"/>
    <n v="0.2"/>
    <x v="1"/>
    <s v="Indigo"/>
  </r>
  <r>
    <n v="821116751"/>
    <s v="Mirza"/>
    <s v="Male"/>
    <n v="48095"/>
    <n v="3047"/>
    <n v="46"/>
    <n v="1.5096816540859863E-2"/>
    <x v="0"/>
    <n v="50"/>
    <n v="152350"/>
    <s v="EUR"/>
    <x v="11"/>
    <x v="8"/>
    <n v="0.2"/>
    <x v="1"/>
    <s v="Aquamarine"/>
  </r>
  <r>
    <n v="33303852"/>
    <s v="Ebrar"/>
    <s v="Female"/>
    <n v="48103"/>
    <n v="2757"/>
    <n v="37"/>
    <n v="1.3420384475879579E-2"/>
    <x v="0"/>
    <n v="26"/>
    <n v="71682"/>
    <s v="EUR"/>
    <x v="12"/>
    <x v="0"/>
    <n v="0.2"/>
    <x v="1"/>
    <s v="Crimson"/>
  </r>
  <r>
    <n v="488819718"/>
    <s v="Semih"/>
    <s v="Male"/>
    <n v="48252"/>
    <n v="4215"/>
    <n v="45"/>
    <n v="1.0676156583629894E-2"/>
    <x v="0"/>
    <n v="41"/>
    <n v="172815"/>
    <s v="EUR"/>
    <x v="13"/>
    <x v="5"/>
    <n v="0.2"/>
    <x v="1"/>
    <s v="Turquoise"/>
  </r>
  <r>
    <n v="37640480"/>
    <s v="Sevcan"/>
    <s v="Female"/>
    <n v="47658"/>
    <n v="4447"/>
    <n v="25"/>
    <n v="5.621767483696874E-3"/>
    <x v="0"/>
    <n v="27"/>
    <n v="120069"/>
    <s v="EUR"/>
    <x v="14"/>
    <x v="2"/>
    <n v="0.2"/>
    <x v="0"/>
    <s v="Mauv"/>
  </r>
  <r>
    <n v="598434825"/>
    <s v="Sevtap"/>
    <s v="Female"/>
    <n v="48190"/>
    <n v="4912"/>
    <n v="14"/>
    <n v="2.8501628664495114E-3"/>
    <x v="0"/>
    <n v="38"/>
    <n v="186656"/>
    <s v="EUR"/>
    <x v="0"/>
    <x v="10"/>
    <n v="0.2"/>
    <x v="0"/>
    <s v="Indigo"/>
  </r>
  <r>
    <n v="964424187"/>
    <s v="Kemal"/>
    <s v="Male"/>
    <n v="48193"/>
    <n v="3440"/>
    <n v="19"/>
    <n v="5.5232558139534883E-3"/>
    <x v="0"/>
    <n v="43"/>
    <n v="147920"/>
    <s v="EUR"/>
    <x v="1"/>
    <x v="2"/>
    <n v="0.2"/>
    <x v="0"/>
    <s v="Aquamarine"/>
  </r>
  <r>
    <n v="375899569"/>
    <s v="Resul"/>
    <s v="Male"/>
    <n v="48104"/>
    <n v="1708"/>
    <n v="42"/>
    <n v="2.4590163934426229E-2"/>
    <x v="0"/>
    <n v="31"/>
    <n v="52948"/>
    <s v="EUR"/>
    <x v="2"/>
    <x v="4"/>
    <n v="0.2"/>
    <x v="0"/>
    <s v="Fuscia"/>
  </r>
  <r>
    <n v="222709871"/>
    <s v="Hüseyin"/>
    <s v="Male"/>
    <n v="48473"/>
    <n v="1353"/>
    <n v="22"/>
    <n v="1.6260162601626018E-2"/>
    <x v="0"/>
    <n v="45"/>
    <n v="60885"/>
    <s v="EUR"/>
    <x v="3"/>
    <x v="0"/>
    <n v="0.2"/>
    <x v="1"/>
    <s v="Goldenrod"/>
  </r>
  <r>
    <n v="854738723"/>
    <s v="Canan"/>
    <s v="Female"/>
    <n v="47721"/>
    <n v="3936"/>
    <n v="25"/>
    <n v="6.3516260162601625E-3"/>
    <x v="0"/>
    <n v="42"/>
    <n v="165312"/>
    <s v="EUR"/>
    <x v="4"/>
    <x v="0"/>
    <n v="0.2"/>
    <x v="0"/>
    <s v="Blue"/>
  </r>
  <r>
    <n v="904387163"/>
    <s v="Cansu"/>
    <s v="Female"/>
    <n v="48545"/>
    <n v="4631"/>
    <n v="38"/>
    <n v="8.2055711509393219E-3"/>
    <x v="1"/>
    <n v="36"/>
    <n v="166716"/>
    <s v="EUR"/>
    <x v="5"/>
    <x v="7"/>
    <n v="0.2"/>
    <x v="0"/>
    <s v="Orange"/>
  </r>
  <r>
    <n v="224061762"/>
    <s v="Kenan"/>
    <s v="Male"/>
    <n v="47639"/>
    <n v="2991"/>
    <n v="36"/>
    <n v="1.2036108324974924E-2"/>
    <x v="0"/>
    <n v="38"/>
    <n v="113658"/>
    <s v="EUR"/>
    <x v="6"/>
    <x v="6"/>
    <n v="0.2"/>
    <x v="1"/>
    <s v="Yellow"/>
  </r>
  <r>
    <n v="896791277"/>
    <s v="Mirza"/>
    <s v="Male"/>
    <n v="48294"/>
    <n v="2489"/>
    <n v="45"/>
    <n v="1.8079550020088389E-2"/>
    <x v="0"/>
    <n v="29"/>
    <n v="72181"/>
    <s v="EUR"/>
    <x v="6"/>
    <x v="5"/>
    <n v="0.2"/>
    <x v="1"/>
    <s v="Khaki"/>
  </r>
  <r>
    <n v="958001141"/>
    <s v="Ebrar"/>
    <s v="Female"/>
    <n v="47698"/>
    <n v="1459"/>
    <n v="35"/>
    <n v="2.3989033584647018E-2"/>
    <x v="0"/>
    <n v="38"/>
    <n v="55442"/>
    <s v="EUR"/>
    <x v="7"/>
    <x v="10"/>
    <n v="0.2"/>
    <x v="0"/>
    <s v="Khaki"/>
  </r>
  <r>
    <n v="799748866"/>
    <s v="Semih"/>
    <s v="Male"/>
    <n v="47855"/>
    <n v="2156"/>
    <n v="16"/>
    <n v="7.4211502782931356E-3"/>
    <x v="0"/>
    <n v="23"/>
    <n v="49588"/>
    <s v="EUR"/>
    <x v="8"/>
    <x v="10"/>
    <n v="0.2"/>
    <x v="1"/>
    <s v="Fuscia"/>
  </r>
  <r>
    <n v="413415766"/>
    <s v="Sevcan"/>
    <s v="Female"/>
    <n v="47861"/>
    <n v="2476"/>
    <n v="43"/>
    <n v="1.7366720516962843E-2"/>
    <x v="0"/>
    <n v="50"/>
    <n v="123800"/>
    <s v="EUR"/>
    <x v="9"/>
    <x v="4"/>
    <n v="0.2"/>
    <x v="1"/>
    <s v="Yellow"/>
  </r>
  <r>
    <n v="208240097"/>
    <s v="Sevtap"/>
    <s v="Female"/>
    <n v="47928"/>
    <n v="3489"/>
    <n v="40"/>
    <n v="1.1464603038119804E-2"/>
    <x v="0"/>
    <n v="45"/>
    <n v="157005"/>
    <s v="EUR"/>
    <x v="10"/>
    <x v="0"/>
    <n v="0.2"/>
    <x v="0"/>
    <s v="Teal"/>
  </r>
  <r>
    <n v="507549842"/>
    <s v="Kemal"/>
    <s v="Male"/>
    <n v="48350"/>
    <n v="2896"/>
    <n v="30"/>
    <n v="1.0359116022099447E-2"/>
    <x v="0"/>
    <n v="27"/>
    <n v="78192"/>
    <s v="EUR"/>
    <x v="11"/>
    <x v="6"/>
    <n v="0.2"/>
    <x v="1"/>
    <s v="Blue"/>
  </r>
  <r>
    <n v="244625643"/>
    <s v="Resul"/>
    <s v="Male"/>
    <n v="47860"/>
    <n v="4369"/>
    <n v="10"/>
    <n v="2.2888532845044634E-3"/>
    <x v="0"/>
    <n v="43"/>
    <n v="187867"/>
    <s v="EUR"/>
    <x v="12"/>
    <x v="6"/>
    <n v="0.2"/>
    <x v="1"/>
    <s v="Crimson"/>
  </r>
  <r>
    <n v="666417313"/>
    <s v="Beşir"/>
    <s v="Male"/>
    <n v="48048"/>
    <n v="3899"/>
    <n v="16"/>
    <n v="4.1036163118748394E-3"/>
    <x v="0"/>
    <n v="28"/>
    <n v="109172"/>
    <s v="EUR"/>
    <x v="13"/>
    <x v="1"/>
    <n v="0.2"/>
    <x v="0"/>
    <s v="Turquoise"/>
  </r>
  <r>
    <n v="905162759"/>
    <s v="Yusuf"/>
    <s v="Male"/>
    <n v="48189"/>
    <n v="1140"/>
    <n v="20"/>
    <n v="1.7543859649122806E-2"/>
    <x v="1"/>
    <n v="41"/>
    <n v="46740"/>
    <s v="EUR"/>
    <x v="14"/>
    <x v="8"/>
    <n v="0.2"/>
    <x v="0"/>
    <s v="Crimson"/>
  </r>
  <r>
    <n v="61244217"/>
    <s v="Soner"/>
    <s v="Male"/>
    <n v="48438"/>
    <n v="1877"/>
    <n v="44"/>
    <n v="2.3441662226957913E-2"/>
    <x v="0"/>
    <n v="43"/>
    <n v="80711"/>
    <s v="EUR"/>
    <x v="0"/>
    <x v="5"/>
    <n v="0.2"/>
    <x v="0"/>
    <s v="Crimson"/>
  </r>
  <r>
    <n v="486605698"/>
    <s v="Ali"/>
    <s v="Male"/>
    <n v="48148"/>
    <n v="4327"/>
    <n v="47"/>
    <n v="1.086202911948232E-2"/>
    <x v="0"/>
    <n v="49"/>
    <n v="212023"/>
    <s v="EUR"/>
    <x v="1"/>
    <x v="3"/>
    <n v="0.2"/>
    <x v="0"/>
    <s v="Khaki"/>
  </r>
  <r>
    <n v="266183812"/>
    <s v="Hasan"/>
    <s v="Male"/>
    <n v="48422"/>
    <n v="3429"/>
    <n v="46"/>
    <n v="1.3414989792942549E-2"/>
    <x v="0"/>
    <n v="41"/>
    <n v="140589"/>
    <s v="EUR"/>
    <x v="2"/>
    <x v="9"/>
    <n v="0.2"/>
    <x v="0"/>
    <s v="Orange"/>
  </r>
  <r>
    <n v="417499108"/>
    <s v="Hüseyin"/>
    <s v="Male"/>
    <n v="47643"/>
    <n v="1434"/>
    <n v="27"/>
    <n v="1.8828451882845189E-2"/>
    <x v="0"/>
    <n v="44"/>
    <n v="63096"/>
    <s v="EUR"/>
    <x v="3"/>
    <x v="0"/>
    <n v="0.2"/>
    <x v="0"/>
    <s v="Red"/>
  </r>
  <r>
    <n v="449913114"/>
    <s v="Canan"/>
    <s v="Female"/>
    <n v="48421"/>
    <n v="4090"/>
    <n v="23"/>
    <n v="5.623471882640587E-3"/>
    <x v="0"/>
    <n v="30"/>
    <n v="122700"/>
    <s v="EUR"/>
    <x v="4"/>
    <x v="5"/>
    <n v="0.2"/>
    <x v="1"/>
    <s v="Goldenrod"/>
  </r>
  <r>
    <n v="866530408"/>
    <s v="Cansu"/>
    <s v="Female"/>
    <n v="48388"/>
    <n v="1061"/>
    <n v="22"/>
    <n v="2.0735155513666354E-2"/>
    <x v="1"/>
    <n v="30"/>
    <n v="31830"/>
    <s v="EUR"/>
    <x v="5"/>
    <x v="1"/>
    <n v="0.2"/>
    <x v="0"/>
    <s v="Purple"/>
  </r>
  <r>
    <n v="519868238"/>
    <s v="Kenan"/>
    <s v="Male"/>
    <n v="47602"/>
    <n v="1417"/>
    <n v="44"/>
    <n v="3.1051517290049402E-2"/>
    <x v="0"/>
    <n v="47"/>
    <n v="66599"/>
    <s v="EUR"/>
    <x v="6"/>
    <x v="8"/>
    <n v="0.2"/>
    <x v="0"/>
    <s v="Fuscia"/>
  </r>
  <r>
    <n v="344132631"/>
    <s v="Mirza"/>
    <s v="Male"/>
    <n v="47959"/>
    <n v="2398"/>
    <n v="14"/>
    <n v="5.8381984987489572E-3"/>
    <x v="0"/>
    <n v="50"/>
    <n v="119900"/>
    <s v="EUR"/>
    <x v="6"/>
    <x v="3"/>
    <n v="0.2"/>
    <x v="1"/>
    <s v="Goldenrod"/>
  </r>
  <r>
    <n v="879182135"/>
    <s v="Ebrar"/>
    <s v="Female"/>
    <n v="47666"/>
    <n v="1436"/>
    <n v="40"/>
    <n v="2.7855153203342618E-2"/>
    <x v="0"/>
    <n v="36"/>
    <n v="51696"/>
    <s v="EUR"/>
    <x v="7"/>
    <x v="6"/>
    <n v="0.2"/>
    <x v="0"/>
    <s v="Green"/>
  </r>
  <r>
    <n v="568787359"/>
    <s v="Semih"/>
    <s v="Male"/>
    <n v="47925"/>
    <n v="2306"/>
    <n v="21"/>
    <n v="9.1066782307025144E-3"/>
    <x v="0"/>
    <n v="36"/>
    <n v="83016"/>
    <s v="EUR"/>
    <x v="8"/>
    <x v="2"/>
    <n v="0.2"/>
    <x v="0"/>
    <s v="Maroon"/>
  </r>
  <r>
    <n v="464033157"/>
    <s v="Sevcan"/>
    <s v="Female"/>
    <n v="47728"/>
    <n v="4600"/>
    <n v="48"/>
    <n v="1.0434782608695653E-2"/>
    <x v="0"/>
    <n v="36"/>
    <n v="165600"/>
    <s v="EUR"/>
    <x v="9"/>
    <x v="8"/>
    <n v="0.2"/>
    <x v="0"/>
    <s v="Violet"/>
  </r>
  <r>
    <n v="222757131"/>
    <s v="Sevtap"/>
    <s v="Female"/>
    <n v="48266"/>
    <n v="4672"/>
    <n v="10"/>
    <n v="2.1404109589041095E-3"/>
    <x v="0"/>
    <n v="37"/>
    <n v="172864"/>
    <s v="EUR"/>
    <x v="10"/>
    <x v="1"/>
    <n v="0.2"/>
    <x v="0"/>
    <s v="Turquoise"/>
  </r>
  <r>
    <n v="678942118"/>
    <s v="Kemal"/>
    <s v="Male"/>
    <n v="47776"/>
    <n v="2336"/>
    <n v="10"/>
    <n v="4.2808219178082189E-3"/>
    <x v="1"/>
    <n v="26"/>
    <n v="60736"/>
    <s v="EUR"/>
    <x v="11"/>
    <x v="0"/>
    <n v="0.2"/>
    <x v="1"/>
    <s v="Teal"/>
  </r>
  <r>
    <n v="641322587"/>
    <s v="Resul"/>
    <s v="Male"/>
    <n v="47964"/>
    <n v="2312"/>
    <n v="37"/>
    <n v="1.6003460207612456E-2"/>
    <x v="0"/>
    <n v="22"/>
    <n v="50864"/>
    <s v="EUR"/>
    <x v="12"/>
    <x v="2"/>
    <n v="0.2"/>
    <x v="0"/>
    <s v="Violet"/>
  </r>
  <r>
    <n v="405247412"/>
    <s v="Beşir"/>
    <s v="Male"/>
    <n v="48123"/>
    <n v="2574"/>
    <n v="48"/>
    <n v="1.8648018648018648E-2"/>
    <x v="0"/>
    <n v="23"/>
    <n v="59202"/>
    <s v="EUR"/>
    <x v="13"/>
    <x v="10"/>
    <n v="0.2"/>
    <x v="0"/>
    <s v="Goldenrod"/>
  </r>
  <r>
    <n v="953792928"/>
    <s v="Yusuf"/>
    <s v="Male"/>
    <n v="47512"/>
    <n v="2235"/>
    <n v="23"/>
    <n v="1.029082774049217E-2"/>
    <x v="0"/>
    <n v="20"/>
    <n v="44700"/>
    <s v="EUR"/>
    <x v="14"/>
    <x v="6"/>
    <n v="0.2"/>
    <x v="0"/>
    <s v="Mauv"/>
  </r>
  <r>
    <n v="930811068"/>
    <s v="Soner"/>
    <s v="Male"/>
    <n v="47616"/>
    <n v="4045"/>
    <n v="11"/>
    <n v="2.719406674907293E-3"/>
    <x v="0"/>
    <n v="28"/>
    <n v="113260"/>
    <s v="EUR"/>
    <x v="0"/>
    <x v="3"/>
    <n v="0.2"/>
    <x v="1"/>
    <s v="Puce"/>
  </r>
  <r>
    <n v="391686909"/>
    <s v="Ali"/>
    <s v="Male"/>
    <n v="47635"/>
    <n v="4678"/>
    <n v="42"/>
    <n v="8.9781958101752893E-3"/>
    <x v="0"/>
    <n v="42"/>
    <n v="196476"/>
    <s v="EUR"/>
    <x v="1"/>
    <x v="2"/>
    <n v="0.2"/>
    <x v="0"/>
    <s v="Turquoise"/>
  </r>
  <r>
    <n v="901495045"/>
    <s v="Hasan"/>
    <s v="Male"/>
    <n v="47897"/>
    <n v="4106"/>
    <n v="44"/>
    <n v="1.071602532878714E-2"/>
    <x v="0"/>
    <n v="38"/>
    <n v="156028"/>
    <s v="EUR"/>
    <x v="2"/>
    <x v="8"/>
    <n v="0.2"/>
    <x v="1"/>
    <s v="Yellow"/>
  </r>
  <r>
    <n v="92601973"/>
    <s v="Hüseyin"/>
    <s v="Male"/>
    <n v="47510"/>
    <n v="2583"/>
    <n v="19"/>
    <n v="7.3557878435927216E-3"/>
    <x v="0"/>
    <n v="40"/>
    <n v="103320"/>
    <s v="EUR"/>
    <x v="3"/>
    <x v="5"/>
    <n v="0.2"/>
    <x v="1"/>
    <s v="Indigo"/>
  </r>
  <r>
    <n v="876050770"/>
    <s v="Canan"/>
    <s v="Female"/>
    <n v="47992"/>
    <n v="3247"/>
    <n v="47"/>
    <n v="1.4474899907607022E-2"/>
    <x v="0"/>
    <n v="36"/>
    <n v="116892"/>
    <s v="EUR"/>
    <x v="4"/>
    <x v="1"/>
    <n v="0.2"/>
    <x v="0"/>
    <s v="Purple"/>
  </r>
  <r>
    <n v="221497961"/>
    <s v="Cansu"/>
    <s v="Female"/>
    <n v="47853"/>
    <n v="3559"/>
    <n v="41"/>
    <n v="1.152008991289688E-2"/>
    <x v="0"/>
    <n v="40"/>
    <n v="142360"/>
    <s v="EUR"/>
    <x v="5"/>
    <x v="7"/>
    <n v="0.2"/>
    <x v="0"/>
    <s v="Blue"/>
  </r>
  <r>
    <n v="422090717"/>
    <s v="Kenan"/>
    <s v="Male"/>
    <n v="47892"/>
    <n v="3994"/>
    <n v="26"/>
    <n v="6.5097646469704559E-3"/>
    <x v="0"/>
    <n v="45"/>
    <n v="179730"/>
    <s v="EUR"/>
    <x v="6"/>
    <x v="6"/>
    <n v="0.2"/>
    <x v="0"/>
    <s v="Violet"/>
  </r>
  <r>
    <n v="626629043"/>
    <s v="Mirza"/>
    <s v="Male"/>
    <n v="47558"/>
    <n v="2467"/>
    <n v="17"/>
    <n v="6.8909606809890557E-3"/>
    <x v="0"/>
    <n v="35"/>
    <n v="86345"/>
    <s v="EUR"/>
    <x v="6"/>
    <x v="9"/>
    <n v="0.2"/>
    <x v="1"/>
    <s v="Teal"/>
  </r>
  <r>
    <n v="854559162"/>
    <s v="Ebrar"/>
    <s v="Female"/>
    <n v="48385"/>
    <n v="1828"/>
    <n v="15"/>
    <n v="8.2056892778993428E-3"/>
    <x v="0"/>
    <n v="41"/>
    <n v="74948"/>
    <s v="EUR"/>
    <x v="7"/>
    <x v="10"/>
    <n v="0.2"/>
    <x v="0"/>
    <s v="Mauv"/>
  </r>
  <r>
    <n v="753171254"/>
    <s v="Semih"/>
    <s v="Male"/>
    <n v="48471"/>
    <n v="2132"/>
    <n v="18"/>
    <n v="8.4427767354596627E-3"/>
    <x v="0"/>
    <n v="47"/>
    <n v="100204"/>
    <s v="EUR"/>
    <x v="8"/>
    <x v="1"/>
    <n v="0.2"/>
    <x v="1"/>
    <s v="Goldenrod"/>
  </r>
  <r>
    <n v="317369305"/>
    <s v="Sevcan"/>
    <s v="Female"/>
    <n v="47587"/>
    <n v="4297"/>
    <n v="49"/>
    <n v="1.1403304631138002E-2"/>
    <x v="0"/>
    <n v="36"/>
    <n v="154692"/>
    <s v="EUR"/>
    <x v="9"/>
    <x v="9"/>
    <n v="0.2"/>
    <x v="0"/>
    <s v="Violet"/>
  </r>
  <r>
    <n v="677109582"/>
    <s v="Sevtap"/>
    <s v="Female"/>
    <n v="48145"/>
    <n v="4537"/>
    <n v="48"/>
    <n v="1.0579678201454706E-2"/>
    <x v="0"/>
    <n v="35"/>
    <n v="158795"/>
    <s v="EUR"/>
    <x v="10"/>
    <x v="10"/>
    <n v="0.2"/>
    <x v="0"/>
    <s v="Purple"/>
  </r>
  <r>
    <n v="526001079"/>
    <s v="Kemal"/>
    <s v="Male"/>
    <n v="48131"/>
    <n v="2411"/>
    <n v="25"/>
    <n v="1.0369141435089175E-2"/>
    <x v="0"/>
    <n v="20"/>
    <n v="48220"/>
    <s v="EUR"/>
    <x v="11"/>
    <x v="10"/>
    <n v="0.2"/>
    <x v="1"/>
    <s v="Blue"/>
  </r>
  <r>
    <n v="503254489"/>
    <s v="Resul"/>
    <s v="Male"/>
    <n v="47680"/>
    <n v="1364"/>
    <n v="20"/>
    <n v="1.466275659824047E-2"/>
    <x v="0"/>
    <n v="22"/>
    <n v="30008"/>
    <s v="EUR"/>
    <x v="12"/>
    <x v="8"/>
    <n v="0.2"/>
    <x v="0"/>
    <s v="Orange"/>
  </r>
  <r>
    <n v="336643474"/>
    <s v="Hüseyin"/>
    <s v="Male"/>
    <n v="48359"/>
    <n v="3730"/>
    <n v="22"/>
    <n v="5.8981233243967828E-3"/>
    <x v="0"/>
    <n v="39"/>
    <n v="145470"/>
    <s v="EUR"/>
    <x v="13"/>
    <x v="0"/>
    <n v="0.2"/>
    <x v="1"/>
    <s v="Teal"/>
  </r>
  <r>
    <n v="788965174"/>
    <s v="Canan"/>
    <s v="Female"/>
    <n v="47683"/>
    <n v="4230"/>
    <n v="30"/>
    <n v="7.0921985815602835E-3"/>
    <x v="0"/>
    <n v="40"/>
    <n v="169200"/>
    <s v="EUR"/>
    <x v="14"/>
    <x v="5"/>
    <n v="0.2"/>
    <x v="0"/>
    <s v="Purple"/>
  </r>
  <r>
    <n v="373055551"/>
    <s v="Cansu"/>
    <s v="Female"/>
    <n v="48275"/>
    <n v="3009"/>
    <n v="33"/>
    <n v="1.0967098703888335E-2"/>
    <x v="1"/>
    <n v="41"/>
    <n v="123369"/>
    <s v="EUR"/>
    <x v="0"/>
    <x v="4"/>
    <n v="0.2"/>
    <x v="0"/>
    <s v="Red"/>
  </r>
  <r>
    <n v="547423623"/>
    <s v="Kenan"/>
    <s v="Male"/>
    <n v="47872"/>
    <n v="2994"/>
    <n v="22"/>
    <n v="7.3480293921175683E-3"/>
    <x v="0"/>
    <n v="38"/>
    <n v="113772"/>
    <s v="EUR"/>
    <x v="1"/>
    <x v="8"/>
    <n v="0.2"/>
    <x v="1"/>
    <s v="Green"/>
  </r>
  <r>
    <n v="141008728"/>
    <s v="Mirza"/>
    <s v="Male"/>
    <n v="48119"/>
    <n v="3488"/>
    <n v="21"/>
    <n v="6.0206422018348627E-3"/>
    <x v="0"/>
    <n v="47"/>
    <n v="163936"/>
    <s v="EUR"/>
    <x v="2"/>
    <x v="4"/>
    <n v="0.2"/>
    <x v="0"/>
    <s v="Violet"/>
  </r>
  <r>
    <n v="139440887"/>
    <s v="Ebrar"/>
    <s v="Female"/>
    <n v="47694"/>
    <n v="1995"/>
    <n v="37"/>
    <n v="1.8546365914786967E-2"/>
    <x v="0"/>
    <n v="27"/>
    <n v="53865"/>
    <s v="EUR"/>
    <x v="3"/>
    <x v="9"/>
    <n v="0.2"/>
    <x v="1"/>
    <s v="Blue"/>
  </r>
  <r>
    <n v="99391027"/>
    <s v="Semih"/>
    <s v="Male"/>
    <n v="48504"/>
    <n v="1166"/>
    <n v="27"/>
    <n v="2.3156089193825044E-2"/>
    <x v="1"/>
    <n v="20"/>
    <n v="23320"/>
    <s v="EUR"/>
    <x v="4"/>
    <x v="5"/>
    <n v="0.2"/>
    <x v="1"/>
    <s v="Khaki"/>
  </r>
  <r>
    <n v="692580597"/>
    <s v="Sevcan"/>
    <s v="Female"/>
    <n v="47787"/>
    <n v="1440"/>
    <n v="26"/>
    <n v="1.8055555555555554E-2"/>
    <x v="0"/>
    <n v="39"/>
    <n v="56160"/>
    <s v="EUR"/>
    <x v="5"/>
    <x v="7"/>
    <n v="0.2"/>
    <x v="0"/>
    <s v="Teal"/>
  </r>
  <r>
    <n v="509927051"/>
    <s v="Sevtap"/>
    <s v="Female"/>
    <n v="48335"/>
    <n v="2506"/>
    <n v="25"/>
    <n v="9.9760574620909818E-3"/>
    <x v="0"/>
    <n v="20"/>
    <n v="50120"/>
    <s v="EUR"/>
    <x v="6"/>
    <x v="5"/>
    <n v="0.2"/>
    <x v="0"/>
    <s v="Mauv"/>
  </r>
  <r>
    <n v="905900914"/>
    <s v="Kemal"/>
    <s v="Male"/>
    <n v="47984"/>
    <n v="3440"/>
    <n v="27"/>
    <n v="7.8488372093023263E-3"/>
    <x v="0"/>
    <n v="50"/>
    <n v="172000"/>
    <s v="EUR"/>
    <x v="6"/>
    <x v="3"/>
    <n v="0.2"/>
    <x v="1"/>
    <s v="Blue"/>
  </r>
  <r>
    <n v="548533405"/>
    <s v="Resul"/>
    <s v="Male"/>
    <n v="47561"/>
    <n v="1674"/>
    <n v="27"/>
    <n v="1.6129032258064516E-2"/>
    <x v="0"/>
    <n v="48"/>
    <n v="80352"/>
    <s v="EUR"/>
    <x v="7"/>
    <x v="0"/>
    <n v="0.2"/>
    <x v="1"/>
    <s v="Indigo"/>
  </r>
  <r>
    <n v="821569848"/>
    <s v="Beşir"/>
    <s v="Male"/>
    <n v="47495"/>
    <n v="3383"/>
    <n v="44"/>
    <n v="1.300620750812888E-2"/>
    <x v="0"/>
    <n v="26"/>
    <n v="87958"/>
    <s v="EUR"/>
    <x v="8"/>
    <x v="7"/>
    <n v="0.2"/>
    <x v="1"/>
    <s v="Goldenrod"/>
  </r>
  <r>
    <n v="941943128"/>
    <s v="Yusuf"/>
    <s v="Male"/>
    <n v="48564"/>
    <n v="3389"/>
    <n v="36"/>
    <n v="1.0622602537621718E-2"/>
    <x v="0"/>
    <n v="43"/>
    <n v="145727"/>
    <s v="EUR"/>
    <x v="9"/>
    <x v="0"/>
    <n v="0.2"/>
    <x v="0"/>
    <s v="Aquamarine"/>
  </r>
  <r>
    <n v="629408971"/>
    <s v="Soner"/>
    <s v="Male"/>
    <n v="48170"/>
    <n v="2600"/>
    <n v="33"/>
    <n v="1.2692307692307692E-2"/>
    <x v="0"/>
    <n v="47"/>
    <n v="122200"/>
    <s v="EUR"/>
    <x v="10"/>
    <x v="9"/>
    <n v="0.2"/>
    <x v="1"/>
    <s v="Khaki"/>
  </r>
  <r>
    <n v="872313864"/>
    <s v="Ali"/>
    <s v="Male"/>
    <n v="48352"/>
    <n v="3371"/>
    <n v="24"/>
    <n v="7.1195490952239695E-3"/>
    <x v="1"/>
    <n v="33"/>
    <n v="111243"/>
    <s v="EUR"/>
    <x v="11"/>
    <x v="2"/>
    <n v="0.2"/>
    <x v="0"/>
    <s v="Aquamarine"/>
  </r>
  <r>
    <n v="16078884"/>
    <s v="Hasan"/>
    <s v="Male"/>
    <n v="48393"/>
    <n v="3116"/>
    <n v="41"/>
    <n v="1.3157894736842105E-2"/>
    <x v="0"/>
    <n v="41"/>
    <n v="127756"/>
    <s v="EUR"/>
    <x v="12"/>
    <x v="9"/>
    <n v="0.2"/>
    <x v="0"/>
    <s v="Violet"/>
  </r>
  <r>
    <n v="266165428"/>
    <s v="Hüseyin"/>
    <s v="Male"/>
    <n v="47916"/>
    <n v="4310"/>
    <n v="12"/>
    <n v="2.7842227378190253E-3"/>
    <x v="0"/>
    <n v="27"/>
    <n v="116370"/>
    <s v="EUR"/>
    <x v="13"/>
    <x v="4"/>
    <n v="0.2"/>
    <x v="0"/>
    <s v="Yellow"/>
  </r>
  <r>
    <n v="673138016"/>
    <s v="Canan"/>
    <s v="Female"/>
    <n v="47902"/>
    <n v="3032"/>
    <n v="49"/>
    <n v="1.6160949868073878E-2"/>
    <x v="0"/>
    <n v="35"/>
    <n v="106120"/>
    <s v="EUR"/>
    <x v="14"/>
    <x v="2"/>
    <n v="0.2"/>
    <x v="0"/>
    <s v="Puce"/>
  </r>
  <r>
    <n v="590855812"/>
    <s v="Cansu"/>
    <s v="Female"/>
    <n v="47553"/>
    <n v="1523"/>
    <n v="26"/>
    <n v="1.7071569271175313E-2"/>
    <x v="0"/>
    <n v="41"/>
    <n v="62443"/>
    <s v="EUR"/>
    <x v="0"/>
    <x v="10"/>
    <n v="0.2"/>
    <x v="0"/>
    <s v="Puce"/>
  </r>
  <r>
    <n v="617361547"/>
    <s v="Kenan"/>
    <s v="Male"/>
    <n v="47877"/>
    <n v="2350"/>
    <n v="25"/>
    <n v="1.0638297872340425E-2"/>
    <x v="0"/>
    <n v="28"/>
    <n v="65800"/>
    <s v="EUR"/>
    <x v="1"/>
    <x v="2"/>
    <n v="0.2"/>
    <x v="1"/>
    <s v="Puce"/>
  </r>
  <r>
    <n v="283641749"/>
    <s v="Mirza"/>
    <s v="Male"/>
    <n v="47639"/>
    <n v="3776"/>
    <n v="42"/>
    <n v="1.1122881355932203E-2"/>
    <x v="0"/>
    <n v="38"/>
    <n v="143488"/>
    <s v="EUR"/>
    <x v="2"/>
    <x v="7"/>
    <n v="0.2"/>
    <x v="1"/>
    <s v="Indigo"/>
  </r>
  <r>
    <n v="849900696"/>
    <s v="Ebrar"/>
    <s v="Female"/>
    <n v="48383"/>
    <n v="3147"/>
    <n v="31"/>
    <n v="9.850651414045123E-3"/>
    <x v="0"/>
    <n v="37"/>
    <n v="116439"/>
    <s v="EUR"/>
    <x v="3"/>
    <x v="10"/>
    <n v="0.2"/>
    <x v="1"/>
    <s v="Red"/>
  </r>
  <r>
    <n v="41632667"/>
    <s v="Semih"/>
    <s v="Male"/>
    <n v="48340"/>
    <n v="2277"/>
    <n v="48"/>
    <n v="2.1080368906455864E-2"/>
    <x v="0"/>
    <n v="30"/>
    <n v="68310"/>
    <s v="EUR"/>
    <x v="4"/>
    <x v="8"/>
    <n v="0.2"/>
    <x v="0"/>
    <s v="Purple"/>
  </r>
  <r>
    <n v="445570921"/>
    <s v="Sevcan"/>
    <s v="Female"/>
    <n v="48572"/>
    <n v="1802"/>
    <n v="43"/>
    <n v="2.3862375138734741E-2"/>
    <x v="0"/>
    <n v="21"/>
    <n v="37842"/>
    <s v="EUR"/>
    <x v="5"/>
    <x v="1"/>
    <n v="0.2"/>
    <x v="1"/>
    <s v="Blue"/>
  </r>
  <r>
    <n v="334478098"/>
    <s v="Sevtap"/>
    <s v="Female"/>
    <n v="47655"/>
    <n v="3910"/>
    <n v="32"/>
    <n v="8.1841432225063931E-3"/>
    <x v="0"/>
    <n v="38"/>
    <n v="148580"/>
    <s v="EUR"/>
    <x v="6"/>
    <x v="7"/>
    <n v="0.2"/>
    <x v="0"/>
    <s v="Blue"/>
  </r>
  <r>
    <n v="189298396"/>
    <s v="Kemal"/>
    <s v="Male"/>
    <n v="48498"/>
    <n v="2234"/>
    <n v="37"/>
    <n v="1.656222023276634E-2"/>
    <x v="1"/>
    <n v="43"/>
    <n v="96062"/>
    <s v="EUR"/>
    <x v="6"/>
    <x v="10"/>
    <n v="0.2"/>
    <x v="0"/>
    <s v="Mauv"/>
  </r>
  <r>
    <n v="634825221"/>
    <s v="Resul"/>
    <s v="Male"/>
    <n v="48185"/>
    <n v="2671"/>
    <n v="43"/>
    <n v="1.6098839385997755E-2"/>
    <x v="0"/>
    <n v="40"/>
    <n v="106840"/>
    <s v="EUR"/>
    <x v="7"/>
    <x v="4"/>
    <n v="0.2"/>
    <x v="1"/>
    <s v="Aquamarine"/>
  </r>
  <r>
    <n v="184698699"/>
    <s v="Beşir"/>
    <s v="Male"/>
    <n v="48158"/>
    <n v="4135"/>
    <n v="35"/>
    <n v="8.4643288996372433E-3"/>
    <x v="0"/>
    <n v="45"/>
    <n v="186075"/>
    <s v="EUR"/>
    <x v="8"/>
    <x v="8"/>
    <n v="0.2"/>
    <x v="1"/>
    <s v="Blue"/>
  </r>
  <r>
    <n v="291072606"/>
    <s v="Yusuf"/>
    <s v="Male"/>
    <n v="48500"/>
    <n v="4549"/>
    <n v="14"/>
    <n v="3.0775994724115191E-3"/>
    <x v="0"/>
    <n v="26"/>
    <n v="118274"/>
    <s v="EUR"/>
    <x v="9"/>
    <x v="7"/>
    <n v="0.2"/>
    <x v="0"/>
    <s v="Khaki"/>
  </r>
  <r>
    <n v="615833930"/>
    <s v="Soner"/>
    <s v="Male"/>
    <n v="48090"/>
    <n v="4543"/>
    <n v="37"/>
    <n v="8.1443979749064501E-3"/>
    <x v="0"/>
    <n v="23"/>
    <n v="104489"/>
    <s v="EUR"/>
    <x v="10"/>
    <x v="0"/>
    <n v="0.2"/>
    <x v="1"/>
    <s v="Puce"/>
  </r>
  <r>
    <n v="240772280"/>
    <s v="Ali"/>
    <s v="Male"/>
    <n v="48145"/>
    <n v="2948"/>
    <n v="43"/>
    <n v="1.4586160108548168E-2"/>
    <x v="0"/>
    <n v="27"/>
    <n v="79596"/>
    <s v="EUR"/>
    <x v="11"/>
    <x v="2"/>
    <n v="0.2"/>
    <x v="1"/>
    <s v="Green"/>
  </r>
  <r>
    <n v="608061101"/>
    <s v="Hasan"/>
    <s v="Male"/>
    <n v="48344"/>
    <n v="2227"/>
    <n v="22"/>
    <n v="9.8787606645711727E-3"/>
    <x v="0"/>
    <n v="21"/>
    <n v="46767"/>
    <s v="EUR"/>
    <x v="12"/>
    <x v="3"/>
    <n v="0.2"/>
    <x v="0"/>
    <s v="Puce"/>
  </r>
  <r>
    <n v="443926422"/>
    <s v="Hüseyin"/>
    <s v="Male"/>
    <n v="48305"/>
    <n v="3543"/>
    <n v="15"/>
    <n v="4.2337002540220152E-3"/>
    <x v="0"/>
    <n v="38"/>
    <n v="134634"/>
    <s v="EUR"/>
    <x v="13"/>
    <x v="7"/>
    <n v="0.2"/>
    <x v="1"/>
    <s v="Red"/>
  </r>
  <r>
    <n v="43396502"/>
    <s v="Canan"/>
    <s v="Female"/>
    <n v="48273"/>
    <n v="3390"/>
    <n v="46"/>
    <n v="1.3569321533923304E-2"/>
    <x v="0"/>
    <n v="23"/>
    <n v="77970"/>
    <s v="EUR"/>
    <x v="14"/>
    <x v="3"/>
    <n v="0.2"/>
    <x v="1"/>
    <s v="Teal"/>
  </r>
  <r>
    <n v="288490387"/>
    <s v="Cansu"/>
    <s v="Female"/>
    <n v="48266"/>
    <n v="4509"/>
    <n v="50"/>
    <n v="1.1088933244621867E-2"/>
    <x v="0"/>
    <n v="45"/>
    <n v="202905"/>
    <s v="EUR"/>
    <x v="0"/>
    <x v="2"/>
    <n v="0.2"/>
    <x v="1"/>
    <s v="Crimson"/>
  </r>
  <r>
    <n v="340056113"/>
    <s v="Kenan"/>
    <s v="Male"/>
    <n v="48035"/>
    <n v="3297"/>
    <n v="27"/>
    <n v="8.1892629663330302E-3"/>
    <x v="0"/>
    <n v="22"/>
    <n v="72534"/>
    <s v="EUR"/>
    <x v="1"/>
    <x v="4"/>
    <n v="0.2"/>
    <x v="1"/>
    <s v="Aquamarine"/>
  </r>
  <r>
    <n v="287389802"/>
    <s v="Mirza"/>
    <s v="Male"/>
    <n v="47496"/>
    <n v="1593"/>
    <n v="47"/>
    <n v="2.9504080351537978E-2"/>
    <x v="0"/>
    <n v="39"/>
    <n v="62127"/>
    <s v="EUR"/>
    <x v="2"/>
    <x v="3"/>
    <n v="0.2"/>
    <x v="0"/>
    <s v="Maroon"/>
  </r>
  <r>
    <n v="739501426"/>
    <s v="Ebrar"/>
    <s v="Female"/>
    <n v="48324"/>
    <n v="1135"/>
    <n v="31"/>
    <n v="2.7312775330396475E-2"/>
    <x v="0"/>
    <n v="32"/>
    <n v="36320"/>
    <s v="EUR"/>
    <x v="3"/>
    <x v="9"/>
    <n v="0.2"/>
    <x v="1"/>
    <s v="Violet"/>
  </r>
  <r>
    <n v="200842033"/>
    <s v="Semih"/>
    <s v="Male"/>
    <n v="48455"/>
    <n v="3444"/>
    <n v="18"/>
    <n v="5.2264808362369342E-3"/>
    <x v="0"/>
    <n v="39"/>
    <n v="134316"/>
    <s v="EUR"/>
    <x v="4"/>
    <x v="2"/>
    <n v="0.2"/>
    <x v="0"/>
    <s v="Indigo"/>
  </r>
  <r>
    <n v="585938662"/>
    <s v="Sevcan"/>
    <s v="Female"/>
    <n v="48254"/>
    <n v="2013"/>
    <n v="13"/>
    <n v="6.4580228514654744E-3"/>
    <x v="0"/>
    <n v="34"/>
    <n v="68442"/>
    <s v="EUR"/>
    <x v="5"/>
    <x v="4"/>
    <n v="0.2"/>
    <x v="1"/>
    <s v="Khaki"/>
  </r>
  <r>
    <n v="138089561"/>
    <s v="Sevtap"/>
    <s v="Female"/>
    <n v="48398"/>
    <n v="3241"/>
    <n v="19"/>
    <n v="5.8623881518049988E-3"/>
    <x v="0"/>
    <n v="39"/>
    <n v="126399"/>
    <s v="EUR"/>
    <x v="6"/>
    <x v="3"/>
    <n v="0.2"/>
    <x v="1"/>
    <s v="Red"/>
  </r>
  <r>
    <n v="771973557"/>
    <s v="Kemal"/>
    <s v="Male"/>
    <n v="48348"/>
    <n v="3651"/>
    <n v="48"/>
    <n v="1.314708299096138E-2"/>
    <x v="0"/>
    <n v="48"/>
    <n v="175248"/>
    <s v="EUR"/>
    <x v="6"/>
    <x v="4"/>
    <n v="0.2"/>
    <x v="1"/>
    <s v="Fuscia"/>
  </r>
  <r>
    <n v="957440347"/>
    <s v="Resul"/>
    <s v="Male"/>
    <n v="47644"/>
    <n v="2757"/>
    <n v="21"/>
    <n v="7.6169749727965181E-3"/>
    <x v="0"/>
    <n v="34"/>
    <n v="93738"/>
    <s v="EUR"/>
    <x v="7"/>
    <x v="8"/>
    <n v="0.2"/>
    <x v="0"/>
    <s v="Pink"/>
  </r>
  <r>
    <n v="21482972"/>
    <s v="Hüseyin"/>
    <s v="Male"/>
    <n v="48139"/>
    <n v="2014"/>
    <n v="14"/>
    <n v="6.9513406156901684E-3"/>
    <x v="0"/>
    <n v="36"/>
    <n v="72504"/>
    <s v="EUR"/>
    <x v="8"/>
    <x v="2"/>
    <n v="0.2"/>
    <x v="1"/>
    <s v="Red"/>
  </r>
  <r>
    <n v="310572126"/>
    <s v="Canan"/>
    <s v="Female"/>
    <n v="47534"/>
    <n v="4291"/>
    <n v="17"/>
    <n v="3.9617804707527387E-3"/>
    <x v="0"/>
    <n v="45"/>
    <n v="193095"/>
    <s v="EUR"/>
    <x v="9"/>
    <x v="1"/>
    <n v="0.2"/>
    <x v="1"/>
    <s v="Orange"/>
  </r>
  <r>
    <n v="70669724"/>
    <s v="Cansu"/>
    <s v="Female"/>
    <n v="47674"/>
    <n v="2868"/>
    <n v="11"/>
    <n v="3.8354253835425384E-3"/>
    <x v="0"/>
    <n v="36"/>
    <n v="103248"/>
    <s v="EUR"/>
    <x v="10"/>
    <x v="6"/>
    <n v="0.2"/>
    <x v="0"/>
    <s v="Pink"/>
  </r>
  <r>
    <n v="542799900"/>
    <s v="Kenan"/>
    <s v="Male"/>
    <n v="47930"/>
    <n v="3895"/>
    <n v="34"/>
    <n v="8.7291399229781769E-3"/>
    <x v="1"/>
    <n v="43"/>
    <n v="167485"/>
    <s v="EUR"/>
    <x v="11"/>
    <x v="3"/>
    <n v="0.2"/>
    <x v="1"/>
    <s v="Mauv"/>
  </r>
  <r>
    <n v="719140657"/>
    <s v="Mirza"/>
    <s v="Male"/>
    <n v="48250"/>
    <n v="2403"/>
    <n v="29"/>
    <n v="1.2068248023304202E-2"/>
    <x v="0"/>
    <n v="42"/>
    <n v="100926"/>
    <s v="EUR"/>
    <x v="12"/>
    <x v="0"/>
    <n v="0.2"/>
    <x v="1"/>
    <s v="Turquoise"/>
  </r>
  <r>
    <n v="651868654"/>
    <s v="Ebrar"/>
    <s v="Female"/>
    <n v="47820"/>
    <n v="1257"/>
    <n v="18"/>
    <n v="1.4319809069212411E-2"/>
    <x v="0"/>
    <n v="36"/>
    <n v="45252"/>
    <s v="EUR"/>
    <x v="13"/>
    <x v="2"/>
    <n v="0.2"/>
    <x v="0"/>
    <s v="Orange"/>
  </r>
  <r>
    <n v="469395456"/>
    <s v="Semih"/>
    <s v="Male"/>
    <n v="48029"/>
    <n v="3767"/>
    <n v="14"/>
    <n v="3.7164852667905496E-3"/>
    <x v="0"/>
    <n v="48"/>
    <n v="180816"/>
    <s v="EUR"/>
    <x v="14"/>
    <x v="2"/>
    <n v="0.2"/>
    <x v="0"/>
    <s v="Puce"/>
  </r>
  <r>
    <n v="775829411"/>
    <s v="Sevcan"/>
    <s v="Female"/>
    <n v="47492"/>
    <n v="1583"/>
    <n v="27"/>
    <n v="1.7056222362602652E-2"/>
    <x v="0"/>
    <n v="37"/>
    <n v="58571"/>
    <s v="EUR"/>
    <x v="0"/>
    <x v="9"/>
    <n v="0.2"/>
    <x v="1"/>
    <s v="Goldenrod"/>
  </r>
  <r>
    <n v="605165492"/>
    <s v="Sevtap"/>
    <s v="Female"/>
    <n v="48122"/>
    <n v="3526"/>
    <n v="34"/>
    <n v="9.6426545660805441E-3"/>
    <x v="0"/>
    <n v="37"/>
    <n v="130462"/>
    <s v="EUR"/>
    <x v="1"/>
    <x v="7"/>
    <n v="0.2"/>
    <x v="1"/>
    <s v="Khaki"/>
  </r>
  <r>
    <n v="525466568"/>
    <s v="Kemal"/>
    <s v="Male"/>
    <n v="48375"/>
    <n v="2616"/>
    <n v="20"/>
    <n v="7.6452599388379203E-3"/>
    <x v="0"/>
    <n v="42"/>
    <n v="109872"/>
    <s v="EUR"/>
    <x v="2"/>
    <x v="1"/>
    <n v="0.2"/>
    <x v="0"/>
    <s v="Orange"/>
  </r>
  <r>
    <n v="632391080"/>
    <s v="Resul"/>
    <s v="Male"/>
    <n v="47958"/>
    <n v="2752"/>
    <n v="21"/>
    <n v="7.6308139534883718E-3"/>
    <x v="0"/>
    <n v="25"/>
    <n v="68800"/>
    <s v="EUR"/>
    <x v="3"/>
    <x v="10"/>
    <n v="0.2"/>
    <x v="1"/>
    <s v="Orange"/>
  </r>
  <r>
    <n v="801320108"/>
    <s v="Beşir"/>
    <s v="Male"/>
    <n v="48321"/>
    <n v="4852"/>
    <n v="21"/>
    <n v="4.3281121187139322E-3"/>
    <x v="1"/>
    <n v="28"/>
    <n v="135856"/>
    <s v="EUR"/>
    <x v="4"/>
    <x v="7"/>
    <n v="0.2"/>
    <x v="1"/>
    <s v="Turquoise"/>
  </r>
  <r>
    <n v="873530906"/>
    <s v="Yusuf"/>
    <s v="Male"/>
    <n v="48426"/>
    <n v="1912"/>
    <n v="33"/>
    <n v="1.7259414225941423E-2"/>
    <x v="0"/>
    <n v="26"/>
    <n v="49712"/>
    <s v="EUR"/>
    <x v="5"/>
    <x v="3"/>
    <n v="0.2"/>
    <x v="0"/>
    <s v="Turquoise"/>
  </r>
  <r>
    <n v="829742623"/>
    <s v="Soner"/>
    <s v="Male"/>
    <n v="48085"/>
    <n v="3191"/>
    <n v="22"/>
    <n v="6.8943904732058914E-3"/>
    <x v="0"/>
    <n v="22"/>
    <n v="70202"/>
    <s v="EUR"/>
    <x v="6"/>
    <x v="3"/>
    <n v="0.2"/>
    <x v="1"/>
    <s v="Maroon"/>
  </r>
  <r>
    <n v="813723862"/>
    <s v="Ali"/>
    <s v="Male"/>
    <n v="47689"/>
    <n v="3472"/>
    <n v="49"/>
    <n v="1.4112903225806451E-2"/>
    <x v="0"/>
    <n v="49"/>
    <n v="170128"/>
    <s v="EUR"/>
    <x v="6"/>
    <x v="3"/>
    <n v="0.2"/>
    <x v="0"/>
    <s v="Aquamarine"/>
  </r>
  <r>
    <n v="604446768"/>
    <s v="Hasan"/>
    <s v="Male"/>
    <n v="48316"/>
    <n v="3641"/>
    <n v="42"/>
    <n v="1.1535292502059874E-2"/>
    <x v="0"/>
    <n v="34"/>
    <n v="123794"/>
    <s v="EUR"/>
    <x v="7"/>
    <x v="1"/>
    <n v="0.2"/>
    <x v="1"/>
    <s v="Indigo"/>
  </r>
  <r>
    <n v="758454398"/>
    <s v="Hüseyin"/>
    <s v="Male"/>
    <n v="48045"/>
    <n v="4386"/>
    <n v="45"/>
    <n v="1.0259917920656635E-2"/>
    <x v="0"/>
    <n v="27"/>
    <n v="118422"/>
    <s v="EUR"/>
    <x v="8"/>
    <x v="2"/>
    <n v="0.2"/>
    <x v="1"/>
    <s v="Green"/>
  </r>
  <r>
    <n v="579776994"/>
    <s v="Canan"/>
    <s v="Female"/>
    <n v="48076"/>
    <n v="3587"/>
    <n v="26"/>
    <n v="7.2483969891274048E-3"/>
    <x v="0"/>
    <n v="38"/>
    <n v="136306"/>
    <s v="EUR"/>
    <x v="9"/>
    <x v="5"/>
    <n v="0.2"/>
    <x v="0"/>
    <s v="Aquamarine"/>
  </r>
  <r>
    <n v="354086275"/>
    <s v="Cansu"/>
    <s v="Female"/>
    <n v="48526"/>
    <n v="3075"/>
    <n v="50"/>
    <n v="1.6260162601626018E-2"/>
    <x v="0"/>
    <n v="46"/>
    <n v="141450"/>
    <s v="EUR"/>
    <x v="10"/>
    <x v="3"/>
    <n v="0.2"/>
    <x v="0"/>
    <s v="Turquoise"/>
  </r>
  <r>
    <n v="259183812"/>
    <s v="Kenan"/>
    <s v="Male"/>
    <n v="48251"/>
    <n v="4110"/>
    <n v="12"/>
    <n v="2.9197080291970801E-3"/>
    <x v="0"/>
    <n v="41"/>
    <n v="168510"/>
    <s v="EUR"/>
    <x v="11"/>
    <x v="6"/>
    <n v="0.2"/>
    <x v="0"/>
    <s v="Aquamarine"/>
  </r>
  <r>
    <n v="344254351"/>
    <s v="Mirza"/>
    <s v="Male"/>
    <n v="47666"/>
    <n v="1360"/>
    <n v="30"/>
    <n v="2.2058823529411766E-2"/>
    <x v="0"/>
    <n v="37"/>
    <n v="50320"/>
    <s v="EUR"/>
    <x v="12"/>
    <x v="9"/>
    <n v="0.2"/>
    <x v="0"/>
    <s v="Crimson"/>
  </r>
  <r>
    <n v="460304021"/>
    <s v="Ebrar"/>
    <s v="Female"/>
    <n v="48381"/>
    <n v="2978"/>
    <n v="41"/>
    <n v="1.3767629281396911E-2"/>
    <x v="0"/>
    <n v="22"/>
    <n v="65516"/>
    <s v="EUR"/>
    <x v="13"/>
    <x v="0"/>
    <n v="0.2"/>
    <x v="0"/>
    <s v="Mauv"/>
  </r>
  <r>
    <n v="822298243"/>
    <s v="Semih"/>
    <s v="Male"/>
    <n v="47908"/>
    <n v="3373"/>
    <n v="16"/>
    <n v="4.7435517343611027E-3"/>
    <x v="4"/>
    <n v="26"/>
    <n v="87698"/>
    <s v="GBP"/>
    <x v="14"/>
    <x v="5"/>
    <n v="0.2"/>
    <x v="1"/>
    <s v="Goldenrod"/>
  </r>
  <r>
    <n v="645369291"/>
    <s v="Sevcan"/>
    <s v="Female"/>
    <n v="47815"/>
    <n v="4465"/>
    <n v="36"/>
    <n v="8.0627099664053754E-3"/>
    <x v="2"/>
    <n v="32"/>
    <n v="142880"/>
    <s v="EUR"/>
    <x v="0"/>
    <x v="3"/>
    <n v="0.2"/>
    <x v="1"/>
    <s v="Orange"/>
  </r>
  <r>
    <n v="935327102"/>
    <s v="Sevtap"/>
    <s v="Female"/>
    <n v="47954"/>
    <n v="3103"/>
    <n v="43"/>
    <n v="1.3857557202707057E-2"/>
    <x v="0"/>
    <n v="27"/>
    <n v="83781"/>
    <s v="EUR"/>
    <x v="1"/>
    <x v="4"/>
    <n v="0.2"/>
    <x v="1"/>
    <s v="Yellow"/>
  </r>
  <r>
    <n v="752072949"/>
    <s v="Kemal"/>
    <s v="Male"/>
    <n v="47805"/>
    <n v="1292"/>
    <n v="47"/>
    <n v="3.637770897832817E-2"/>
    <x v="0"/>
    <n v="29"/>
    <n v="37468"/>
    <s v="EUR"/>
    <x v="2"/>
    <x v="9"/>
    <n v="0.2"/>
    <x v="1"/>
    <s v="Blue"/>
  </r>
  <r>
    <n v="606486580"/>
    <s v="Resul"/>
    <s v="Male"/>
    <n v="47776"/>
    <n v="4273"/>
    <n v="37"/>
    <n v="8.6590217645682189E-3"/>
    <x v="0"/>
    <n v="38"/>
    <n v="162374"/>
    <s v="EUR"/>
    <x v="3"/>
    <x v="9"/>
    <n v="0.2"/>
    <x v="0"/>
    <s v="Pink"/>
  </r>
  <r>
    <n v="183166352"/>
    <s v="Beşir"/>
    <s v="Male"/>
    <n v="47484"/>
    <n v="2918"/>
    <n v="45"/>
    <n v="1.5421521590130226E-2"/>
    <x v="0"/>
    <n v="29"/>
    <n v="84622"/>
    <s v="EUR"/>
    <x v="4"/>
    <x v="6"/>
    <n v="0.2"/>
    <x v="0"/>
    <s v="Puce"/>
  </r>
  <r>
    <n v="620882368"/>
    <s v="Yusuf"/>
    <s v="Male"/>
    <n v="47900"/>
    <n v="4388"/>
    <n v="40"/>
    <n v="9.1157702825888781E-3"/>
    <x v="0"/>
    <n v="27"/>
    <n v="118476"/>
    <s v="EUR"/>
    <x v="5"/>
    <x v="2"/>
    <n v="0.2"/>
    <x v="0"/>
    <s v="Crimson"/>
  </r>
  <r>
    <n v="978618623"/>
    <s v="Soner"/>
    <s v="Male"/>
    <n v="48366"/>
    <n v="1779"/>
    <n v="29"/>
    <n v="1.6301292861157952E-2"/>
    <x v="0"/>
    <n v="34"/>
    <n v="60486"/>
    <s v="EUR"/>
    <x v="6"/>
    <x v="2"/>
    <n v="0.2"/>
    <x v="1"/>
    <s v="Maroon"/>
  </r>
  <r>
    <n v="957468724"/>
    <s v="Ali"/>
    <s v="Male"/>
    <n v="47869"/>
    <n v="3850"/>
    <n v="50"/>
    <n v="1.2987012987012988E-2"/>
    <x v="0"/>
    <n v="43"/>
    <n v="165550"/>
    <s v="EUR"/>
    <x v="6"/>
    <x v="7"/>
    <n v="0.2"/>
    <x v="1"/>
    <s v="Crimson"/>
  </r>
  <r>
    <n v="866274532"/>
    <s v="Hasan"/>
    <s v="Male"/>
    <n v="47830"/>
    <n v="4576"/>
    <n v="45"/>
    <n v="9.833916083916084E-3"/>
    <x v="0"/>
    <n v="44"/>
    <n v="201344"/>
    <s v="EUR"/>
    <x v="7"/>
    <x v="10"/>
    <n v="0.2"/>
    <x v="0"/>
    <s v="Green"/>
  </r>
  <r>
    <n v="386676338"/>
    <s v="Hüseyin"/>
    <s v="Male"/>
    <n v="47762"/>
    <n v="3526"/>
    <n v="28"/>
    <n v="7.9410096426545656E-3"/>
    <x v="0"/>
    <n v="36"/>
    <n v="126936"/>
    <s v="EUR"/>
    <x v="8"/>
    <x v="9"/>
    <n v="0.2"/>
    <x v="0"/>
    <s v="Aquamarine"/>
  </r>
  <r>
    <n v="288914484"/>
    <s v="Canan"/>
    <s v="Female"/>
    <n v="48205"/>
    <n v="1917"/>
    <n v="31"/>
    <n v="1.6171100678142931E-2"/>
    <x v="0"/>
    <n v="28"/>
    <n v="53676"/>
    <s v="EUR"/>
    <x v="9"/>
    <x v="9"/>
    <n v="0.2"/>
    <x v="1"/>
    <s v="Red"/>
  </r>
  <r>
    <n v="310849286"/>
    <s v="Cansu"/>
    <s v="Female"/>
    <n v="48012"/>
    <n v="1308"/>
    <n v="43"/>
    <n v="3.2874617737003058E-2"/>
    <x v="0"/>
    <n v="49"/>
    <n v="64092"/>
    <s v="EUR"/>
    <x v="10"/>
    <x v="8"/>
    <n v="0.2"/>
    <x v="1"/>
    <s v="Violet"/>
  </r>
  <r>
    <n v="364049951"/>
    <s v="Kenan"/>
    <s v="Male"/>
    <n v="48393"/>
    <n v="4004"/>
    <n v="11"/>
    <n v="2.7472527472527475E-3"/>
    <x v="0"/>
    <n v="24"/>
    <n v="96096"/>
    <s v="EUR"/>
    <x v="11"/>
    <x v="0"/>
    <n v="0.2"/>
    <x v="0"/>
    <s v="Turquoise"/>
  </r>
  <r>
    <n v="6361162"/>
    <s v="Mirza"/>
    <s v="Male"/>
    <n v="47500"/>
    <n v="2823"/>
    <n v="29"/>
    <n v="1.0272759475735034E-2"/>
    <x v="0"/>
    <n v="36"/>
    <n v="101628"/>
    <s v="EUR"/>
    <x v="12"/>
    <x v="0"/>
    <n v="0.2"/>
    <x v="0"/>
    <s v="Purple"/>
  </r>
  <r>
    <n v="34926585"/>
    <s v="Ebrar"/>
    <s v="Female"/>
    <n v="47939"/>
    <n v="1126"/>
    <n v="29"/>
    <n v="2.5754884547069271E-2"/>
    <x v="0"/>
    <n v="26"/>
    <n v="29276"/>
    <s v="EUR"/>
    <x v="13"/>
    <x v="4"/>
    <n v="0.2"/>
    <x v="1"/>
    <s v="Fuscia"/>
  </r>
  <r>
    <n v="692720271"/>
    <s v="Semih"/>
    <s v="Male"/>
    <n v="48370"/>
    <n v="2323"/>
    <n v="31"/>
    <n v="1.334481274214378E-2"/>
    <x v="0"/>
    <n v="26"/>
    <n v="60398"/>
    <s v="EUR"/>
    <x v="14"/>
    <x v="5"/>
    <n v="0.2"/>
    <x v="1"/>
    <s v="Violet"/>
  </r>
  <r>
    <n v="901449200"/>
    <s v="Sevcan"/>
    <s v="Female"/>
    <n v="47593"/>
    <n v="3473"/>
    <n v="49"/>
    <n v="1.4108839619925137E-2"/>
    <x v="0"/>
    <n v="22"/>
    <n v="76406"/>
    <s v="EUR"/>
    <x v="0"/>
    <x v="1"/>
    <n v="0.2"/>
    <x v="0"/>
    <s v="Crimson"/>
  </r>
  <r>
    <n v="417642308"/>
    <s v="Sevtap"/>
    <s v="Female"/>
    <n v="47582"/>
    <n v="2614"/>
    <n v="32"/>
    <n v="1.224177505738332E-2"/>
    <x v="0"/>
    <n v="25"/>
    <n v="65350"/>
    <s v="EUR"/>
    <x v="1"/>
    <x v="3"/>
    <n v="0.2"/>
    <x v="1"/>
    <s v="Fuscia"/>
  </r>
  <r>
    <n v="335916838"/>
    <s v="Kemal"/>
    <s v="Male"/>
    <n v="48325"/>
    <n v="2623"/>
    <n v="27"/>
    <n v="1.0293556995806329E-2"/>
    <x v="0"/>
    <n v="47"/>
    <n v="123281"/>
    <s v="EUR"/>
    <x v="2"/>
    <x v="8"/>
    <n v="0.2"/>
    <x v="0"/>
    <s v="Fuscia"/>
  </r>
  <r>
    <n v="880150394"/>
    <s v="Resul"/>
    <s v="Male"/>
    <n v="48068"/>
    <n v="4142"/>
    <n v="50"/>
    <n v="1.2071463061323033E-2"/>
    <x v="0"/>
    <n v="28"/>
    <n v="115976"/>
    <s v="EUR"/>
    <x v="3"/>
    <x v="7"/>
    <n v="0.2"/>
    <x v="1"/>
    <s v="Violet"/>
  </r>
  <r>
    <n v="476695858"/>
    <s v="Hüseyin"/>
    <s v="Male"/>
    <n v="48497"/>
    <n v="3229"/>
    <n v="44"/>
    <n v="1.3626509755342211E-2"/>
    <x v="0"/>
    <n v="35"/>
    <n v="113015"/>
    <s v="EUR"/>
    <x v="4"/>
    <x v="1"/>
    <n v="0.2"/>
    <x v="0"/>
    <s v="Maroon"/>
  </r>
  <r>
    <n v="51693764"/>
    <s v="Canan"/>
    <s v="Female"/>
    <n v="47716"/>
    <n v="1532"/>
    <n v="33"/>
    <n v="2.1540469973890339E-2"/>
    <x v="0"/>
    <n v="42"/>
    <n v="64344"/>
    <s v="EUR"/>
    <x v="5"/>
    <x v="0"/>
    <n v="0.2"/>
    <x v="1"/>
    <s v="Red"/>
  </r>
  <r>
    <n v="451222750"/>
    <s v="Cansu"/>
    <s v="Female"/>
    <n v="48355"/>
    <n v="2036"/>
    <n v="33"/>
    <n v="1.6208251473477406E-2"/>
    <x v="0"/>
    <n v="48"/>
    <n v="97728"/>
    <s v="EUR"/>
    <x v="6"/>
    <x v="1"/>
    <n v="0.2"/>
    <x v="0"/>
    <s v="Puce"/>
  </r>
  <r>
    <n v="804372215"/>
    <s v="Kenan"/>
    <s v="Male"/>
    <n v="48328"/>
    <n v="4751"/>
    <n v="41"/>
    <n v="8.6297621553357191E-3"/>
    <x v="0"/>
    <n v="45"/>
    <n v="213795"/>
    <s v="EUR"/>
    <x v="6"/>
    <x v="9"/>
    <n v="0.2"/>
    <x v="1"/>
    <s v="Mauv"/>
  </r>
  <r>
    <n v="705722433"/>
    <s v="Mirza"/>
    <s v="Male"/>
    <n v="48286"/>
    <n v="4387"/>
    <n v="24"/>
    <n v="5.4707089126966035E-3"/>
    <x v="0"/>
    <n v="44"/>
    <n v="193028"/>
    <s v="EUR"/>
    <x v="7"/>
    <x v="9"/>
    <n v="0.2"/>
    <x v="0"/>
    <s v="Turquoise"/>
  </r>
  <r>
    <n v="230883324"/>
    <s v="Ebrar"/>
    <s v="Female"/>
    <n v="47786"/>
    <n v="1954"/>
    <n v="27"/>
    <n v="1.3817809621289662E-2"/>
    <x v="0"/>
    <n v="24"/>
    <n v="46896"/>
    <s v="EUR"/>
    <x v="8"/>
    <x v="4"/>
    <n v="0.2"/>
    <x v="0"/>
    <s v="Fuscia"/>
  </r>
  <r>
    <n v="502342042"/>
    <s v="Semih"/>
    <s v="Male"/>
    <n v="47622"/>
    <n v="1642"/>
    <n v="16"/>
    <n v="9.7442143727161992E-3"/>
    <x v="0"/>
    <n v="42"/>
    <n v="68964"/>
    <s v="EUR"/>
    <x v="9"/>
    <x v="7"/>
    <n v="0.2"/>
    <x v="1"/>
    <s v="Orange"/>
  </r>
  <r>
    <n v="545934526"/>
    <s v="Sevcan"/>
    <s v="Female"/>
    <n v="48336"/>
    <n v="3497"/>
    <n v="21"/>
    <n v="6.0051472690877891E-3"/>
    <x v="0"/>
    <n v="44"/>
    <n v="153868"/>
    <s v="EUR"/>
    <x v="10"/>
    <x v="2"/>
    <n v="0.2"/>
    <x v="1"/>
    <s v="Puce"/>
  </r>
  <r>
    <n v="136794974"/>
    <s v="Sevtap"/>
    <s v="Female"/>
    <n v="48305"/>
    <n v="1917"/>
    <n v="25"/>
    <n v="1.3041210224308816E-2"/>
    <x v="0"/>
    <n v="50"/>
    <n v="95850"/>
    <s v="EUR"/>
    <x v="11"/>
    <x v="4"/>
    <n v="0.2"/>
    <x v="1"/>
    <s v="Red"/>
  </r>
  <r>
    <n v="717627371"/>
    <s v="Kemal"/>
    <s v="Male"/>
    <n v="48397"/>
    <n v="1489"/>
    <n v="12"/>
    <n v="8.0591000671591667E-3"/>
    <x v="0"/>
    <n v="43"/>
    <n v="64027"/>
    <s v="EUR"/>
    <x v="12"/>
    <x v="1"/>
    <n v="0.2"/>
    <x v="1"/>
    <s v="Blue"/>
  </r>
  <r>
    <n v="435834606"/>
    <s v="Resul"/>
    <s v="Male"/>
    <n v="47701"/>
    <n v="3318"/>
    <n v="39"/>
    <n v="1.1754068716094032E-2"/>
    <x v="0"/>
    <n v="22"/>
    <n v="72996"/>
    <s v="EUR"/>
    <x v="13"/>
    <x v="7"/>
    <n v="0.2"/>
    <x v="0"/>
    <s v="Crimson"/>
  </r>
  <r>
    <n v="870449213"/>
    <s v="Beşir"/>
    <s v="Male"/>
    <n v="48545"/>
    <n v="4428"/>
    <n v="20"/>
    <n v="4.5167118337850042E-3"/>
    <x v="0"/>
    <n v="46"/>
    <n v="203688"/>
    <s v="EUR"/>
    <x v="14"/>
    <x v="0"/>
    <n v="0.2"/>
    <x v="0"/>
    <s v="Indigo"/>
  </r>
  <r>
    <n v="584472547"/>
    <s v="Yusuf"/>
    <s v="Male"/>
    <n v="47971"/>
    <n v="4687"/>
    <n v="22"/>
    <n v="4.6938340089609561E-3"/>
    <x v="0"/>
    <n v="22"/>
    <n v="103114"/>
    <s v="EUR"/>
    <x v="0"/>
    <x v="7"/>
    <n v="0.2"/>
    <x v="1"/>
    <s v="Indigo"/>
  </r>
  <r>
    <n v="12697449"/>
    <s v="Soner"/>
    <s v="Male"/>
    <n v="47651"/>
    <n v="4315"/>
    <n v="48"/>
    <n v="1.1123986095017382E-2"/>
    <x v="0"/>
    <n v="40"/>
    <n v="172600"/>
    <s v="EUR"/>
    <x v="1"/>
    <x v="5"/>
    <n v="0.2"/>
    <x v="0"/>
    <s v="Green"/>
  </r>
  <r>
    <n v="924558009"/>
    <s v="Ali"/>
    <s v="Male"/>
    <n v="48474"/>
    <n v="2072"/>
    <n v="31"/>
    <n v="1.4961389961389961E-2"/>
    <x v="0"/>
    <n v="35"/>
    <n v="72520"/>
    <s v="EUR"/>
    <x v="2"/>
    <x v="6"/>
    <n v="0.2"/>
    <x v="0"/>
    <s v="Violet"/>
  </r>
  <r>
    <n v="623823734"/>
    <s v="Hasan"/>
    <s v="Male"/>
    <n v="47868"/>
    <n v="3228"/>
    <n v="17"/>
    <n v="5.2664188351920693E-3"/>
    <x v="0"/>
    <n v="40"/>
    <n v="129120"/>
    <s v="EUR"/>
    <x v="3"/>
    <x v="10"/>
    <n v="0.2"/>
    <x v="0"/>
    <s v="Puce"/>
  </r>
  <r>
    <n v="171267869"/>
    <s v="Hüseyin"/>
    <s v="Male"/>
    <n v="48210"/>
    <n v="3422"/>
    <n v="27"/>
    <n v="7.8901227352425485E-3"/>
    <x v="1"/>
    <n v="24"/>
    <n v="82128"/>
    <s v="EUR"/>
    <x v="4"/>
    <x v="7"/>
    <n v="0.2"/>
    <x v="1"/>
    <s v="Pink"/>
  </r>
  <r>
    <n v="154149497"/>
    <s v="Canan"/>
    <s v="Female"/>
    <n v="47515"/>
    <n v="3310"/>
    <n v="39"/>
    <n v="1.1782477341389729E-2"/>
    <x v="0"/>
    <n v="43"/>
    <n v="142330"/>
    <s v="EUR"/>
    <x v="5"/>
    <x v="8"/>
    <n v="0.2"/>
    <x v="1"/>
    <s v="Indigo"/>
  </r>
  <r>
    <n v="539371108"/>
    <s v="Cansu"/>
    <s v="Female"/>
    <n v="48301"/>
    <n v="2688"/>
    <n v="40"/>
    <n v="1.488095238095238E-2"/>
    <x v="0"/>
    <n v="34"/>
    <n v="91392"/>
    <s v="EUR"/>
    <x v="6"/>
    <x v="4"/>
    <n v="0.2"/>
    <x v="1"/>
    <s v="Orange"/>
  </r>
  <r>
    <n v="552491928"/>
    <s v="Kenan"/>
    <s v="Male"/>
    <n v="47672"/>
    <n v="1514"/>
    <n v="14"/>
    <n v="9.247027741083224E-3"/>
    <x v="0"/>
    <n v="22"/>
    <n v="33308"/>
    <s v="EUR"/>
    <x v="6"/>
    <x v="1"/>
    <n v="0.2"/>
    <x v="0"/>
    <s v="Maroon"/>
  </r>
  <r>
    <n v="726659025"/>
    <s v="Mirza"/>
    <s v="Male"/>
    <n v="48402"/>
    <n v="4777"/>
    <n v="49"/>
    <n v="1.0257483776428721E-2"/>
    <x v="0"/>
    <n v="36"/>
    <n v="171972"/>
    <s v="EUR"/>
    <x v="7"/>
    <x v="6"/>
    <n v="0.2"/>
    <x v="1"/>
    <s v="Blue"/>
  </r>
  <r>
    <n v="741930424"/>
    <s v="Ebrar"/>
    <s v="Female"/>
    <n v="47590"/>
    <n v="2069"/>
    <n v="45"/>
    <n v="2.1749637506041565E-2"/>
    <x v="0"/>
    <n v="39"/>
    <n v="80691"/>
    <s v="EUR"/>
    <x v="8"/>
    <x v="8"/>
    <n v="0.2"/>
    <x v="1"/>
    <s v="Pink"/>
  </r>
  <r>
    <n v="927538153"/>
    <s v="Semih"/>
    <s v="Male"/>
    <n v="47951"/>
    <n v="1782"/>
    <n v="27"/>
    <n v="1.5151515151515152E-2"/>
    <x v="0"/>
    <n v="42"/>
    <n v="74844"/>
    <s v="EUR"/>
    <x v="9"/>
    <x v="4"/>
    <n v="0.2"/>
    <x v="1"/>
    <s v="Pink"/>
  </r>
  <r>
    <n v="646985588"/>
    <s v="Sevcan"/>
    <s v="Female"/>
    <n v="48572"/>
    <n v="2674"/>
    <n v="34"/>
    <n v="1.2715033657442034E-2"/>
    <x v="0"/>
    <n v="50"/>
    <n v="133700"/>
    <s v="EUR"/>
    <x v="10"/>
    <x v="9"/>
    <n v="0.2"/>
    <x v="1"/>
    <s v="Green"/>
  </r>
  <r>
    <n v="243554229"/>
    <s v="Sevtap"/>
    <s v="Female"/>
    <n v="47880"/>
    <n v="3603"/>
    <n v="19"/>
    <n v="5.2733832917013597E-3"/>
    <x v="0"/>
    <n v="37"/>
    <n v="133311"/>
    <s v="EUR"/>
    <x v="11"/>
    <x v="7"/>
    <n v="0.2"/>
    <x v="0"/>
    <s v="Teal"/>
  </r>
  <r>
    <n v="425162214"/>
    <s v="Kemal"/>
    <s v="Male"/>
    <n v="48407"/>
    <n v="1363"/>
    <n v="11"/>
    <n v="8.0704328686720464E-3"/>
    <x v="0"/>
    <n v="33"/>
    <n v="44979"/>
    <s v="EUR"/>
    <x v="12"/>
    <x v="4"/>
    <n v="0.2"/>
    <x v="0"/>
    <s v="Blue"/>
  </r>
  <r>
    <n v="994457386"/>
    <s v="Resul"/>
    <s v="Male"/>
    <n v="48226"/>
    <n v="2363"/>
    <n v="32"/>
    <n v="1.3542107490478206E-2"/>
    <x v="0"/>
    <n v="44"/>
    <n v="103972"/>
    <s v="EUR"/>
    <x v="13"/>
    <x v="7"/>
    <n v="0.2"/>
    <x v="1"/>
    <s v="Violet"/>
  </r>
  <r>
    <n v="911945639"/>
    <s v="Beşir"/>
    <s v="Male"/>
    <n v="47575"/>
    <n v="1576"/>
    <n v="42"/>
    <n v="2.6649746192893401E-2"/>
    <x v="0"/>
    <n v="27"/>
    <n v="42552"/>
    <s v="EUR"/>
    <x v="14"/>
    <x v="0"/>
    <n v="0.2"/>
    <x v="0"/>
    <s v="Turquoise"/>
  </r>
  <r>
    <n v="78892393"/>
    <s v="Yusuf"/>
    <s v="Male"/>
    <n v="48322"/>
    <n v="4216"/>
    <n v="48"/>
    <n v="1.1385199240986717E-2"/>
    <x v="1"/>
    <n v="49"/>
    <n v="206584"/>
    <s v="EUR"/>
    <x v="0"/>
    <x v="10"/>
    <n v="0.2"/>
    <x v="0"/>
    <s v="Fuscia"/>
  </r>
  <r>
    <n v="276073647"/>
    <s v="Soner"/>
    <s v="Male"/>
    <n v="48335"/>
    <n v="4776"/>
    <n v="22"/>
    <n v="4.6063651591289785E-3"/>
    <x v="0"/>
    <n v="31"/>
    <n v="148056"/>
    <s v="EUR"/>
    <x v="1"/>
    <x v="7"/>
    <n v="0.2"/>
    <x v="1"/>
    <s v="Orange"/>
  </r>
  <r>
    <n v="813511693"/>
    <s v="Ali"/>
    <s v="Male"/>
    <n v="47834"/>
    <n v="3586"/>
    <n v="50"/>
    <n v="1.3943112102621304E-2"/>
    <x v="0"/>
    <n v="49"/>
    <n v="175714"/>
    <s v="EUR"/>
    <x v="2"/>
    <x v="7"/>
    <n v="0.2"/>
    <x v="0"/>
    <s v="Red"/>
  </r>
  <r>
    <n v="943093184"/>
    <s v="Hasan"/>
    <s v="Male"/>
    <n v="48574"/>
    <n v="3184"/>
    <n v="35"/>
    <n v="1.099246231155779E-2"/>
    <x v="0"/>
    <n v="20"/>
    <n v="63680"/>
    <s v="EUR"/>
    <x v="3"/>
    <x v="2"/>
    <n v="0.2"/>
    <x v="1"/>
    <s v="Green"/>
  </r>
  <r>
    <n v="387578502"/>
    <s v="Hüseyin"/>
    <s v="Male"/>
    <n v="47654"/>
    <n v="1832"/>
    <n v="21"/>
    <n v="1.146288209606987E-2"/>
    <x v="0"/>
    <n v="30"/>
    <n v="54960"/>
    <s v="EUR"/>
    <x v="4"/>
    <x v="7"/>
    <n v="0.2"/>
    <x v="1"/>
    <s v="Purple"/>
  </r>
  <r>
    <n v="295269372"/>
    <s v="Canan"/>
    <s v="Female"/>
    <n v="47891"/>
    <n v="3244"/>
    <n v="36"/>
    <n v="1.1097410604192354E-2"/>
    <x v="0"/>
    <n v="29"/>
    <n v="94076"/>
    <s v="EUR"/>
    <x v="5"/>
    <x v="2"/>
    <n v="0.2"/>
    <x v="1"/>
    <s v="Violet"/>
  </r>
  <r>
    <n v="19517406"/>
    <s v="Cansu"/>
    <s v="Female"/>
    <n v="48067"/>
    <n v="2280"/>
    <n v="17"/>
    <n v="7.4561403508771927E-3"/>
    <x v="0"/>
    <n v="49"/>
    <n v="111720"/>
    <s v="EUR"/>
    <x v="6"/>
    <x v="6"/>
    <n v="0.2"/>
    <x v="0"/>
    <s v="Indigo"/>
  </r>
  <r>
    <n v="20850405"/>
    <s v="Kenan"/>
    <s v="Male"/>
    <n v="47654"/>
    <n v="3137"/>
    <n v="37"/>
    <n v="1.1794708320051004E-2"/>
    <x v="0"/>
    <n v="44"/>
    <n v="138028"/>
    <s v="EUR"/>
    <x v="6"/>
    <x v="4"/>
    <n v="0.2"/>
    <x v="1"/>
    <s v="Fuscia"/>
  </r>
  <r>
    <n v="246527946"/>
    <s v="Mirza"/>
    <s v="Male"/>
    <n v="47485"/>
    <n v="4984"/>
    <n v="32"/>
    <n v="6.420545746388443E-3"/>
    <x v="0"/>
    <n v="42"/>
    <n v="209328"/>
    <s v="EUR"/>
    <x v="7"/>
    <x v="10"/>
    <n v="0.2"/>
    <x v="0"/>
    <s v="Violet"/>
  </r>
  <r>
    <n v="38031517"/>
    <s v="Ebrar"/>
    <s v="Female"/>
    <n v="48115"/>
    <n v="4072"/>
    <n v="27"/>
    <n v="6.6306483300589388E-3"/>
    <x v="0"/>
    <n v="47"/>
    <n v="191384"/>
    <s v="EUR"/>
    <x v="8"/>
    <x v="9"/>
    <n v="0.2"/>
    <x v="1"/>
    <s v="Blue"/>
  </r>
  <r>
    <n v="25680660"/>
    <s v="Semih"/>
    <s v="Male"/>
    <n v="48392"/>
    <n v="4039"/>
    <n v="39"/>
    <n v="9.6558554097548894E-3"/>
    <x v="0"/>
    <n v="36"/>
    <n v="145404"/>
    <s v="EUR"/>
    <x v="9"/>
    <x v="4"/>
    <n v="0.2"/>
    <x v="0"/>
    <s v="Blue"/>
  </r>
  <r>
    <n v="201916830"/>
    <s v="Sevcan"/>
    <s v="Female"/>
    <n v="48087"/>
    <n v="3668"/>
    <n v="14"/>
    <n v="3.8167938931297708E-3"/>
    <x v="0"/>
    <n v="27"/>
    <n v="99036"/>
    <s v="EUR"/>
    <x v="10"/>
    <x v="2"/>
    <n v="0.2"/>
    <x v="1"/>
    <s v="Pink"/>
  </r>
  <r>
    <n v="849122570"/>
    <s v="Sevtap"/>
    <s v="Female"/>
    <n v="47603"/>
    <n v="4372"/>
    <n v="41"/>
    <n v="9.3778591033851777E-3"/>
    <x v="0"/>
    <n v="47"/>
    <n v="205484"/>
    <s v="EUR"/>
    <x v="11"/>
    <x v="1"/>
    <n v="0.2"/>
    <x v="1"/>
    <s v="Red"/>
  </r>
  <r>
    <n v="675953484"/>
    <s v="Kemal"/>
    <s v="Male"/>
    <n v="48103"/>
    <n v="2715"/>
    <n v="27"/>
    <n v="9.9447513812154689E-3"/>
    <x v="0"/>
    <n v="48"/>
    <n v="130320"/>
    <s v="EUR"/>
    <x v="12"/>
    <x v="0"/>
    <n v="0.2"/>
    <x v="0"/>
    <s v="Violet"/>
  </r>
  <r>
    <n v="315467638"/>
    <s v="Resul"/>
    <s v="Male"/>
    <n v="48074"/>
    <n v="3933"/>
    <n v="11"/>
    <n v="2.7968471904398677E-3"/>
    <x v="0"/>
    <n v="25"/>
    <n v="98325"/>
    <s v="EUR"/>
    <x v="13"/>
    <x v="6"/>
    <n v="0.2"/>
    <x v="0"/>
    <s v="Aquamarine"/>
  </r>
  <r>
    <n v="742463996"/>
    <s v="Hüseyin"/>
    <s v="Male"/>
    <n v="47961"/>
    <n v="3370"/>
    <n v="35"/>
    <n v="1.0385756676557863E-2"/>
    <x v="0"/>
    <n v="30"/>
    <n v="101100"/>
    <s v="EUR"/>
    <x v="14"/>
    <x v="4"/>
    <n v="0.2"/>
    <x v="0"/>
    <s v="Crimson"/>
  </r>
  <r>
    <n v="953831038"/>
    <s v="Canan"/>
    <s v="Female"/>
    <n v="48149"/>
    <n v="4019"/>
    <n v="22"/>
    <n v="5.4739985070913159E-3"/>
    <x v="0"/>
    <n v="33"/>
    <n v="132627"/>
    <s v="EUR"/>
    <x v="0"/>
    <x v="0"/>
    <n v="0.2"/>
    <x v="0"/>
    <s v="Violet"/>
  </r>
  <r>
    <n v="792138493"/>
    <s v="Cansu"/>
    <s v="Female"/>
    <n v="47720"/>
    <n v="4811"/>
    <n v="32"/>
    <n v="6.6514238204115565E-3"/>
    <x v="0"/>
    <n v="29"/>
    <n v="139519"/>
    <s v="EUR"/>
    <x v="1"/>
    <x v="2"/>
    <n v="0.2"/>
    <x v="1"/>
    <s v="Red"/>
  </r>
  <r>
    <n v="569415845"/>
    <s v="Kenan"/>
    <s v="Male"/>
    <n v="48253"/>
    <n v="3942"/>
    <n v="45"/>
    <n v="1.1415525114155251E-2"/>
    <x v="0"/>
    <n v="50"/>
    <n v="197100"/>
    <s v="EUR"/>
    <x v="2"/>
    <x v="1"/>
    <n v="0.2"/>
    <x v="1"/>
    <s v="Purple"/>
  </r>
  <r>
    <n v="533671115"/>
    <s v="Mirza"/>
    <s v="Male"/>
    <n v="47840"/>
    <n v="4541"/>
    <n v="50"/>
    <n v="1.1010790574763268E-2"/>
    <x v="0"/>
    <n v="48"/>
    <n v="217968"/>
    <s v="EUR"/>
    <x v="3"/>
    <x v="7"/>
    <n v="0.2"/>
    <x v="0"/>
    <s v="Fuscia"/>
  </r>
  <r>
    <n v="219828040"/>
    <s v="Ebrar"/>
    <s v="Female"/>
    <n v="48468"/>
    <n v="2831"/>
    <n v="37"/>
    <n v="1.3069586718474038E-2"/>
    <x v="0"/>
    <n v="21"/>
    <n v="59451"/>
    <s v="EUR"/>
    <x v="4"/>
    <x v="1"/>
    <n v="0.2"/>
    <x v="1"/>
    <s v="Mauv"/>
  </r>
  <r>
    <n v="641743385"/>
    <s v="Semih"/>
    <s v="Male"/>
    <n v="47545"/>
    <n v="1159"/>
    <n v="28"/>
    <n v="2.4158757549611734E-2"/>
    <x v="0"/>
    <n v="33"/>
    <n v="38247"/>
    <s v="EUR"/>
    <x v="5"/>
    <x v="0"/>
    <n v="0.2"/>
    <x v="1"/>
    <s v="Red"/>
  </r>
  <r>
    <n v="850697994"/>
    <s v="Sevcan"/>
    <s v="Female"/>
    <n v="47622"/>
    <n v="1594"/>
    <n v="15"/>
    <n v="9.4102885821831864E-3"/>
    <x v="1"/>
    <n v="22"/>
    <n v="35068"/>
    <s v="EUR"/>
    <x v="6"/>
    <x v="2"/>
    <n v="0.2"/>
    <x v="0"/>
    <s v="Violet"/>
  </r>
  <r>
    <n v="688884610"/>
    <s v="Sevtap"/>
    <s v="Female"/>
    <n v="48172"/>
    <n v="4146"/>
    <n v="39"/>
    <n v="9.4066570188133143E-3"/>
    <x v="0"/>
    <n v="22"/>
    <n v="91212"/>
    <s v="EUR"/>
    <x v="6"/>
    <x v="8"/>
    <n v="0.2"/>
    <x v="0"/>
    <s v="Purple"/>
  </r>
  <r>
    <n v="547557786"/>
    <s v="Kemal"/>
    <s v="Male"/>
    <n v="47719"/>
    <n v="3008"/>
    <n v="19"/>
    <n v="6.3164893617021272E-3"/>
    <x v="0"/>
    <n v="22"/>
    <n v="66176"/>
    <s v="EUR"/>
    <x v="7"/>
    <x v="8"/>
    <n v="0.2"/>
    <x v="0"/>
    <s v="Fuscia"/>
  </r>
  <r>
    <n v="708403838"/>
    <s v="Resul"/>
    <s v="Male"/>
    <n v="48564"/>
    <n v="2832"/>
    <n v="40"/>
    <n v="1.4124293785310734E-2"/>
    <x v="0"/>
    <n v="20"/>
    <n v="56640"/>
    <s v="EUR"/>
    <x v="8"/>
    <x v="10"/>
    <n v="0.2"/>
    <x v="1"/>
    <s v="Goldenrod"/>
  </r>
  <r>
    <n v="605589590"/>
    <s v="Beşir"/>
    <s v="Male"/>
    <n v="48410"/>
    <n v="1662"/>
    <n v="27"/>
    <n v="1.6245487364620937E-2"/>
    <x v="0"/>
    <n v="41"/>
    <n v="68142"/>
    <s v="EUR"/>
    <x v="9"/>
    <x v="3"/>
    <n v="0.2"/>
    <x v="0"/>
    <s v="Mauv"/>
  </r>
  <r>
    <n v="626668653"/>
    <s v="Yusuf"/>
    <s v="Male"/>
    <n v="47801"/>
    <n v="4624"/>
    <n v="25"/>
    <n v="5.4065743944636674E-3"/>
    <x v="0"/>
    <n v="47"/>
    <n v="217328"/>
    <s v="EUR"/>
    <x v="10"/>
    <x v="9"/>
    <n v="0.2"/>
    <x v="0"/>
    <s v="Fuscia"/>
  </r>
  <r>
    <n v="630499851"/>
    <s v="Soner"/>
    <s v="Male"/>
    <n v="48299"/>
    <n v="4533"/>
    <n v="33"/>
    <n v="7.2799470549305099E-3"/>
    <x v="0"/>
    <n v="22"/>
    <n v="99726"/>
    <s v="EUR"/>
    <x v="11"/>
    <x v="0"/>
    <n v="0.2"/>
    <x v="1"/>
    <s v="Fuscia"/>
  </r>
  <r>
    <n v="544775843"/>
    <s v="Ali"/>
    <s v="Male"/>
    <n v="47681"/>
    <n v="1126"/>
    <n v="39"/>
    <n v="3.4635879218472471E-2"/>
    <x v="0"/>
    <n v="50"/>
    <n v="56300"/>
    <s v="EUR"/>
    <x v="12"/>
    <x v="9"/>
    <n v="0.2"/>
    <x v="1"/>
    <s v="Khaki"/>
  </r>
  <r>
    <n v="262973964"/>
    <s v="Hasan"/>
    <s v="Male"/>
    <n v="48190"/>
    <n v="2624"/>
    <n v="31"/>
    <n v="1.1814024390243903E-2"/>
    <x v="0"/>
    <n v="31"/>
    <n v="81344"/>
    <s v="EUR"/>
    <x v="13"/>
    <x v="8"/>
    <n v="0.2"/>
    <x v="1"/>
    <s v="Maroon"/>
  </r>
  <r>
    <n v="196246777"/>
    <s v="Hüseyin"/>
    <s v="Male"/>
    <n v="48294"/>
    <n v="3709"/>
    <n v="50"/>
    <n v="1.3480722566729577E-2"/>
    <x v="0"/>
    <n v="38"/>
    <n v="140942"/>
    <s v="EUR"/>
    <x v="14"/>
    <x v="2"/>
    <n v="0.2"/>
    <x v="0"/>
    <s v="Teal"/>
  </r>
  <r>
    <n v="149586616"/>
    <s v="Canan"/>
    <s v="Female"/>
    <n v="48466"/>
    <n v="1851"/>
    <n v="26"/>
    <n v="1.4046461372231226E-2"/>
    <x v="0"/>
    <n v="34"/>
    <n v="62934"/>
    <s v="EUR"/>
    <x v="0"/>
    <x v="9"/>
    <n v="0.2"/>
    <x v="0"/>
    <s v="Blue"/>
  </r>
  <r>
    <n v="692268099"/>
    <s v="Cansu"/>
    <s v="Female"/>
    <n v="48521"/>
    <n v="3739"/>
    <n v="25"/>
    <n v="6.6862797539449055E-3"/>
    <x v="0"/>
    <n v="39"/>
    <n v="145821"/>
    <s v="EUR"/>
    <x v="1"/>
    <x v="3"/>
    <n v="0.2"/>
    <x v="0"/>
    <s v="Puce"/>
  </r>
  <r>
    <n v="462621179"/>
    <s v="Kenan"/>
    <s v="Male"/>
    <n v="47866"/>
    <n v="2332"/>
    <n v="30"/>
    <n v="1.2864493996569469E-2"/>
    <x v="0"/>
    <n v="36"/>
    <n v="83952"/>
    <s v="EUR"/>
    <x v="2"/>
    <x v="2"/>
    <n v="0.2"/>
    <x v="1"/>
    <s v="Green"/>
  </r>
  <r>
    <n v="80702838"/>
    <s v="Mirza"/>
    <s v="Male"/>
    <n v="48170"/>
    <n v="3125"/>
    <n v="46"/>
    <n v="1.472E-2"/>
    <x v="0"/>
    <n v="26"/>
    <n v="81250"/>
    <s v="EUR"/>
    <x v="3"/>
    <x v="4"/>
    <n v="0.2"/>
    <x v="1"/>
    <s v="Fuscia"/>
  </r>
  <r>
    <n v="649940512"/>
    <s v="Ebrar"/>
    <s v="Female"/>
    <n v="48064"/>
    <n v="2322"/>
    <n v="43"/>
    <n v="1.8518518518518517E-2"/>
    <x v="0"/>
    <n v="37"/>
    <n v="85914"/>
    <s v="EUR"/>
    <x v="4"/>
    <x v="4"/>
    <n v="0.2"/>
    <x v="0"/>
    <s v="Crimson"/>
  </r>
  <r>
    <n v="298790729"/>
    <s v="Semih"/>
    <s v="Male"/>
    <n v="48377"/>
    <n v="4778"/>
    <n v="25"/>
    <n v="5.232314776056928E-3"/>
    <x v="0"/>
    <n v="27"/>
    <n v="129006"/>
    <s v="EUR"/>
    <x v="5"/>
    <x v="7"/>
    <n v="0.2"/>
    <x v="1"/>
    <s v="Mauv"/>
  </r>
  <r>
    <n v="815921135"/>
    <s v="Sevcan"/>
    <s v="Female"/>
    <n v="48312"/>
    <n v="1902"/>
    <n v="41"/>
    <n v="2.1556256572029444E-2"/>
    <x v="0"/>
    <n v="47"/>
    <n v="89394"/>
    <s v="EUR"/>
    <x v="6"/>
    <x v="10"/>
    <n v="0.2"/>
    <x v="1"/>
    <s v="Yellow"/>
  </r>
  <r>
    <n v="664758955"/>
    <s v="Sevtap"/>
    <s v="Female"/>
    <n v="47600"/>
    <n v="4097"/>
    <n v="27"/>
    <n v="6.5901879423968758E-3"/>
    <x v="0"/>
    <n v="44"/>
    <n v="180268"/>
    <s v="EUR"/>
    <x v="6"/>
    <x v="6"/>
    <n v="0.2"/>
    <x v="1"/>
    <s v="Crimson"/>
  </r>
  <r>
    <n v="767685395"/>
    <s v="Kemal"/>
    <s v="Male"/>
    <n v="47586"/>
    <n v="4890"/>
    <n v="36"/>
    <n v="7.3619631901840491E-3"/>
    <x v="0"/>
    <n v="45"/>
    <n v="220050"/>
    <s v="EUR"/>
    <x v="7"/>
    <x v="5"/>
    <n v="0.2"/>
    <x v="0"/>
    <s v="Pink"/>
  </r>
  <r>
    <n v="300921066"/>
    <s v="Resul"/>
    <s v="Male"/>
    <n v="48041"/>
    <n v="2091"/>
    <n v="45"/>
    <n v="2.1520803443328552E-2"/>
    <x v="0"/>
    <n v="32"/>
    <n v="66912"/>
    <s v="EUR"/>
    <x v="8"/>
    <x v="4"/>
    <n v="0.2"/>
    <x v="0"/>
    <s v="Purple"/>
  </r>
  <r>
    <n v="374236235"/>
    <s v="Beşir"/>
    <s v="Male"/>
    <n v="48235"/>
    <n v="1393"/>
    <n v="41"/>
    <n v="2.9432878679109833E-2"/>
    <x v="0"/>
    <n v="23"/>
    <n v="32039"/>
    <s v="EUR"/>
    <x v="9"/>
    <x v="9"/>
    <n v="0.2"/>
    <x v="1"/>
    <s v="Red"/>
  </r>
  <r>
    <n v="27927688"/>
    <s v="Yusuf"/>
    <s v="Male"/>
    <n v="47680"/>
    <n v="3209"/>
    <n v="10"/>
    <n v="3.1162355874104083E-3"/>
    <x v="0"/>
    <n v="27"/>
    <n v="86643"/>
    <s v="EUR"/>
    <x v="10"/>
    <x v="8"/>
    <n v="0.2"/>
    <x v="1"/>
    <s v="Green"/>
  </r>
  <r>
    <n v="258447172"/>
    <s v="Soner"/>
    <s v="Male"/>
    <n v="48526"/>
    <n v="4500"/>
    <n v="22"/>
    <n v="4.8888888888888888E-3"/>
    <x v="0"/>
    <n v="40"/>
    <n v="180000"/>
    <s v="EUR"/>
    <x v="11"/>
    <x v="9"/>
    <n v="0.2"/>
    <x v="1"/>
    <s v="Green"/>
  </r>
  <r>
    <n v="119038291"/>
    <s v="Ali"/>
    <s v="Male"/>
    <n v="48400"/>
    <n v="4309"/>
    <n v="18"/>
    <n v="4.1773033186354143E-3"/>
    <x v="0"/>
    <n v="20"/>
    <n v="86180"/>
    <s v="EUR"/>
    <x v="12"/>
    <x v="5"/>
    <n v="0.2"/>
    <x v="1"/>
    <s v="Purple"/>
  </r>
  <r>
    <n v="973956056"/>
    <s v="Hasan"/>
    <s v="Male"/>
    <n v="47856"/>
    <n v="2433"/>
    <n v="36"/>
    <n v="1.4796547472256474E-2"/>
    <x v="0"/>
    <n v="41"/>
    <n v="99753"/>
    <s v="EUR"/>
    <x v="13"/>
    <x v="2"/>
    <n v="0.2"/>
    <x v="1"/>
    <s v="Yellow"/>
  </r>
  <r>
    <n v="766508716"/>
    <s v="Hüseyin"/>
    <s v="Male"/>
    <n v="48235"/>
    <n v="4707"/>
    <n v="44"/>
    <n v="9.3477799022732098E-3"/>
    <x v="0"/>
    <n v="27"/>
    <n v="127089"/>
    <s v="EUR"/>
    <x v="14"/>
    <x v="8"/>
    <n v="0.2"/>
    <x v="1"/>
    <s v="Puce"/>
  </r>
  <r>
    <n v="371197510"/>
    <s v="Canan"/>
    <s v="Female"/>
    <n v="48325"/>
    <n v="1417"/>
    <n v="43"/>
    <n v="3.0345800988002825E-2"/>
    <x v="0"/>
    <n v="48"/>
    <n v="68016"/>
    <s v="EUR"/>
    <x v="0"/>
    <x v="3"/>
    <n v="0.2"/>
    <x v="0"/>
    <s v="Red"/>
  </r>
  <r>
    <n v="924067028"/>
    <s v="Cansu"/>
    <s v="Female"/>
    <n v="48492"/>
    <n v="3631"/>
    <n v="27"/>
    <n v="7.4359680528779948E-3"/>
    <x v="0"/>
    <n v="23"/>
    <n v="83513"/>
    <s v="EUR"/>
    <x v="1"/>
    <x v="5"/>
    <n v="0.2"/>
    <x v="1"/>
    <s v="Khaki"/>
  </r>
  <r>
    <n v="693093102"/>
    <s v="Kenan"/>
    <s v="Male"/>
    <n v="47664"/>
    <n v="1253"/>
    <n v="50"/>
    <n v="3.9904229848363927E-2"/>
    <x v="0"/>
    <n v="34"/>
    <n v="42602"/>
    <s v="EUR"/>
    <x v="2"/>
    <x v="9"/>
    <n v="0.2"/>
    <x v="1"/>
    <s v="Blue"/>
  </r>
  <r>
    <n v="595484877"/>
    <s v="Mirza"/>
    <s v="Male"/>
    <n v="47825"/>
    <n v="1370"/>
    <n v="15"/>
    <n v="1.0948905109489052E-2"/>
    <x v="0"/>
    <n v="24"/>
    <n v="32880"/>
    <s v="EUR"/>
    <x v="3"/>
    <x v="8"/>
    <n v="0.2"/>
    <x v="1"/>
    <s v="Mauv"/>
  </r>
  <r>
    <n v="263757086"/>
    <s v="Ebrar"/>
    <s v="Female"/>
    <n v="47985"/>
    <n v="2671"/>
    <n v="30"/>
    <n v="1.1231748408835642E-2"/>
    <x v="0"/>
    <n v="37"/>
    <n v="98827"/>
    <s v="EUR"/>
    <x v="4"/>
    <x v="7"/>
    <n v="0.2"/>
    <x v="1"/>
    <s v="Mauv"/>
  </r>
  <r>
    <n v="515710242"/>
    <s v="Semih"/>
    <s v="Male"/>
    <n v="47752"/>
    <n v="1421"/>
    <n v="10"/>
    <n v="7.0372976776917661E-3"/>
    <x v="0"/>
    <n v="33"/>
    <n v="46893"/>
    <s v="EUR"/>
    <x v="5"/>
    <x v="3"/>
    <n v="0.2"/>
    <x v="1"/>
    <s v="Green"/>
  </r>
  <r>
    <n v="834263333"/>
    <s v="Sevcan"/>
    <s v="Female"/>
    <n v="48171"/>
    <n v="1504"/>
    <n v="27"/>
    <n v="1.795212765957447E-2"/>
    <x v="0"/>
    <n v="43"/>
    <n v="64672"/>
    <s v="EUR"/>
    <x v="6"/>
    <x v="5"/>
    <n v="0.2"/>
    <x v="1"/>
    <s v="Indigo"/>
  </r>
  <r>
    <n v="470906401"/>
    <s v="Sevtap"/>
    <s v="Female"/>
    <n v="48194"/>
    <n v="1870"/>
    <n v="30"/>
    <n v="1.6042780748663103E-2"/>
    <x v="0"/>
    <n v="34"/>
    <n v="63580"/>
    <s v="EUR"/>
    <x v="6"/>
    <x v="2"/>
    <n v="0.2"/>
    <x v="0"/>
    <s v="Yellow"/>
  </r>
  <r>
    <n v="492420489"/>
    <s v="Kemal"/>
    <s v="Male"/>
    <n v="48484"/>
    <n v="2866"/>
    <n v="13"/>
    <n v="4.5359385903698535E-3"/>
    <x v="0"/>
    <n v="24"/>
    <n v="68784"/>
    <s v="EUR"/>
    <x v="7"/>
    <x v="2"/>
    <n v="0.2"/>
    <x v="0"/>
    <s v="Turquoise"/>
  </r>
  <r>
    <n v="167553177"/>
    <s v="Resul"/>
    <s v="Male"/>
    <n v="47643"/>
    <n v="3507"/>
    <n v="29"/>
    <n v="8.2691759338465922E-3"/>
    <x v="0"/>
    <n v="42"/>
    <n v="147294"/>
    <s v="EUR"/>
    <x v="8"/>
    <x v="5"/>
    <n v="0.2"/>
    <x v="0"/>
    <s v="Mauv"/>
  </r>
  <r>
    <n v="652259052"/>
    <s v="Resul"/>
    <s v="Male"/>
    <n v="47894"/>
    <n v="1808"/>
    <n v="49"/>
    <n v="2.7101769911504425E-2"/>
    <x v="0"/>
    <n v="36"/>
    <n v="65088"/>
    <s v="EUR"/>
    <x v="9"/>
    <x v="10"/>
    <n v="0.2"/>
    <x v="1"/>
    <s v="Teal"/>
  </r>
  <r>
    <n v="71087341"/>
    <s v="Beşir"/>
    <s v="Male"/>
    <n v="47540"/>
    <n v="2566"/>
    <n v="25"/>
    <n v="9.7427903351519872E-3"/>
    <x v="0"/>
    <n v="26"/>
    <n v="66716"/>
    <s v="EUR"/>
    <x v="10"/>
    <x v="3"/>
    <n v="0.2"/>
    <x v="1"/>
    <s v="Crimson"/>
  </r>
  <r>
    <n v="20050724"/>
    <s v="Yusuf"/>
    <s v="Male"/>
    <n v="48351"/>
    <n v="2017"/>
    <n v="49"/>
    <n v="2.4293505205751114E-2"/>
    <x v="0"/>
    <n v="44"/>
    <n v="88748"/>
    <s v="EUR"/>
    <x v="11"/>
    <x v="5"/>
    <n v="0.2"/>
    <x v="1"/>
    <s v="Goldenrod"/>
  </r>
  <r>
    <n v="909416600"/>
    <s v="Soner"/>
    <s v="Male"/>
    <n v="48406"/>
    <n v="1208"/>
    <n v="35"/>
    <n v="2.8973509933774833E-2"/>
    <x v="1"/>
    <n v="34"/>
    <n v="41072"/>
    <s v="EUR"/>
    <x v="12"/>
    <x v="9"/>
    <n v="0.2"/>
    <x v="0"/>
    <s v="Turquoise"/>
  </r>
  <r>
    <n v="669131878"/>
    <s v="Ali"/>
    <s v="Male"/>
    <n v="47564"/>
    <n v="1710"/>
    <n v="45"/>
    <n v="2.6315789473684209E-2"/>
    <x v="0"/>
    <n v="45"/>
    <n v="76950"/>
    <s v="EUR"/>
    <x v="13"/>
    <x v="5"/>
    <n v="0.2"/>
    <x v="1"/>
    <s v="Purple"/>
  </r>
  <r>
    <n v="753259144"/>
    <s v="Hasan"/>
    <s v="Male"/>
    <n v="48215"/>
    <n v="3800"/>
    <n v="40"/>
    <n v="1.0526315789473684E-2"/>
    <x v="0"/>
    <n v="21"/>
    <n v="79800"/>
    <s v="EUR"/>
    <x v="14"/>
    <x v="10"/>
    <n v="0.2"/>
    <x v="0"/>
    <s v="Teal"/>
  </r>
  <r>
    <n v="453683244"/>
    <s v="Hüseyin"/>
    <s v="Male"/>
    <n v="47883"/>
    <n v="2881"/>
    <n v="35"/>
    <n v="1.2148559527941687E-2"/>
    <x v="0"/>
    <n v="49"/>
    <n v="141169"/>
    <s v="EUR"/>
    <x v="0"/>
    <x v="0"/>
    <n v="0.2"/>
    <x v="0"/>
    <s v="Goldenrod"/>
  </r>
  <r>
    <n v="271994584"/>
    <s v="Canan"/>
    <s v="Female"/>
    <n v="47657"/>
    <n v="4274"/>
    <n v="41"/>
    <n v="9.5928872250818902E-3"/>
    <x v="0"/>
    <n v="27"/>
    <n v="115398"/>
    <s v="EUR"/>
    <x v="1"/>
    <x v="9"/>
    <n v="0.2"/>
    <x v="0"/>
    <s v="Red"/>
  </r>
  <r>
    <n v="199244562"/>
    <s v="Cansu"/>
    <s v="Female"/>
    <n v="48218"/>
    <n v="1385"/>
    <n v="25"/>
    <n v="1.8050541516245487E-2"/>
    <x v="0"/>
    <n v="32"/>
    <n v="44320"/>
    <s v="EUR"/>
    <x v="2"/>
    <x v="4"/>
    <n v="0.2"/>
    <x v="0"/>
    <s v="Green"/>
  </r>
  <r>
    <n v="40639473"/>
    <s v="Kenan"/>
    <s v="Male"/>
    <n v="47765"/>
    <n v="2164"/>
    <n v="27"/>
    <n v="1.2476894639556377E-2"/>
    <x v="1"/>
    <n v="46"/>
    <n v="99544"/>
    <s v="EUR"/>
    <x v="3"/>
    <x v="1"/>
    <n v="0.2"/>
    <x v="1"/>
    <s v="Teal"/>
  </r>
  <r>
    <n v="950125762"/>
    <s v="Mirza"/>
    <s v="Male"/>
    <n v="48432"/>
    <n v="2869"/>
    <n v="21"/>
    <n v="7.3196235622168E-3"/>
    <x v="0"/>
    <n v="23"/>
    <n v="65987"/>
    <s v="EUR"/>
    <x v="4"/>
    <x v="1"/>
    <n v="0.2"/>
    <x v="0"/>
    <s v="Teal"/>
  </r>
  <r>
    <n v="828770349"/>
    <s v="Ebrar"/>
    <s v="Female"/>
    <n v="48194"/>
    <n v="3338"/>
    <n v="28"/>
    <n v="8.3882564409826239E-3"/>
    <x v="0"/>
    <n v="43"/>
    <n v="143534"/>
    <s v="EUR"/>
    <x v="5"/>
    <x v="1"/>
    <n v="0.2"/>
    <x v="1"/>
    <s v="Blue"/>
  </r>
  <r>
    <n v="605576136"/>
    <s v="Semih"/>
    <s v="Male"/>
    <n v="48337"/>
    <n v="2047"/>
    <n v="22"/>
    <n v="1.074743527112848E-2"/>
    <x v="0"/>
    <n v="37"/>
    <n v="75739"/>
    <s v="EUR"/>
    <x v="6"/>
    <x v="9"/>
    <n v="0.2"/>
    <x v="1"/>
    <s v="Pink"/>
  </r>
  <r>
    <n v="763252820"/>
    <s v="Sevcan"/>
    <s v="Female"/>
    <n v="48015"/>
    <n v="3074"/>
    <n v="11"/>
    <n v="3.5783994795055302E-3"/>
    <x v="0"/>
    <n v="49"/>
    <n v="150626"/>
    <s v="EUR"/>
    <x v="6"/>
    <x v="6"/>
    <n v="0.2"/>
    <x v="0"/>
    <s v="Red"/>
  </r>
  <r>
    <n v="582878971"/>
    <s v="Sevtap"/>
    <s v="Female"/>
    <n v="47658"/>
    <n v="3645"/>
    <n v="49"/>
    <n v="1.3443072702331962E-2"/>
    <x v="0"/>
    <n v="27"/>
    <n v="98415"/>
    <s v="EUR"/>
    <x v="7"/>
    <x v="6"/>
    <n v="0.2"/>
    <x v="1"/>
    <s v="Fuscia"/>
  </r>
  <r>
    <n v="833262378"/>
    <s v="Kemal"/>
    <s v="Male"/>
    <n v="47606"/>
    <n v="1306"/>
    <n v="24"/>
    <n v="1.8376722817764167E-2"/>
    <x v="0"/>
    <n v="47"/>
    <n v="61382"/>
    <s v="EUR"/>
    <x v="8"/>
    <x v="2"/>
    <n v="0.2"/>
    <x v="0"/>
    <s v="Yellow"/>
  </r>
  <r>
    <n v="134641486"/>
    <s v="Resul"/>
    <s v="Male"/>
    <n v="48236"/>
    <n v="3946"/>
    <n v="49"/>
    <n v="1.2417638114546376E-2"/>
    <x v="1"/>
    <n v="37"/>
    <n v="146002"/>
    <s v="EUR"/>
    <x v="9"/>
    <x v="2"/>
    <n v="0.2"/>
    <x v="0"/>
    <s v="Pink"/>
  </r>
  <r>
    <n v="573938383"/>
    <s v="Hüseyin"/>
    <s v="Male"/>
    <n v="48308"/>
    <n v="3536"/>
    <n v="13"/>
    <n v="3.6764705882352941E-3"/>
    <x v="0"/>
    <n v="25"/>
    <n v="88400"/>
    <s v="EUR"/>
    <x v="10"/>
    <x v="3"/>
    <n v="0.2"/>
    <x v="0"/>
    <s v="Fuscia"/>
  </r>
  <r>
    <n v="704740906"/>
    <s v="Canan"/>
    <s v="Female"/>
    <n v="47673"/>
    <n v="3722"/>
    <n v="17"/>
    <n v="4.5674368619022035E-3"/>
    <x v="1"/>
    <n v="34"/>
    <n v="126548"/>
    <s v="EUR"/>
    <x v="11"/>
    <x v="6"/>
    <n v="0.2"/>
    <x v="1"/>
    <s v="Crimson"/>
  </r>
  <r>
    <n v="336303704"/>
    <s v="Cansu"/>
    <s v="Female"/>
    <n v="47871"/>
    <n v="3038"/>
    <n v="40"/>
    <n v="1.3166556945358789E-2"/>
    <x v="0"/>
    <n v="22"/>
    <n v="66836"/>
    <s v="EUR"/>
    <x v="12"/>
    <x v="6"/>
    <n v="0.2"/>
    <x v="1"/>
    <s v="Orange"/>
  </r>
  <r>
    <n v="415317580"/>
    <s v="Kenan"/>
    <s v="Male"/>
    <n v="48572"/>
    <n v="4320"/>
    <n v="41"/>
    <n v="9.4907407407407406E-3"/>
    <x v="0"/>
    <n v="27"/>
    <n v="116640"/>
    <s v="EUR"/>
    <x v="13"/>
    <x v="10"/>
    <n v="0.2"/>
    <x v="0"/>
    <s v="Orange"/>
  </r>
  <r>
    <n v="540091878"/>
    <s v="Mirza"/>
    <s v="Male"/>
    <n v="47963"/>
    <n v="4344"/>
    <n v="19"/>
    <n v="4.3738489871086557E-3"/>
    <x v="1"/>
    <n v="39"/>
    <n v="169416"/>
    <s v="EUR"/>
    <x v="14"/>
    <x v="3"/>
    <n v="0.2"/>
    <x v="0"/>
    <s v="Crimson"/>
  </r>
  <r>
    <n v="767146035"/>
    <s v="Ebrar"/>
    <s v="Female"/>
    <n v="48476"/>
    <n v="2624"/>
    <n v="12"/>
    <n v="4.5731707317073168E-3"/>
    <x v="0"/>
    <n v="42"/>
    <n v="110208"/>
    <s v="EUR"/>
    <x v="0"/>
    <x v="8"/>
    <n v="0.2"/>
    <x v="1"/>
    <s v="Fuscia"/>
  </r>
  <r>
    <n v="358207349"/>
    <s v="Semih"/>
    <s v="Male"/>
    <n v="47745"/>
    <n v="2889"/>
    <n v="36"/>
    <n v="1.2461059190031152E-2"/>
    <x v="0"/>
    <n v="49"/>
    <n v="141561"/>
    <s v="EUR"/>
    <x v="1"/>
    <x v="10"/>
    <n v="0.2"/>
    <x v="1"/>
    <s v="Mauv"/>
  </r>
  <r>
    <n v="75333749"/>
    <s v="Sevcan"/>
    <s v="Female"/>
    <n v="48570"/>
    <n v="2863"/>
    <n v="39"/>
    <n v="1.3622074746769124E-2"/>
    <x v="0"/>
    <n v="22"/>
    <n v="62986"/>
    <s v="EUR"/>
    <x v="2"/>
    <x v="10"/>
    <n v="0.2"/>
    <x v="1"/>
    <s v="Fuscia"/>
  </r>
  <r>
    <n v="156056164"/>
    <s v="Sevtap"/>
    <s v="Female"/>
    <n v="47751"/>
    <n v="1846"/>
    <n v="41"/>
    <n v="2.2210184182015168E-2"/>
    <x v="0"/>
    <n v="41"/>
    <n v="75686"/>
    <s v="EUR"/>
    <x v="3"/>
    <x v="10"/>
    <n v="0.2"/>
    <x v="0"/>
    <s v="Yellow"/>
  </r>
  <r>
    <n v="811587084"/>
    <s v="Kemal"/>
    <s v="Male"/>
    <n v="47635"/>
    <n v="3266"/>
    <n v="36"/>
    <n v="1.1022657685241886E-2"/>
    <x v="1"/>
    <n v="24"/>
    <n v="78384"/>
    <s v="EUR"/>
    <x v="4"/>
    <x v="10"/>
    <n v="0.2"/>
    <x v="1"/>
    <s v="Indigo"/>
  </r>
  <r>
    <n v="587479895"/>
    <s v="Resul"/>
    <s v="Male"/>
    <n v="48294"/>
    <n v="4907"/>
    <n v="21"/>
    <n v="4.2796005706134095E-3"/>
    <x v="0"/>
    <n v="36"/>
    <n v="176652"/>
    <s v="EUR"/>
    <x v="5"/>
    <x v="7"/>
    <n v="0.2"/>
    <x v="1"/>
    <s v="Maroon"/>
  </r>
  <r>
    <n v="627584630"/>
    <s v="Beşir"/>
    <s v="Male"/>
    <n v="48448"/>
    <n v="2812"/>
    <n v="29"/>
    <n v="1.0312944523470839E-2"/>
    <x v="0"/>
    <n v="32"/>
    <n v="89984"/>
    <s v="EUR"/>
    <x v="6"/>
    <x v="2"/>
    <n v="0.2"/>
    <x v="0"/>
    <s v="Puce"/>
  </r>
  <r>
    <n v="167486552"/>
    <s v="Yusuf"/>
    <s v="Male"/>
    <n v="48227"/>
    <n v="4685"/>
    <n v="31"/>
    <n v="6.6168623265741725E-3"/>
    <x v="1"/>
    <n v="44"/>
    <n v="206140"/>
    <s v="EUR"/>
    <x v="6"/>
    <x v="7"/>
    <n v="0.2"/>
    <x v="1"/>
    <s v="Pink"/>
  </r>
  <r>
    <n v="74502626"/>
    <s v="Soner"/>
    <s v="Male"/>
    <n v="48208"/>
    <n v="4920"/>
    <n v="33"/>
    <n v="6.7073170731707316E-3"/>
    <x v="0"/>
    <n v="33"/>
    <n v="162360"/>
    <s v="EUR"/>
    <x v="7"/>
    <x v="6"/>
    <n v="0.2"/>
    <x v="0"/>
    <s v="Red"/>
  </r>
  <r>
    <n v="710837851"/>
    <s v="Ali"/>
    <s v="Male"/>
    <n v="47808"/>
    <n v="3782"/>
    <n v="24"/>
    <n v="6.345848757271285E-3"/>
    <x v="0"/>
    <n v="49"/>
    <n v="185318"/>
    <s v="EUR"/>
    <x v="8"/>
    <x v="5"/>
    <n v="0.2"/>
    <x v="1"/>
    <s v="Teal"/>
  </r>
  <r>
    <n v="74824113"/>
    <s v="Hasan"/>
    <s v="Male"/>
    <n v="48011"/>
    <n v="1142"/>
    <n v="23"/>
    <n v="2.0140105078809107E-2"/>
    <x v="0"/>
    <n v="35"/>
    <n v="39970"/>
    <s v="EUR"/>
    <x v="9"/>
    <x v="4"/>
    <n v="0.2"/>
    <x v="0"/>
    <s v="Goldenrod"/>
  </r>
  <r>
    <n v="392853504"/>
    <s v="Hüseyin"/>
    <s v="Male"/>
    <n v="47620"/>
    <n v="3293"/>
    <n v="17"/>
    <n v="5.1624658366231403E-3"/>
    <x v="0"/>
    <n v="42"/>
    <n v="138306"/>
    <s v="EUR"/>
    <x v="10"/>
    <x v="7"/>
    <n v="0.2"/>
    <x v="0"/>
    <s v="Orange"/>
  </r>
  <r>
    <n v="703157153"/>
    <s v="Canan"/>
    <s v="Female"/>
    <n v="47886"/>
    <n v="4683"/>
    <n v="40"/>
    <n v="8.5415332052103353E-3"/>
    <x v="0"/>
    <n v="50"/>
    <n v="234150"/>
    <s v="EUR"/>
    <x v="11"/>
    <x v="0"/>
    <n v="0.2"/>
    <x v="1"/>
    <s v="Goldenrod"/>
  </r>
  <r>
    <n v="95318134"/>
    <s v="Cansu"/>
    <s v="Female"/>
    <n v="48360"/>
    <n v="4050"/>
    <n v="13"/>
    <n v="3.2098765432098763E-3"/>
    <x v="0"/>
    <n v="23"/>
    <n v="93150"/>
    <s v="EUR"/>
    <x v="12"/>
    <x v="7"/>
    <n v="0.2"/>
    <x v="0"/>
    <s v="Turquoise"/>
  </r>
  <r>
    <n v="210666394"/>
    <s v="Kenan"/>
    <s v="Male"/>
    <n v="48353"/>
    <n v="1535"/>
    <n v="12"/>
    <n v="7.8175895765472316E-3"/>
    <x v="0"/>
    <n v="34"/>
    <n v="52190"/>
    <s v="EUR"/>
    <x v="13"/>
    <x v="3"/>
    <n v="0.2"/>
    <x v="0"/>
    <s v="Purple"/>
  </r>
  <r>
    <n v="752199458"/>
    <s v="Mirza"/>
    <s v="Male"/>
    <n v="48562"/>
    <n v="4441"/>
    <n v="21"/>
    <n v="4.7286647151542445E-3"/>
    <x v="0"/>
    <n v="50"/>
    <n v="222050"/>
    <s v="EUR"/>
    <x v="14"/>
    <x v="2"/>
    <n v="0.2"/>
    <x v="1"/>
    <s v="Mauv"/>
  </r>
  <r>
    <n v="356955567"/>
    <s v="Ebrar"/>
    <s v="Female"/>
    <n v="48485"/>
    <n v="4464"/>
    <n v="24"/>
    <n v="5.3763440860215058E-3"/>
    <x v="0"/>
    <n v="20"/>
    <n v="89280"/>
    <s v="EUR"/>
    <x v="0"/>
    <x v="0"/>
    <n v="0.2"/>
    <x v="1"/>
    <s v="Puce"/>
  </r>
  <r>
    <n v="960616472"/>
    <s v="Semih"/>
    <s v="Male"/>
    <n v="47643"/>
    <n v="4061"/>
    <n v="41"/>
    <n v="1.0096035459246491E-2"/>
    <x v="0"/>
    <n v="33"/>
    <n v="134013"/>
    <s v="EUR"/>
    <x v="1"/>
    <x v="5"/>
    <n v="0.2"/>
    <x v="0"/>
    <s v="Orange"/>
  </r>
  <r>
    <n v="746531583"/>
    <s v="Sevcan"/>
    <s v="Female"/>
    <n v="48578"/>
    <n v="3678"/>
    <n v="25"/>
    <n v="6.797172376291463E-3"/>
    <x v="0"/>
    <n v="49"/>
    <n v="180222"/>
    <s v="EUR"/>
    <x v="2"/>
    <x v="1"/>
    <n v="0.2"/>
    <x v="0"/>
    <s v="Turquoise"/>
  </r>
  <r>
    <n v="278103935"/>
    <s v="Sevtap"/>
    <s v="Female"/>
    <n v="48385"/>
    <n v="4203"/>
    <n v="34"/>
    <n v="8.0894599095883892E-3"/>
    <x v="0"/>
    <n v="38"/>
    <n v="159714"/>
    <s v="EUR"/>
    <x v="3"/>
    <x v="0"/>
    <n v="0.2"/>
    <x v="0"/>
    <s v="Crimson"/>
  </r>
  <r>
    <n v="468629234"/>
    <s v="Kemal"/>
    <s v="Male"/>
    <n v="47752"/>
    <n v="3486"/>
    <n v="25"/>
    <n v="7.1715433161216296E-3"/>
    <x v="0"/>
    <n v="31"/>
    <n v="108066"/>
    <s v="EUR"/>
    <x v="4"/>
    <x v="4"/>
    <n v="0.2"/>
    <x v="1"/>
    <s v="Purple"/>
  </r>
  <r>
    <n v="734343348"/>
    <s v="Resul"/>
    <s v="Male"/>
    <n v="47811"/>
    <n v="1692"/>
    <n v="23"/>
    <n v="1.3593380614657211E-2"/>
    <x v="0"/>
    <n v="28"/>
    <n v="47376"/>
    <s v="EUR"/>
    <x v="5"/>
    <x v="2"/>
    <n v="0.2"/>
    <x v="1"/>
    <s v="Purple"/>
  </r>
  <r>
    <n v="933093888"/>
    <s v="Beşir"/>
    <s v="Male"/>
    <n v="48499"/>
    <n v="2513"/>
    <n v="12"/>
    <n v="4.7751691205730204E-3"/>
    <x v="0"/>
    <n v="34"/>
    <n v="85442"/>
    <s v="EUR"/>
    <x v="6"/>
    <x v="0"/>
    <n v="0.2"/>
    <x v="1"/>
    <s v="Crimson"/>
  </r>
  <r>
    <n v="492507350"/>
    <s v="Yusuf"/>
    <s v="Male"/>
    <n v="47632"/>
    <n v="3126"/>
    <n v="26"/>
    <n v="8.3173384516954576E-3"/>
    <x v="0"/>
    <n v="43"/>
    <n v="134418"/>
    <s v="EUR"/>
    <x v="6"/>
    <x v="10"/>
    <n v="0.2"/>
    <x v="1"/>
    <s v="Crimson"/>
  </r>
  <r>
    <n v="290714739"/>
    <s v="Soner"/>
    <s v="Male"/>
    <n v="47620"/>
    <n v="3986"/>
    <n v="30"/>
    <n v="7.526342197691922E-3"/>
    <x v="0"/>
    <n v="48"/>
    <n v="191328"/>
    <s v="EUR"/>
    <x v="7"/>
    <x v="3"/>
    <n v="0.2"/>
    <x v="1"/>
    <s v="Fuscia"/>
  </r>
  <r>
    <n v="108463067"/>
    <s v="Ali"/>
    <s v="Male"/>
    <n v="48076"/>
    <n v="1424"/>
    <n v="39"/>
    <n v="2.7387640449438203E-2"/>
    <x v="0"/>
    <n v="36"/>
    <n v="51264"/>
    <s v="EUR"/>
    <x v="8"/>
    <x v="1"/>
    <n v="0.2"/>
    <x v="1"/>
    <s v="Yellow"/>
  </r>
  <r>
    <n v="905521854"/>
    <s v="Hasan"/>
    <s v="Male"/>
    <n v="48260"/>
    <n v="1915"/>
    <n v="21"/>
    <n v="1.0966057441253264E-2"/>
    <x v="0"/>
    <n v="40"/>
    <n v="76600"/>
    <s v="EUR"/>
    <x v="9"/>
    <x v="1"/>
    <n v="0.2"/>
    <x v="1"/>
    <s v="Blue"/>
  </r>
  <r>
    <n v="486592548"/>
    <s v="Hüseyin"/>
    <s v="Male"/>
    <n v="48506"/>
    <n v="3750"/>
    <n v="37"/>
    <n v="9.8666666666666659E-3"/>
    <x v="0"/>
    <n v="37"/>
    <n v="138750"/>
    <s v="EUR"/>
    <x v="10"/>
    <x v="7"/>
    <n v="0.2"/>
    <x v="0"/>
    <s v="Turquoise"/>
  </r>
  <r>
    <n v="63405809"/>
    <s v="Canan"/>
    <s v="Female"/>
    <n v="47691"/>
    <n v="1312"/>
    <n v="34"/>
    <n v="2.5914634146341462E-2"/>
    <x v="0"/>
    <n v="47"/>
    <n v="61664"/>
    <s v="EUR"/>
    <x v="11"/>
    <x v="5"/>
    <n v="0.2"/>
    <x v="1"/>
    <s v="Crimson"/>
  </r>
  <r>
    <n v="362928372"/>
    <s v="Cansu"/>
    <s v="Female"/>
    <n v="47929"/>
    <n v="3806"/>
    <n v="17"/>
    <n v="4.4666316342616922E-3"/>
    <x v="1"/>
    <n v="46"/>
    <n v="175076"/>
    <s v="EUR"/>
    <x v="12"/>
    <x v="8"/>
    <n v="0.2"/>
    <x v="0"/>
    <s v="Mauv"/>
  </r>
  <r>
    <n v="375323826"/>
    <s v="Kenan"/>
    <s v="Male"/>
    <n v="47950"/>
    <n v="4019"/>
    <n v="48"/>
    <n v="1.1943269470017417E-2"/>
    <x v="0"/>
    <n v="41"/>
    <n v="164779"/>
    <s v="EUR"/>
    <x v="13"/>
    <x v="2"/>
    <n v="0.2"/>
    <x v="0"/>
    <s v="Violet"/>
  </r>
  <r>
    <n v="48754793"/>
    <s v="Mirza"/>
    <s v="Male"/>
    <n v="47644"/>
    <n v="2892"/>
    <n v="27"/>
    <n v="9.3360995850622405E-3"/>
    <x v="0"/>
    <n v="23"/>
    <n v="66516"/>
    <s v="EUR"/>
    <x v="14"/>
    <x v="8"/>
    <n v="0.2"/>
    <x v="1"/>
    <s v="Indigo"/>
  </r>
  <r>
    <n v="680616963"/>
    <s v="Ebrar"/>
    <s v="Female"/>
    <n v="47940"/>
    <n v="2389"/>
    <n v="30"/>
    <n v="1.2557555462536627E-2"/>
    <x v="0"/>
    <n v="26"/>
    <n v="62114"/>
    <s v="EUR"/>
    <x v="0"/>
    <x v="2"/>
    <n v="0.2"/>
    <x v="0"/>
    <s v="Violet"/>
  </r>
  <r>
    <n v="618391211"/>
    <s v="Semih"/>
    <s v="Male"/>
    <n v="48419"/>
    <n v="2418"/>
    <n v="10"/>
    <n v="4.1356492969396195E-3"/>
    <x v="0"/>
    <n v="48"/>
    <n v="116064"/>
    <s v="EUR"/>
    <x v="1"/>
    <x v="4"/>
    <n v="0.2"/>
    <x v="0"/>
    <s v="Teal"/>
  </r>
  <r>
    <n v="992790193"/>
    <s v="Sevcan"/>
    <s v="Female"/>
    <n v="47882"/>
    <n v="3857"/>
    <n v="29"/>
    <n v="7.5187969924812026E-3"/>
    <x v="4"/>
    <n v="36"/>
    <n v="138852"/>
    <s v="GBP"/>
    <x v="2"/>
    <x v="5"/>
    <n v="0.2"/>
    <x v="1"/>
    <s v="Turquoise"/>
  </r>
  <r>
    <n v="952982838"/>
    <s v="Sevtap"/>
    <s v="Female"/>
    <n v="47981"/>
    <n v="1013"/>
    <n v="14"/>
    <n v="1.3820335636722606E-2"/>
    <x v="0"/>
    <n v="32"/>
    <n v="32416"/>
    <s v="EUR"/>
    <x v="3"/>
    <x v="7"/>
    <n v="0.2"/>
    <x v="0"/>
    <s v="Mauv"/>
  </r>
  <r>
    <n v="975762492"/>
    <s v="Kemal"/>
    <s v="Male"/>
    <n v="47505"/>
    <n v="2991"/>
    <n v="43"/>
    <n v="1.4376462721497826E-2"/>
    <x v="0"/>
    <n v="43"/>
    <n v="128613"/>
    <s v="EUR"/>
    <x v="4"/>
    <x v="9"/>
    <n v="0.2"/>
    <x v="1"/>
    <s v="Turquoise"/>
  </r>
  <r>
    <n v="657702038"/>
    <s v="Resul"/>
    <s v="Male"/>
    <n v="48315"/>
    <n v="3394"/>
    <n v="42"/>
    <n v="1.2374779021803181E-2"/>
    <x v="0"/>
    <n v="20"/>
    <n v="67880"/>
    <s v="EUR"/>
    <x v="5"/>
    <x v="1"/>
    <n v="0.2"/>
    <x v="0"/>
    <s v="Aquamarine"/>
  </r>
  <r>
    <n v="121144136"/>
    <s v="Hüseyin"/>
    <s v="Male"/>
    <n v="48330"/>
    <n v="1731"/>
    <n v="15"/>
    <n v="8.6655112651646445E-3"/>
    <x v="0"/>
    <n v="25"/>
    <n v="43275"/>
    <s v="EUR"/>
    <x v="6"/>
    <x v="10"/>
    <n v="0.2"/>
    <x v="1"/>
    <s v="Indigo"/>
  </r>
  <r>
    <n v="73204327"/>
    <s v="Canan"/>
    <s v="Female"/>
    <n v="47776"/>
    <n v="4609"/>
    <n v="41"/>
    <n v="8.8956389672380128E-3"/>
    <x v="0"/>
    <n v="32"/>
    <n v="147488"/>
    <s v="EUR"/>
    <x v="6"/>
    <x v="6"/>
    <n v="0.2"/>
    <x v="0"/>
    <s v="Blue"/>
  </r>
  <r>
    <n v="487415720"/>
    <s v="Cansu"/>
    <s v="Female"/>
    <n v="47800"/>
    <n v="2003"/>
    <n v="36"/>
    <n v="1.797304043934099E-2"/>
    <x v="0"/>
    <n v="27"/>
    <n v="54081"/>
    <s v="EUR"/>
    <x v="7"/>
    <x v="8"/>
    <n v="0.2"/>
    <x v="0"/>
    <s v="Red"/>
  </r>
  <r>
    <n v="315784189"/>
    <s v="Kenan"/>
    <s v="Male"/>
    <n v="48273"/>
    <n v="4960"/>
    <n v="20"/>
    <n v="4.0322580645161289E-3"/>
    <x v="0"/>
    <n v="34"/>
    <n v="168640"/>
    <s v="EUR"/>
    <x v="8"/>
    <x v="1"/>
    <n v="0.2"/>
    <x v="0"/>
    <s v="Khaki"/>
  </r>
  <r>
    <n v="703617139"/>
    <s v="Mirza"/>
    <s v="Male"/>
    <n v="48069"/>
    <n v="2986"/>
    <n v="35"/>
    <n v="1.172136637642331E-2"/>
    <x v="0"/>
    <n v="38"/>
    <n v="113468"/>
    <s v="EUR"/>
    <x v="9"/>
    <x v="5"/>
    <n v="0.2"/>
    <x v="0"/>
    <s v="Maroon"/>
  </r>
  <r>
    <n v="108391371"/>
    <s v="Ebrar"/>
    <s v="Female"/>
    <n v="48038"/>
    <n v="4394"/>
    <n v="22"/>
    <n v="5.0068274920345929E-3"/>
    <x v="0"/>
    <n v="21"/>
    <n v="92274"/>
    <s v="EUR"/>
    <x v="10"/>
    <x v="0"/>
    <n v="0.2"/>
    <x v="1"/>
    <s v="Orange"/>
  </r>
  <r>
    <n v="859985564"/>
    <s v="Semih"/>
    <s v="Male"/>
    <n v="47703"/>
    <n v="2809"/>
    <n v="50"/>
    <n v="1.77999288002848E-2"/>
    <x v="2"/>
    <n v="34"/>
    <n v="95506"/>
    <s v="EUR"/>
    <x v="11"/>
    <x v="0"/>
    <n v="0.2"/>
    <x v="1"/>
    <s v="Mauv"/>
  </r>
  <r>
    <n v="540135643"/>
    <s v="Sevcan"/>
    <s v="Female"/>
    <n v="47694"/>
    <n v="3776"/>
    <n v="29"/>
    <n v="7.6800847457627122E-3"/>
    <x v="1"/>
    <n v="26"/>
    <n v="98176"/>
    <s v="EUR"/>
    <x v="12"/>
    <x v="7"/>
    <n v="0.2"/>
    <x v="1"/>
    <s v="Indigo"/>
  </r>
  <r>
    <n v="495276420"/>
    <s v="Sevtap"/>
    <s v="Female"/>
    <n v="48577"/>
    <n v="1450"/>
    <n v="29"/>
    <n v="0.02"/>
    <x v="0"/>
    <n v="21"/>
    <n v="30450"/>
    <s v="EUR"/>
    <x v="13"/>
    <x v="2"/>
    <n v="0.2"/>
    <x v="1"/>
    <s v="Mauv"/>
  </r>
  <r>
    <n v="205520626"/>
    <s v="Kemal"/>
    <s v="Male"/>
    <n v="48476"/>
    <n v="1415"/>
    <n v="18"/>
    <n v="1.2720848056537103E-2"/>
    <x v="0"/>
    <n v="47"/>
    <n v="66505"/>
    <s v="EUR"/>
    <x v="14"/>
    <x v="9"/>
    <n v="0.2"/>
    <x v="1"/>
    <s v="Crimson"/>
  </r>
  <r>
    <n v="22449537"/>
    <s v="Resul"/>
    <s v="Male"/>
    <n v="48000"/>
    <n v="1094"/>
    <n v="10"/>
    <n v="9.140767824497258E-3"/>
    <x v="0"/>
    <n v="46"/>
    <n v="50324"/>
    <s v="EUR"/>
    <x v="0"/>
    <x v="1"/>
    <n v="0.2"/>
    <x v="0"/>
    <s v="Mauv"/>
  </r>
  <r>
    <n v="265287876"/>
    <s v="Beşir"/>
    <s v="Male"/>
    <n v="47870"/>
    <n v="4731"/>
    <n v="15"/>
    <n v="3.1705770450221942E-3"/>
    <x v="0"/>
    <n v="36"/>
    <n v="170316"/>
    <s v="EUR"/>
    <x v="1"/>
    <x v="3"/>
    <n v="0.2"/>
    <x v="0"/>
    <s v="Purple"/>
  </r>
  <r>
    <n v="8077950"/>
    <s v="Yusuf"/>
    <s v="Male"/>
    <n v="48187"/>
    <n v="2308"/>
    <n v="11"/>
    <n v="4.7660311958405543E-3"/>
    <x v="1"/>
    <n v="33"/>
    <n v="76164"/>
    <s v="EUR"/>
    <x v="2"/>
    <x v="3"/>
    <n v="0.2"/>
    <x v="1"/>
    <s v="Blue"/>
  </r>
  <r>
    <n v="813075695"/>
    <s v="Soner"/>
    <s v="Male"/>
    <n v="47681"/>
    <n v="3917"/>
    <n v="50"/>
    <n v="1.2764871074802144E-2"/>
    <x v="0"/>
    <n v="25"/>
    <n v="97925"/>
    <s v="EUR"/>
    <x v="3"/>
    <x v="2"/>
    <n v="0.2"/>
    <x v="0"/>
    <s v="Yellow"/>
  </r>
  <r>
    <n v="435238931"/>
    <s v="Ali"/>
    <s v="Male"/>
    <n v="48509"/>
    <n v="2975"/>
    <n v="33"/>
    <n v="1.1092436974789916E-2"/>
    <x v="0"/>
    <n v="40"/>
    <n v="119000"/>
    <s v="EUR"/>
    <x v="4"/>
    <x v="10"/>
    <n v="0.2"/>
    <x v="1"/>
    <s v="Maroon"/>
  </r>
  <r>
    <n v="330502982"/>
    <s v="Hasan"/>
    <s v="Male"/>
    <n v="48175"/>
    <n v="1558"/>
    <n v="37"/>
    <n v="2.3748395378690629E-2"/>
    <x v="0"/>
    <n v="25"/>
    <n v="38950"/>
    <s v="EUR"/>
    <x v="5"/>
    <x v="7"/>
    <n v="0.2"/>
    <x v="0"/>
    <s v="Purple"/>
  </r>
  <r>
    <n v="307275833"/>
    <s v="Hüseyin"/>
    <s v="Male"/>
    <n v="48448"/>
    <n v="4773"/>
    <n v="22"/>
    <n v="4.6092604232139114E-3"/>
    <x v="0"/>
    <n v="46"/>
    <n v="219558"/>
    <s v="EUR"/>
    <x v="6"/>
    <x v="4"/>
    <n v="0.2"/>
    <x v="1"/>
    <s v="Mauv"/>
  </r>
  <r>
    <n v="252770482"/>
    <s v="Canan"/>
    <s v="Female"/>
    <n v="47660"/>
    <n v="1678"/>
    <n v="38"/>
    <n v="2.2646007151370679E-2"/>
    <x v="0"/>
    <n v="26"/>
    <n v="43628"/>
    <s v="EUR"/>
    <x v="6"/>
    <x v="6"/>
    <n v="0.2"/>
    <x v="0"/>
    <s v="Mauv"/>
  </r>
  <r>
    <n v="747786970"/>
    <s v="Cansu"/>
    <s v="Female"/>
    <n v="47636"/>
    <n v="2902"/>
    <n v="39"/>
    <n v="1.3439007580978636E-2"/>
    <x v="0"/>
    <n v="39"/>
    <n v="113178"/>
    <s v="EUR"/>
    <x v="7"/>
    <x v="4"/>
    <n v="0.2"/>
    <x v="0"/>
    <s v="Red"/>
  </r>
  <r>
    <n v="681895983"/>
    <s v="Kenan"/>
    <s v="Male"/>
    <n v="48398"/>
    <n v="2283"/>
    <n v="28"/>
    <n v="1.2264564169951819E-2"/>
    <x v="0"/>
    <n v="21"/>
    <n v="47943"/>
    <s v="EUR"/>
    <x v="8"/>
    <x v="4"/>
    <n v="0.2"/>
    <x v="0"/>
    <s v="Turquoise"/>
  </r>
  <r>
    <n v="985924204"/>
    <s v="Mirza"/>
    <s v="Male"/>
    <n v="47717"/>
    <n v="1893"/>
    <n v="43"/>
    <n v="2.2715266772319071E-2"/>
    <x v="0"/>
    <n v="35"/>
    <n v="66255"/>
    <s v="EUR"/>
    <x v="9"/>
    <x v="0"/>
    <n v="0.2"/>
    <x v="1"/>
    <s v="Green"/>
  </r>
  <r>
    <n v="142855347"/>
    <s v="Ebrar"/>
    <s v="Female"/>
    <n v="47753"/>
    <n v="3254"/>
    <n v="29"/>
    <n v="8.9121081745543954E-3"/>
    <x v="0"/>
    <n v="20"/>
    <n v="65080"/>
    <s v="EUR"/>
    <x v="10"/>
    <x v="9"/>
    <n v="0.2"/>
    <x v="0"/>
    <s v="Goldenrod"/>
  </r>
  <r>
    <n v="440120767"/>
    <s v="Semih"/>
    <s v="Male"/>
    <n v="48332"/>
    <n v="3987"/>
    <n v="49"/>
    <n v="1.2289942312515676E-2"/>
    <x v="0"/>
    <n v="42"/>
    <n v="167454"/>
    <s v="EUR"/>
    <x v="11"/>
    <x v="2"/>
    <n v="0.2"/>
    <x v="1"/>
    <s v="Maroon"/>
  </r>
  <r>
    <n v="453397019"/>
    <s v="Sevcan"/>
    <s v="Female"/>
    <n v="48318"/>
    <n v="1756"/>
    <n v="40"/>
    <n v="2.2779043280182234E-2"/>
    <x v="0"/>
    <n v="31"/>
    <n v="54436"/>
    <s v="EUR"/>
    <x v="12"/>
    <x v="6"/>
    <n v="0.2"/>
    <x v="1"/>
    <s v="Puce"/>
  </r>
  <r>
    <n v="721591040"/>
    <s v="Sevtap"/>
    <s v="Female"/>
    <n v="47912"/>
    <n v="1494"/>
    <n v="13"/>
    <n v="8.7014725568942443E-3"/>
    <x v="0"/>
    <n v="38"/>
    <n v="56772"/>
    <s v="EUR"/>
    <x v="13"/>
    <x v="0"/>
    <n v="0.2"/>
    <x v="1"/>
    <s v="Puce"/>
  </r>
  <r>
    <n v="8029368"/>
    <s v="Kemal"/>
    <s v="Male"/>
    <n v="47919"/>
    <n v="3315"/>
    <n v="17"/>
    <n v="5.1282051282051282E-3"/>
    <x v="0"/>
    <n v="43"/>
    <n v="142545"/>
    <s v="EUR"/>
    <x v="14"/>
    <x v="2"/>
    <n v="0.2"/>
    <x v="1"/>
    <s v="Green"/>
  </r>
  <r>
    <n v="415199036"/>
    <s v="Resul"/>
    <s v="Male"/>
    <n v="48157"/>
    <n v="4428"/>
    <n v="18"/>
    <n v="4.0650406504065045E-3"/>
    <x v="0"/>
    <n v="34"/>
    <n v="150552"/>
    <s v="EUR"/>
    <x v="0"/>
    <x v="5"/>
    <n v="0.2"/>
    <x v="1"/>
    <s v="Mauv"/>
  </r>
  <r>
    <n v="861028919"/>
    <s v="Beşir"/>
    <s v="Male"/>
    <n v="47689"/>
    <n v="1931"/>
    <n v="35"/>
    <n v="1.8125323666494046E-2"/>
    <x v="0"/>
    <n v="41"/>
    <n v="79171"/>
    <s v="EUR"/>
    <x v="1"/>
    <x v="10"/>
    <n v="0.2"/>
    <x v="0"/>
    <s v="Red"/>
  </r>
  <r>
    <n v="656412454"/>
    <s v="Yusuf"/>
    <s v="Male"/>
    <n v="47664"/>
    <n v="4010"/>
    <n v="29"/>
    <n v="7.2319201995012473E-3"/>
    <x v="0"/>
    <n v="20"/>
    <n v="80200"/>
    <s v="EUR"/>
    <x v="2"/>
    <x v="3"/>
    <n v="0.2"/>
    <x v="0"/>
    <s v="Green"/>
  </r>
  <r>
    <n v="330389407"/>
    <s v="Soner"/>
    <s v="Male"/>
    <n v="47853"/>
    <n v="2207"/>
    <n v="50"/>
    <n v="2.2655188038060717E-2"/>
    <x v="0"/>
    <n v="25"/>
    <n v="55175"/>
    <s v="EUR"/>
    <x v="3"/>
    <x v="1"/>
    <n v="0.2"/>
    <x v="0"/>
    <s v="Teal"/>
  </r>
  <r>
    <n v="564710434"/>
    <s v="Ali"/>
    <s v="Male"/>
    <n v="47576"/>
    <n v="2982"/>
    <n v="47"/>
    <n v="1.5761234071093227E-2"/>
    <x v="0"/>
    <n v="28"/>
    <n v="83496"/>
    <s v="EUR"/>
    <x v="4"/>
    <x v="5"/>
    <n v="0.2"/>
    <x v="0"/>
    <s v="Maroon"/>
  </r>
  <r>
    <n v="276471356"/>
    <s v="Hasan"/>
    <s v="Male"/>
    <n v="48235"/>
    <n v="1221"/>
    <n v="30"/>
    <n v="2.4570024570024569E-2"/>
    <x v="0"/>
    <n v="44"/>
    <n v="53724"/>
    <s v="EUR"/>
    <x v="5"/>
    <x v="5"/>
    <n v="0.2"/>
    <x v="0"/>
    <s v="Turquoise"/>
  </r>
  <r>
    <n v="926627997"/>
    <s v="Hüseyin"/>
    <s v="Male"/>
    <n v="47600"/>
    <n v="3803"/>
    <n v="20"/>
    <n v="5.2590060478569546E-3"/>
    <x v="0"/>
    <n v="44"/>
    <n v="167332"/>
    <s v="EUR"/>
    <x v="6"/>
    <x v="0"/>
    <n v="0.2"/>
    <x v="1"/>
    <s v="Violet"/>
  </r>
  <r>
    <n v="549182793"/>
    <s v="Canan"/>
    <s v="Female"/>
    <n v="48295"/>
    <n v="3008"/>
    <n v="19"/>
    <n v="6.3164893617021272E-3"/>
    <x v="0"/>
    <n v="30"/>
    <n v="90240"/>
    <s v="EUR"/>
    <x v="6"/>
    <x v="9"/>
    <n v="0.2"/>
    <x v="1"/>
    <s v="Orange"/>
  </r>
  <r>
    <n v="188767352"/>
    <s v="Cansu"/>
    <s v="Female"/>
    <n v="47769"/>
    <n v="2953"/>
    <n v="11"/>
    <n v="3.7250253979004403E-3"/>
    <x v="1"/>
    <n v="33"/>
    <n v="97449"/>
    <s v="EUR"/>
    <x v="7"/>
    <x v="2"/>
    <n v="0.2"/>
    <x v="1"/>
    <s v="Blue"/>
  </r>
  <r>
    <n v="860704970"/>
    <s v="Kenan"/>
    <s v="Male"/>
    <n v="48296"/>
    <n v="2608"/>
    <n v="39"/>
    <n v="1.495398773006135E-2"/>
    <x v="0"/>
    <n v="26"/>
    <n v="67808"/>
    <s v="EUR"/>
    <x v="8"/>
    <x v="9"/>
    <n v="0.2"/>
    <x v="1"/>
    <s v="Khaki"/>
  </r>
  <r>
    <n v="653194443"/>
    <s v="Mirza"/>
    <s v="Male"/>
    <n v="48065"/>
    <n v="1550"/>
    <n v="38"/>
    <n v="2.4516129032258065E-2"/>
    <x v="0"/>
    <n v="50"/>
    <n v="77500"/>
    <s v="EUR"/>
    <x v="9"/>
    <x v="6"/>
    <n v="0.2"/>
    <x v="0"/>
    <s v="Red"/>
  </r>
  <r>
    <n v="821118799"/>
    <s v="Ebrar"/>
    <s v="Female"/>
    <n v="47513"/>
    <n v="4084"/>
    <n v="28"/>
    <n v="6.8560235063663075E-3"/>
    <x v="0"/>
    <n v="45"/>
    <n v="183780"/>
    <s v="EUR"/>
    <x v="10"/>
    <x v="7"/>
    <n v="0.2"/>
    <x v="1"/>
    <s v="Fuscia"/>
  </r>
  <r>
    <n v="385402196"/>
    <s v="Semih"/>
    <s v="Male"/>
    <n v="48150"/>
    <n v="3980"/>
    <n v="30"/>
    <n v="7.537688442211055E-3"/>
    <x v="0"/>
    <n v="27"/>
    <n v="107460"/>
    <s v="EUR"/>
    <x v="11"/>
    <x v="0"/>
    <n v="0.2"/>
    <x v="1"/>
    <s v="Fuscia"/>
  </r>
  <r>
    <n v="924304748"/>
    <s v="Sevcan"/>
    <s v="Female"/>
    <n v="47819"/>
    <n v="3362"/>
    <n v="45"/>
    <n v="1.338488994646044E-2"/>
    <x v="0"/>
    <n v="43"/>
    <n v="144566"/>
    <s v="EUR"/>
    <x v="12"/>
    <x v="3"/>
    <n v="0.2"/>
    <x v="1"/>
    <s v="Violet"/>
  </r>
  <r>
    <n v="224737619"/>
    <s v="Sevtap"/>
    <s v="Female"/>
    <n v="48372"/>
    <n v="1461"/>
    <n v="37"/>
    <n v="2.5325119780971937E-2"/>
    <x v="0"/>
    <n v="40"/>
    <n v="58440"/>
    <s v="EUR"/>
    <x v="13"/>
    <x v="8"/>
    <n v="0.2"/>
    <x v="0"/>
    <s v="Pink"/>
  </r>
  <r>
    <n v="270780833"/>
    <s v="Kemal"/>
    <s v="Male"/>
    <n v="48088"/>
    <n v="2327"/>
    <n v="41"/>
    <n v="1.7619252256123763E-2"/>
    <x v="0"/>
    <n v="24"/>
    <n v="55848"/>
    <s v="EUR"/>
    <x v="14"/>
    <x v="5"/>
    <n v="0.2"/>
    <x v="1"/>
    <s v="Maroon"/>
  </r>
  <r>
    <n v="669819417"/>
    <s v="Resul"/>
    <s v="Male"/>
    <n v="47488"/>
    <n v="4748"/>
    <n v="29"/>
    <n v="6.1078348778433027E-3"/>
    <x v="0"/>
    <n v="45"/>
    <n v="213660"/>
    <s v="EUR"/>
    <x v="0"/>
    <x v="7"/>
    <n v="0.2"/>
    <x v="0"/>
    <s v="Khaki"/>
  </r>
  <r>
    <n v="640394490"/>
    <s v="Hüseyin"/>
    <s v="Male"/>
    <n v="48106"/>
    <n v="1457"/>
    <n v="23"/>
    <n v="1.5785861358956762E-2"/>
    <x v="0"/>
    <n v="22"/>
    <n v="32054"/>
    <s v="EUR"/>
    <x v="1"/>
    <x v="3"/>
    <n v="0.2"/>
    <x v="0"/>
    <s v="Teal"/>
  </r>
  <r>
    <n v="483519368"/>
    <s v="Canan"/>
    <s v="Female"/>
    <n v="47524"/>
    <n v="2691"/>
    <n v="23"/>
    <n v="8.5470085470085479E-3"/>
    <x v="0"/>
    <n v="34"/>
    <n v="91494"/>
    <s v="EUR"/>
    <x v="2"/>
    <x v="10"/>
    <n v="0.2"/>
    <x v="0"/>
    <s v="Mauv"/>
  </r>
  <r>
    <n v="530391480"/>
    <s v="Cansu"/>
    <s v="Female"/>
    <n v="47520"/>
    <n v="4384"/>
    <n v="43"/>
    <n v="9.8083941605839418E-3"/>
    <x v="0"/>
    <n v="43"/>
    <n v="188512"/>
    <s v="EUR"/>
    <x v="3"/>
    <x v="4"/>
    <n v="0.2"/>
    <x v="1"/>
    <s v="Mauv"/>
  </r>
  <r>
    <n v="829891994"/>
    <s v="Kenan"/>
    <s v="Male"/>
    <n v="47542"/>
    <n v="4390"/>
    <n v="47"/>
    <n v="1.070615034168565E-2"/>
    <x v="0"/>
    <n v="21"/>
    <n v="92190"/>
    <s v="EUR"/>
    <x v="4"/>
    <x v="3"/>
    <n v="0.2"/>
    <x v="0"/>
    <s v="Red"/>
  </r>
  <r>
    <n v="397599962"/>
    <s v="Mirza"/>
    <s v="Male"/>
    <n v="48059"/>
    <n v="4355"/>
    <n v="50"/>
    <n v="1.1481056257175661E-2"/>
    <x v="0"/>
    <n v="31"/>
    <n v="135005"/>
    <s v="EUR"/>
    <x v="5"/>
    <x v="1"/>
    <n v="0.2"/>
    <x v="0"/>
    <s v="Aquamarine"/>
  </r>
  <r>
    <n v="446236210"/>
    <s v="Ebrar"/>
    <s v="Female"/>
    <n v="48503"/>
    <n v="2721"/>
    <n v="35"/>
    <n v="1.2862918044836457E-2"/>
    <x v="4"/>
    <n v="25"/>
    <n v="68025"/>
    <s v="GBP"/>
    <x v="6"/>
    <x v="8"/>
    <n v="0.2"/>
    <x v="1"/>
    <s v="Fuscia"/>
  </r>
  <r>
    <n v="55216453"/>
    <s v="Semih"/>
    <s v="Male"/>
    <n v="47901"/>
    <n v="3867"/>
    <n v="17"/>
    <n v="4.3961727437289893E-3"/>
    <x v="0"/>
    <n v="44"/>
    <n v="170148"/>
    <s v="EUR"/>
    <x v="6"/>
    <x v="0"/>
    <n v="0.2"/>
    <x v="1"/>
    <s v="Blue"/>
  </r>
  <r>
    <n v="202941633"/>
    <s v="Sevcan"/>
    <s v="Female"/>
    <n v="47792"/>
    <n v="2858"/>
    <n v="41"/>
    <n v="1.4345696291112667E-2"/>
    <x v="0"/>
    <n v="45"/>
    <n v="128610"/>
    <s v="EUR"/>
    <x v="7"/>
    <x v="0"/>
    <n v="0.2"/>
    <x v="0"/>
    <s v="Fuscia"/>
  </r>
  <r>
    <n v="674171804"/>
    <s v="Sevtap"/>
    <s v="Female"/>
    <n v="48396"/>
    <n v="4065"/>
    <n v="34"/>
    <n v="8.3640836408364078E-3"/>
    <x v="0"/>
    <n v="22"/>
    <n v="89430"/>
    <s v="EUR"/>
    <x v="8"/>
    <x v="6"/>
    <n v="0.2"/>
    <x v="1"/>
    <s v="Violet"/>
  </r>
  <r>
    <n v="157973318"/>
    <s v="Kemal"/>
    <s v="Male"/>
    <n v="47881"/>
    <n v="4422"/>
    <n v="23"/>
    <n v="5.2012663952962458E-3"/>
    <x v="0"/>
    <n v="44"/>
    <n v="194568"/>
    <s v="EUR"/>
    <x v="9"/>
    <x v="3"/>
    <n v="0.2"/>
    <x v="1"/>
    <s v="Khaki"/>
  </r>
  <r>
    <n v="825040602"/>
    <s v="Resul"/>
    <s v="Male"/>
    <n v="47990"/>
    <n v="2865"/>
    <n v="11"/>
    <n v="3.8394415357766143E-3"/>
    <x v="0"/>
    <n v="27"/>
    <n v="77355"/>
    <s v="EUR"/>
    <x v="10"/>
    <x v="10"/>
    <n v="0.2"/>
    <x v="1"/>
    <s v="Khaki"/>
  </r>
  <r>
    <n v="709356251"/>
    <s v="Beşir"/>
    <s v="Male"/>
    <n v="48410"/>
    <n v="2011"/>
    <n v="38"/>
    <n v="1.8896071606166086E-2"/>
    <x v="0"/>
    <n v="40"/>
    <n v="80440"/>
    <s v="EUR"/>
    <x v="11"/>
    <x v="1"/>
    <n v="0.2"/>
    <x v="1"/>
    <s v="Purple"/>
  </r>
  <r>
    <n v="95818469"/>
    <s v="Yusuf"/>
    <s v="Male"/>
    <n v="47840"/>
    <n v="1906"/>
    <n v="29"/>
    <n v="1.5215110178384051E-2"/>
    <x v="0"/>
    <n v="35"/>
    <n v="66710"/>
    <s v="EUR"/>
    <x v="12"/>
    <x v="9"/>
    <n v="0.2"/>
    <x v="1"/>
    <s v="Khaki"/>
  </r>
  <r>
    <n v="983907638"/>
    <s v="Soner"/>
    <s v="Male"/>
    <n v="48526"/>
    <n v="3466"/>
    <n v="41"/>
    <n v="1.1829197922677438E-2"/>
    <x v="0"/>
    <n v="47"/>
    <n v="162902"/>
    <s v="EUR"/>
    <x v="13"/>
    <x v="2"/>
    <n v="0.2"/>
    <x v="1"/>
    <s v="Orange"/>
  </r>
  <r>
    <n v="862858059"/>
    <s v="Ali"/>
    <s v="Male"/>
    <n v="47864"/>
    <n v="4507"/>
    <n v="50"/>
    <n v="1.1093854004881295E-2"/>
    <x v="0"/>
    <n v="39"/>
    <n v="175773"/>
    <s v="EUR"/>
    <x v="14"/>
    <x v="9"/>
    <n v="0.2"/>
    <x v="0"/>
    <s v="Purple"/>
  </r>
  <r>
    <n v="793077513"/>
    <s v="Hasan"/>
    <s v="Male"/>
    <n v="48013"/>
    <n v="2636"/>
    <n v="36"/>
    <n v="1.3657056145675266E-2"/>
    <x v="0"/>
    <n v="44"/>
    <n v="115984"/>
    <s v="EUR"/>
    <x v="0"/>
    <x v="5"/>
    <n v="0.2"/>
    <x v="0"/>
    <s v="Blue"/>
  </r>
  <r>
    <n v="25453052"/>
    <s v="Hüseyin"/>
    <s v="Male"/>
    <n v="48087"/>
    <n v="3434"/>
    <n v="47"/>
    <n v="1.3686662783925451E-2"/>
    <x v="0"/>
    <n v="31"/>
    <n v="106454"/>
    <s v="EUR"/>
    <x v="1"/>
    <x v="1"/>
    <n v="0.2"/>
    <x v="0"/>
    <s v="Goldenrod"/>
  </r>
  <r>
    <n v="221808921"/>
    <s v="Canan"/>
    <s v="Female"/>
    <n v="47663"/>
    <n v="1078"/>
    <n v="38"/>
    <n v="3.525046382189239E-2"/>
    <x v="0"/>
    <n v="23"/>
    <n v="24794"/>
    <s v="EUR"/>
    <x v="2"/>
    <x v="6"/>
    <n v="0.2"/>
    <x v="0"/>
    <s v="Yellow"/>
  </r>
  <r>
    <n v="736805568"/>
    <s v="Cansu"/>
    <s v="Female"/>
    <n v="48477"/>
    <n v="4693"/>
    <n v="35"/>
    <n v="7.4579160451736628E-3"/>
    <x v="0"/>
    <n v="27"/>
    <n v="126711"/>
    <s v="EUR"/>
    <x v="3"/>
    <x v="9"/>
    <n v="0.2"/>
    <x v="0"/>
    <s v="Goldenrod"/>
  </r>
  <r>
    <n v="282238916"/>
    <s v="Kenan"/>
    <s v="Male"/>
    <n v="47694"/>
    <n v="4373"/>
    <n v="24"/>
    <n v="5.4882231877429683E-3"/>
    <x v="0"/>
    <n v="30"/>
    <n v="131190"/>
    <s v="EUR"/>
    <x v="4"/>
    <x v="2"/>
    <n v="0.2"/>
    <x v="1"/>
    <s v="Pink"/>
  </r>
  <r>
    <n v="534209154"/>
    <s v="Mirza"/>
    <s v="Male"/>
    <n v="47783"/>
    <n v="3067"/>
    <n v="13"/>
    <n v="4.2386697098141506E-3"/>
    <x v="0"/>
    <n v="39"/>
    <n v="119613"/>
    <s v="EUR"/>
    <x v="5"/>
    <x v="5"/>
    <n v="0.2"/>
    <x v="1"/>
    <s v="Red"/>
  </r>
  <r>
    <n v="520884253"/>
    <s v="Ebrar"/>
    <s v="Female"/>
    <n v="47520"/>
    <n v="4590"/>
    <n v="14"/>
    <n v="3.0501089324618735E-3"/>
    <x v="0"/>
    <n v="30"/>
    <n v="137700"/>
    <s v="EUR"/>
    <x v="6"/>
    <x v="5"/>
    <n v="0.2"/>
    <x v="0"/>
    <s v="Maroon"/>
  </r>
  <r>
    <n v="240809617"/>
    <s v="Semih"/>
    <s v="Male"/>
    <n v="48075"/>
    <n v="2724"/>
    <n v="32"/>
    <n v="1.1747430249632892E-2"/>
    <x v="0"/>
    <n v="47"/>
    <n v="128028"/>
    <s v="EUR"/>
    <x v="6"/>
    <x v="7"/>
    <n v="0.2"/>
    <x v="1"/>
    <s v="Puce"/>
  </r>
  <r>
    <n v="832168829"/>
    <s v="Sevcan"/>
    <s v="Female"/>
    <n v="48128"/>
    <n v="3869"/>
    <n v="32"/>
    <n v="8.2708710261049367E-3"/>
    <x v="0"/>
    <n v="20"/>
    <n v="77380"/>
    <s v="EUR"/>
    <x v="7"/>
    <x v="2"/>
    <n v="0.2"/>
    <x v="0"/>
    <s v="Khaki"/>
  </r>
  <r>
    <n v="168209471"/>
    <s v="Sevtap"/>
    <s v="Female"/>
    <n v="47687"/>
    <n v="1351"/>
    <n v="45"/>
    <n v="3.3308660251665435E-2"/>
    <x v="0"/>
    <n v="36"/>
    <n v="48636"/>
    <s v="EUR"/>
    <x v="8"/>
    <x v="8"/>
    <n v="0.2"/>
    <x v="0"/>
    <s v="Turquoise"/>
  </r>
  <r>
    <n v="759152309"/>
    <s v="Kemal"/>
    <s v="Male"/>
    <n v="48435"/>
    <n v="1866"/>
    <n v="14"/>
    <n v="7.502679528403001E-3"/>
    <x v="0"/>
    <n v="36"/>
    <n v="67176"/>
    <s v="EUR"/>
    <x v="9"/>
    <x v="3"/>
    <n v="0.2"/>
    <x v="1"/>
    <s v="Maroon"/>
  </r>
  <r>
    <n v="987593866"/>
    <s v="Resul"/>
    <s v="Male"/>
    <n v="48241"/>
    <n v="3647"/>
    <n v="14"/>
    <n v="3.838771593090211E-3"/>
    <x v="0"/>
    <n v="30"/>
    <n v="109410"/>
    <s v="EUR"/>
    <x v="10"/>
    <x v="9"/>
    <n v="0.2"/>
    <x v="0"/>
    <s v="Indigo"/>
  </r>
  <r>
    <n v="28716372"/>
    <s v="Beşir"/>
    <s v="Male"/>
    <n v="48104"/>
    <n v="4772"/>
    <n v="25"/>
    <n v="5.238893545683152E-3"/>
    <x v="0"/>
    <n v="32"/>
    <n v="152704"/>
    <s v="EUR"/>
    <x v="11"/>
    <x v="3"/>
    <n v="0.2"/>
    <x v="0"/>
    <s v="Teal"/>
  </r>
  <r>
    <n v="417312213"/>
    <s v="Yusuf"/>
    <s v="Male"/>
    <n v="48025"/>
    <n v="1542"/>
    <n v="50"/>
    <n v="3.2425421530479899E-2"/>
    <x v="0"/>
    <n v="34"/>
    <n v="52428"/>
    <s v="EUR"/>
    <x v="12"/>
    <x v="7"/>
    <n v="0.2"/>
    <x v="1"/>
    <s v="Indigo"/>
  </r>
  <r>
    <n v="943750835"/>
    <s v="Soner"/>
    <s v="Male"/>
    <n v="48019"/>
    <n v="3348"/>
    <n v="47"/>
    <n v="1.4038231780167264E-2"/>
    <x v="0"/>
    <n v="36"/>
    <n v="120528"/>
    <s v="EUR"/>
    <x v="13"/>
    <x v="5"/>
    <n v="0.2"/>
    <x v="0"/>
    <s v="Yellow"/>
  </r>
  <r>
    <n v="537955402"/>
    <s v="Ali"/>
    <s v="Male"/>
    <n v="48158"/>
    <n v="2233"/>
    <n v="26"/>
    <n v="1.1643528884908196E-2"/>
    <x v="0"/>
    <n v="23"/>
    <n v="51359"/>
    <s v="EUR"/>
    <x v="14"/>
    <x v="7"/>
    <n v="0.2"/>
    <x v="0"/>
    <s v="Goldenrod"/>
  </r>
  <r>
    <n v="470189075"/>
    <s v="Hasan"/>
    <s v="Male"/>
    <n v="47524"/>
    <n v="2511"/>
    <n v="20"/>
    <n v="7.9649542015133405E-3"/>
    <x v="0"/>
    <n v="47"/>
    <n v="118017"/>
    <s v="EUR"/>
    <x v="0"/>
    <x v="4"/>
    <n v="0.2"/>
    <x v="1"/>
    <s v="Green"/>
  </r>
  <r>
    <n v="547849400"/>
    <s v="Hüseyin"/>
    <s v="Male"/>
    <n v="48560"/>
    <n v="4119"/>
    <n v="17"/>
    <n v="4.1272153435299832E-3"/>
    <x v="0"/>
    <n v="39"/>
    <n v="160641"/>
    <s v="EUR"/>
    <x v="1"/>
    <x v="3"/>
    <n v="0.2"/>
    <x v="0"/>
    <s v="Purple"/>
  </r>
  <r>
    <n v="650430486"/>
    <s v="Canan"/>
    <s v="Female"/>
    <n v="48181"/>
    <n v="3690"/>
    <n v="24"/>
    <n v="6.5040650406504065E-3"/>
    <x v="0"/>
    <n v="22"/>
    <n v="81180"/>
    <s v="EUR"/>
    <x v="2"/>
    <x v="7"/>
    <n v="0.2"/>
    <x v="0"/>
    <s v="Orange"/>
  </r>
  <r>
    <n v="927872729"/>
    <s v="Cansu"/>
    <s v="Female"/>
    <n v="48228"/>
    <n v="2147"/>
    <n v="43"/>
    <n v="2.0027945971122497E-2"/>
    <x v="0"/>
    <n v="33"/>
    <n v="70851"/>
    <s v="EUR"/>
    <x v="3"/>
    <x v="0"/>
    <n v="0.2"/>
    <x v="0"/>
    <s v="Pink"/>
  </r>
  <r>
    <n v="206931471"/>
    <s v="Kenan"/>
    <s v="Male"/>
    <n v="48077"/>
    <n v="1097"/>
    <n v="32"/>
    <n v="2.9170464904284411E-2"/>
    <x v="1"/>
    <n v="44"/>
    <n v="48268"/>
    <s v="EUR"/>
    <x v="4"/>
    <x v="0"/>
    <n v="0.2"/>
    <x v="1"/>
    <s v="Blue"/>
  </r>
  <r>
    <n v="353193985"/>
    <s v="Mirza"/>
    <s v="Male"/>
    <n v="47495"/>
    <n v="1366"/>
    <n v="30"/>
    <n v="2.1961932650073207E-2"/>
    <x v="0"/>
    <n v="47"/>
    <n v="64202"/>
    <s v="EUR"/>
    <x v="5"/>
    <x v="8"/>
    <n v="0.2"/>
    <x v="0"/>
    <s v="Aquamarine"/>
  </r>
  <r>
    <n v="624465341"/>
    <s v="Ebrar"/>
    <s v="Female"/>
    <n v="47518"/>
    <n v="1711"/>
    <n v="35"/>
    <n v="2.0455873758036237E-2"/>
    <x v="0"/>
    <n v="46"/>
    <n v="78706"/>
    <s v="EUR"/>
    <x v="6"/>
    <x v="6"/>
    <n v="0.2"/>
    <x v="1"/>
    <s v="Red"/>
  </r>
  <r>
    <n v="176669340"/>
    <s v="Semih"/>
    <s v="Male"/>
    <n v="48010"/>
    <n v="4013"/>
    <n v="42"/>
    <n v="1.046598554697234E-2"/>
    <x v="0"/>
    <n v="46"/>
    <n v="184598"/>
    <s v="EUR"/>
    <x v="6"/>
    <x v="9"/>
    <n v="0.2"/>
    <x v="1"/>
    <s v="Crimson"/>
  </r>
  <r>
    <n v="918290682"/>
    <s v="Sevcan"/>
    <s v="Female"/>
    <n v="48021"/>
    <n v="4341"/>
    <n v="14"/>
    <n v="3.2250633494586502E-3"/>
    <x v="0"/>
    <n v="36"/>
    <n v="156276"/>
    <s v="EUR"/>
    <x v="7"/>
    <x v="0"/>
    <n v="0.2"/>
    <x v="0"/>
    <s v="Indigo"/>
  </r>
  <r>
    <n v="309617803"/>
    <s v="Sevtap"/>
    <s v="Female"/>
    <n v="47974"/>
    <n v="4945"/>
    <n v="18"/>
    <n v="3.640040444893832E-3"/>
    <x v="0"/>
    <n v="33"/>
    <n v="163185"/>
    <s v="EUR"/>
    <x v="8"/>
    <x v="10"/>
    <n v="0.2"/>
    <x v="1"/>
    <s v="Khaki"/>
  </r>
  <r>
    <n v="947366302"/>
    <s v="Kemal"/>
    <s v="Male"/>
    <n v="47983"/>
    <n v="2083"/>
    <n v="20"/>
    <n v="9.6015362457993279E-3"/>
    <x v="0"/>
    <n v="20"/>
    <n v="41660"/>
    <s v="EUR"/>
    <x v="9"/>
    <x v="10"/>
    <n v="0.2"/>
    <x v="0"/>
    <s v="Mauv"/>
  </r>
  <r>
    <n v="356680263"/>
    <s v="Resul"/>
    <s v="Male"/>
    <n v="48127"/>
    <n v="3399"/>
    <n v="48"/>
    <n v="1.412180052956752E-2"/>
    <x v="0"/>
    <n v="24"/>
    <n v="81576"/>
    <s v="EUR"/>
    <x v="10"/>
    <x v="8"/>
    <n v="0.2"/>
    <x v="1"/>
    <s v="Pink"/>
  </r>
  <r>
    <n v="690364047"/>
    <s v="Hüseyin"/>
    <s v="Male"/>
    <n v="47827"/>
    <n v="4345"/>
    <n v="41"/>
    <n v="9.4361334867663973E-3"/>
    <x v="0"/>
    <n v="30"/>
    <n v="130350"/>
    <s v="EUR"/>
    <x v="11"/>
    <x v="3"/>
    <n v="0.2"/>
    <x v="1"/>
    <s v="Khaki"/>
  </r>
  <r>
    <n v="593943033"/>
    <s v="Canan"/>
    <s v="Female"/>
    <n v="48016"/>
    <n v="2502"/>
    <n v="44"/>
    <n v="1.7585931254996003E-2"/>
    <x v="0"/>
    <n v="31"/>
    <n v="77562"/>
    <s v="EUR"/>
    <x v="12"/>
    <x v="5"/>
    <n v="0.2"/>
    <x v="0"/>
    <s v="Orange"/>
  </r>
  <r>
    <n v="282270759"/>
    <s v="Cansu"/>
    <s v="Female"/>
    <n v="48345"/>
    <n v="3537"/>
    <n v="11"/>
    <n v="3.1099802092168505E-3"/>
    <x v="0"/>
    <n v="30"/>
    <n v="106110"/>
    <s v="EUR"/>
    <x v="13"/>
    <x v="0"/>
    <n v="0.2"/>
    <x v="1"/>
    <s v="Yellow"/>
  </r>
  <r>
    <n v="352676457"/>
    <s v="Kenan"/>
    <s v="Male"/>
    <n v="48468"/>
    <n v="2156"/>
    <n v="11"/>
    <n v="5.1020408163265302E-3"/>
    <x v="0"/>
    <n v="49"/>
    <n v="105644"/>
    <s v="EUR"/>
    <x v="14"/>
    <x v="1"/>
    <n v="0.2"/>
    <x v="1"/>
    <s v="Puce"/>
  </r>
  <r>
    <n v="80087218"/>
    <s v="Mirza"/>
    <s v="Male"/>
    <n v="48338"/>
    <n v="3814"/>
    <n v="35"/>
    <n v="9.1767173571054017E-3"/>
    <x v="0"/>
    <n v="25"/>
    <n v="95350"/>
    <s v="EUR"/>
    <x v="0"/>
    <x v="9"/>
    <n v="0.2"/>
    <x v="0"/>
    <s v="Yellow"/>
  </r>
  <r>
    <n v="893296679"/>
    <s v="Ebrar"/>
    <s v="Female"/>
    <n v="48028"/>
    <n v="1691"/>
    <n v="43"/>
    <n v="2.5428740390301598E-2"/>
    <x v="0"/>
    <n v="39"/>
    <n v="65949"/>
    <s v="EUR"/>
    <x v="1"/>
    <x v="0"/>
    <n v="0.2"/>
    <x v="1"/>
    <s v="Aquamarine"/>
  </r>
  <r>
    <n v="517329539"/>
    <s v="Semih"/>
    <s v="Male"/>
    <n v="48436"/>
    <n v="4435"/>
    <n v="19"/>
    <n v="4.2841037204058626E-3"/>
    <x v="0"/>
    <n v="38"/>
    <n v="168530"/>
    <s v="EUR"/>
    <x v="2"/>
    <x v="7"/>
    <n v="0.2"/>
    <x v="0"/>
    <s v="Maroon"/>
  </r>
  <r>
    <n v="547379153"/>
    <s v="Sevcan"/>
    <s v="Female"/>
    <n v="48367"/>
    <n v="3088"/>
    <n v="19"/>
    <n v="6.1528497409326427E-3"/>
    <x v="0"/>
    <n v="30"/>
    <n v="92640"/>
    <s v="EUR"/>
    <x v="3"/>
    <x v="9"/>
    <n v="0.2"/>
    <x v="0"/>
    <s v="Aquamarine"/>
  </r>
  <r>
    <n v="780633625"/>
    <s v="Sevtap"/>
    <s v="Female"/>
    <n v="48553"/>
    <n v="3554"/>
    <n v="18"/>
    <n v="5.064715813168261E-3"/>
    <x v="0"/>
    <n v="33"/>
    <n v="117282"/>
    <s v="EUR"/>
    <x v="4"/>
    <x v="10"/>
    <n v="0.2"/>
    <x v="0"/>
    <s v="Purple"/>
  </r>
  <r>
    <n v="882074937"/>
    <s v="Kemal"/>
    <s v="Male"/>
    <n v="48025"/>
    <n v="2764"/>
    <n v="17"/>
    <n v="6.1505065123010133E-3"/>
    <x v="0"/>
    <n v="21"/>
    <n v="58044"/>
    <s v="EUR"/>
    <x v="5"/>
    <x v="7"/>
    <n v="0.2"/>
    <x v="0"/>
    <s v="Orange"/>
  </r>
  <r>
    <n v="905254708"/>
    <s v="Resul"/>
    <s v="Male"/>
    <n v="47520"/>
    <n v="3921"/>
    <n v="14"/>
    <n v="3.5705177250701351E-3"/>
    <x v="0"/>
    <n v="34"/>
    <n v="133314"/>
    <s v="EUR"/>
    <x v="6"/>
    <x v="0"/>
    <n v="0.2"/>
    <x v="0"/>
    <s v="Orange"/>
  </r>
  <r>
    <n v="663132136"/>
    <s v="Beşir"/>
    <s v="Male"/>
    <n v="47760"/>
    <n v="2558"/>
    <n v="17"/>
    <n v="6.645817044566067E-3"/>
    <x v="0"/>
    <n v="32"/>
    <n v="81856"/>
    <s v="EUR"/>
    <x v="6"/>
    <x v="0"/>
    <n v="0.2"/>
    <x v="1"/>
    <s v="Aquamarine"/>
  </r>
  <r>
    <n v="899190758"/>
    <s v="Yusuf"/>
    <s v="Male"/>
    <n v="48577"/>
    <n v="4088"/>
    <n v="46"/>
    <n v="1.1252446183953033E-2"/>
    <x v="0"/>
    <n v="42"/>
    <n v="171696"/>
    <s v="EUR"/>
    <x v="7"/>
    <x v="7"/>
    <n v="0.2"/>
    <x v="0"/>
    <s v="Crimson"/>
  </r>
  <r>
    <n v="42193893"/>
    <s v="Soner"/>
    <s v="Male"/>
    <n v="47976"/>
    <n v="4292"/>
    <n v="20"/>
    <n v="4.6598322460391422E-3"/>
    <x v="0"/>
    <n v="35"/>
    <n v="150220"/>
    <s v="EUR"/>
    <x v="8"/>
    <x v="3"/>
    <n v="0.2"/>
    <x v="0"/>
    <s v="Fuscia"/>
  </r>
  <r>
    <n v="192268277"/>
    <s v="Ali"/>
    <s v="Male"/>
    <n v="48283"/>
    <n v="4691"/>
    <n v="30"/>
    <n v="6.3952248987422721E-3"/>
    <x v="0"/>
    <n v="32"/>
    <n v="150112"/>
    <s v="EUR"/>
    <x v="9"/>
    <x v="9"/>
    <n v="0.2"/>
    <x v="0"/>
    <s v="Purple"/>
  </r>
  <r>
    <n v="554636944"/>
    <s v="Hasan"/>
    <s v="Male"/>
    <n v="47906"/>
    <n v="4563"/>
    <n v="36"/>
    <n v="7.889546351084813E-3"/>
    <x v="0"/>
    <n v="37"/>
    <n v="168831"/>
    <s v="EUR"/>
    <x v="10"/>
    <x v="10"/>
    <n v="0.2"/>
    <x v="1"/>
    <s v="Orange"/>
  </r>
  <r>
    <n v="350065017"/>
    <s v="Hüseyin"/>
    <s v="Male"/>
    <n v="48501"/>
    <n v="1264"/>
    <n v="48"/>
    <n v="3.7974683544303799E-2"/>
    <x v="0"/>
    <n v="46"/>
    <n v="58144"/>
    <s v="EUR"/>
    <x v="11"/>
    <x v="3"/>
    <n v="0.2"/>
    <x v="0"/>
    <s v="Yellow"/>
  </r>
  <r>
    <n v="397999137"/>
    <s v="Canan"/>
    <s v="Female"/>
    <n v="48037"/>
    <n v="4691"/>
    <n v="48"/>
    <n v="1.0232359837987636E-2"/>
    <x v="0"/>
    <n v="30"/>
    <n v="140730"/>
    <s v="EUR"/>
    <x v="12"/>
    <x v="9"/>
    <n v="0.2"/>
    <x v="0"/>
    <s v="Turquoise"/>
  </r>
  <r>
    <n v="697113239"/>
    <s v="Cansu"/>
    <s v="Female"/>
    <n v="47729"/>
    <n v="1363"/>
    <n v="49"/>
    <n v="3.5950110051357301E-2"/>
    <x v="0"/>
    <n v="40"/>
    <n v="54520"/>
    <s v="EUR"/>
    <x v="13"/>
    <x v="9"/>
    <n v="0.2"/>
    <x v="1"/>
    <s v="Aquamarine"/>
  </r>
  <r>
    <n v="655049559"/>
    <s v="Kenan"/>
    <s v="Male"/>
    <n v="48012"/>
    <n v="1696"/>
    <n v="45"/>
    <n v="2.6533018867924529E-2"/>
    <x v="0"/>
    <n v="34"/>
    <n v="57664"/>
    <s v="EUR"/>
    <x v="14"/>
    <x v="9"/>
    <n v="0.2"/>
    <x v="1"/>
    <s v="Fuscia"/>
  </r>
  <r>
    <n v="742467981"/>
    <s v="Mirza"/>
    <s v="Male"/>
    <n v="48442"/>
    <n v="3066"/>
    <n v="40"/>
    <n v="1.3046314416177429E-2"/>
    <x v="0"/>
    <n v="43"/>
    <n v="131838"/>
    <s v="EUR"/>
    <x v="0"/>
    <x v="8"/>
    <n v="0.2"/>
    <x v="1"/>
    <s v="Maroon"/>
  </r>
  <r>
    <n v="793059344"/>
    <s v="Ebrar"/>
    <s v="Female"/>
    <n v="48406"/>
    <n v="3383"/>
    <n v="46"/>
    <n v="1.3597398758498374E-2"/>
    <x v="0"/>
    <n v="32"/>
    <n v="108256"/>
    <s v="EUR"/>
    <x v="1"/>
    <x v="3"/>
    <n v="0.2"/>
    <x v="1"/>
    <s v="Crimson"/>
  </r>
  <r>
    <n v="914887627"/>
    <s v="Semih"/>
    <s v="Male"/>
    <n v="47914"/>
    <n v="3080"/>
    <n v="11"/>
    <n v="3.5714285714285713E-3"/>
    <x v="0"/>
    <n v="40"/>
    <n v="123200"/>
    <s v="EUR"/>
    <x v="2"/>
    <x v="4"/>
    <n v="0.2"/>
    <x v="1"/>
    <s v="Purple"/>
  </r>
  <r>
    <n v="681593791"/>
    <s v="Sevcan"/>
    <s v="Female"/>
    <n v="47858"/>
    <n v="4514"/>
    <n v="36"/>
    <n v="7.9751883030571551E-3"/>
    <x v="0"/>
    <n v="23"/>
    <n v="103822"/>
    <s v="EUR"/>
    <x v="3"/>
    <x v="0"/>
    <n v="0.2"/>
    <x v="1"/>
    <s v="Yellow"/>
  </r>
  <r>
    <n v="82011191"/>
    <s v="Sevtap"/>
    <s v="Female"/>
    <n v="47605"/>
    <n v="2478"/>
    <n v="22"/>
    <n v="8.8781275221953195E-3"/>
    <x v="0"/>
    <n v="30"/>
    <n v="74340"/>
    <s v="EUR"/>
    <x v="4"/>
    <x v="1"/>
    <n v="0.2"/>
    <x v="0"/>
    <s v="Blue"/>
  </r>
  <r>
    <n v="787236854"/>
    <s v="Kemal"/>
    <s v="Male"/>
    <n v="47665"/>
    <n v="2953"/>
    <n v="10"/>
    <n v="3.3863867253640365E-3"/>
    <x v="0"/>
    <n v="21"/>
    <n v="62013"/>
    <s v="EUR"/>
    <x v="5"/>
    <x v="7"/>
    <n v="0.2"/>
    <x v="0"/>
    <s v="Indigo"/>
  </r>
  <r>
    <n v="306538260"/>
    <s v="Resul"/>
    <s v="Male"/>
    <n v="48492"/>
    <n v="3355"/>
    <n v="35"/>
    <n v="1.0432190760059613E-2"/>
    <x v="0"/>
    <n v="32"/>
    <n v="107360"/>
    <s v="EUR"/>
    <x v="6"/>
    <x v="4"/>
    <n v="0.2"/>
    <x v="0"/>
    <s v="Indigo"/>
  </r>
  <r>
    <n v="269398085"/>
    <s v="Beşir"/>
    <s v="Male"/>
    <n v="47994"/>
    <n v="2331"/>
    <n v="30"/>
    <n v="1.2870012870012869E-2"/>
    <x v="0"/>
    <n v="31"/>
    <n v="72261"/>
    <s v="EUR"/>
    <x v="6"/>
    <x v="8"/>
    <n v="0.2"/>
    <x v="0"/>
    <s v="Yellow"/>
  </r>
  <r>
    <n v="253910514"/>
    <s v="Yusuf"/>
    <s v="Male"/>
    <n v="47715"/>
    <n v="4726"/>
    <n v="19"/>
    <n v="4.0203131612357177E-3"/>
    <x v="0"/>
    <n v="42"/>
    <n v="198492"/>
    <s v="EUR"/>
    <x v="7"/>
    <x v="0"/>
    <n v="0.2"/>
    <x v="0"/>
    <s v="Indigo"/>
  </r>
  <r>
    <n v="596998914"/>
    <s v="Soner"/>
    <s v="Male"/>
    <n v="48135"/>
    <n v="1355"/>
    <n v="22"/>
    <n v="1.6236162361623615E-2"/>
    <x v="0"/>
    <n v="34"/>
    <n v="46070"/>
    <s v="EUR"/>
    <x v="8"/>
    <x v="8"/>
    <n v="0.2"/>
    <x v="1"/>
    <s v="Blue"/>
  </r>
  <r>
    <n v="71685646"/>
    <s v="Ali"/>
    <s v="Male"/>
    <n v="48521"/>
    <n v="3433"/>
    <n v="30"/>
    <n v="8.7387124963588698E-3"/>
    <x v="0"/>
    <n v="34"/>
    <n v="116722"/>
    <s v="EUR"/>
    <x v="9"/>
    <x v="10"/>
    <n v="0.2"/>
    <x v="1"/>
    <s v="Turquoise"/>
  </r>
  <r>
    <n v="408339503"/>
    <s v="Hasan"/>
    <s v="Male"/>
    <n v="47716"/>
    <n v="4069"/>
    <n v="39"/>
    <n v="9.5846645367412137E-3"/>
    <x v="0"/>
    <n v="50"/>
    <n v="203450"/>
    <s v="EUR"/>
    <x v="10"/>
    <x v="6"/>
    <n v="0.2"/>
    <x v="1"/>
    <s v="Turquoise"/>
  </r>
  <r>
    <n v="754532655"/>
    <s v="Hüseyin"/>
    <s v="Male"/>
    <n v="48114"/>
    <n v="4117"/>
    <n v="46"/>
    <n v="1.11731843575419E-2"/>
    <x v="0"/>
    <n v="41"/>
    <n v="168797"/>
    <s v="EUR"/>
    <x v="11"/>
    <x v="5"/>
    <n v="0.2"/>
    <x v="1"/>
    <s v="Mauv"/>
  </r>
  <r>
    <n v="463381864"/>
    <s v="Canan"/>
    <s v="Female"/>
    <n v="47849"/>
    <n v="4759"/>
    <n v="34"/>
    <n v="7.1443580584156334E-3"/>
    <x v="0"/>
    <n v="45"/>
    <n v="214155"/>
    <s v="EUR"/>
    <x v="12"/>
    <x v="10"/>
    <n v="0.2"/>
    <x v="0"/>
    <s v="Violet"/>
  </r>
  <r>
    <n v="781204404"/>
    <s v="Cansu"/>
    <s v="Female"/>
    <n v="48432"/>
    <n v="2213"/>
    <n v="11"/>
    <n v="4.9706281066425667E-3"/>
    <x v="0"/>
    <n v="34"/>
    <n v="75242"/>
    <s v="EUR"/>
    <x v="13"/>
    <x v="2"/>
    <n v="0.2"/>
    <x v="0"/>
    <s v="Fuscia"/>
  </r>
  <r>
    <n v="332222128"/>
    <s v="Kenan"/>
    <s v="Male"/>
    <n v="48391"/>
    <n v="1913"/>
    <n v="39"/>
    <n v="2.0386826973340304E-2"/>
    <x v="1"/>
    <n v="27"/>
    <n v="51651"/>
    <s v="EUR"/>
    <x v="14"/>
    <x v="0"/>
    <n v="0.2"/>
    <x v="0"/>
    <s v="Pink"/>
  </r>
  <r>
    <n v="811539784"/>
    <s v="Mirza"/>
    <s v="Male"/>
    <n v="47495"/>
    <n v="3736"/>
    <n v="44"/>
    <n v="1.1777301927194861E-2"/>
    <x v="0"/>
    <n v="34"/>
    <n v="127024"/>
    <s v="EUR"/>
    <x v="0"/>
    <x v="8"/>
    <n v="0.2"/>
    <x v="1"/>
    <s v="Aquamarine"/>
  </r>
  <r>
    <n v="129955813"/>
    <s v="Ebrar"/>
    <s v="Female"/>
    <n v="48416"/>
    <n v="1000"/>
    <n v="25"/>
    <n v="2.5000000000000001E-2"/>
    <x v="0"/>
    <n v="37"/>
    <n v="37000"/>
    <s v="EUR"/>
    <x v="1"/>
    <x v="3"/>
    <n v="0.2"/>
    <x v="1"/>
    <s v="Purple"/>
  </r>
  <r>
    <n v="761978961"/>
    <s v="Semih"/>
    <s v="Male"/>
    <n v="47982"/>
    <n v="1365"/>
    <n v="27"/>
    <n v="1.9780219780219779E-2"/>
    <x v="0"/>
    <n v="47"/>
    <n v="64155"/>
    <s v="EUR"/>
    <x v="2"/>
    <x v="9"/>
    <n v="0.2"/>
    <x v="1"/>
    <s v="Pink"/>
  </r>
  <r>
    <n v="75064051"/>
    <s v="Sevcan"/>
    <s v="Female"/>
    <n v="47682"/>
    <n v="3965"/>
    <n v="19"/>
    <n v="4.7919293820933165E-3"/>
    <x v="0"/>
    <n v="49"/>
    <n v="194285"/>
    <s v="EUR"/>
    <x v="3"/>
    <x v="2"/>
    <n v="0.2"/>
    <x v="0"/>
    <s v="Yellow"/>
  </r>
  <r>
    <n v="967105045"/>
    <s v="Sevtap"/>
    <s v="Female"/>
    <n v="48307"/>
    <n v="3570"/>
    <n v="18"/>
    <n v="5.0420168067226894E-3"/>
    <x v="0"/>
    <n v="23"/>
    <n v="82110"/>
    <s v="EUR"/>
    <x v="4"/>
    <x v="8"/>
    <n v="0.2"/>
    <x v="1"/>
    <s v="Aquamarine"/>
  </r>
  <r>
    <n v="204326200"/>
    <s v="Kemal"/>
    <s v="Male"/>
    <n v="47765"/>
    <n v="2744"/>
    <n v="37"/>
    <n v="1.348396501457726E-2"/>
    <x v="0"/>
    <n v="31"/>
    <n v="85064"/>
    <s v="EUR"/>
    <x v="5"/>
    <x v="5"/>
    <n v="0.2"/>
    <x v="0"/>
    <s v="Goldenrod"/>
  </r>
  <r>
    <n v="753235748"/>
    <s v="Resul"/>
    <s v="Male"/>
    <n v="47768"/>
    <n v="2851"/>
    <n v="13"/>
    <n v="4.5598035776920377E-3"/>
    <x v="0"/>
    <n v="29"/>
    <n v="82679"/>
    <s v="EUR"/>
    <x v="6"/>
    <x v="8"/>
    <n v="0.2"/>
    <x v="1"/>
    <s v="Turquoise"/>
  </r>
  <r>
    <n v="391435971"/>
    <s v="Hüseyin"/>
    <s v="Male"/>
    <n v="48345"/>
    <n v="2320"/>
    <n v="14"/>
    <n v="6.0344827586206896E-3"/>
    <x v="0"/>
    <n v="34"/>
    <n v="78880"/>
    <s v="EUR"/>
    <x v="6"/>
    <x v="4"/>
    <n v="0.2"/>
    <x v="0"/>
    <s v="Crimson"/>
  </r>
  <r>
    <n v="617629244"/>
    <s v="Canan"/>
    <s v="Female"/>
    <n v="47541"/>
    <n v="3197"/>
    <n v="20"/>
    <n v="6.2558648733187366E-3"/>
    <x v="0"/>
    <n v="49"/>
    <n v="156653"/>
    <s v="EUR"/>
    <x v="7"/>
    <x v="10"/>
    <n v="0.2"/>
    <x v="1"/>
    <s v="Khaki"/>
  </r>
  <r>
    <n v="67322305"/>
    <s v="Cansu"/>
    <s v="Female"/>
    <n v="47580"/>
    <n v="3664"/>
    <n v="37"/>
    <n v="1.009825327510917E-2"/>
    <x v="1"/>
    <n v="22"/>
    <n v="80608"/>
    <s v="EUR"/>
    <x v="8"/>
    <x v="4"/>
    <n v="0.2"/>
    <x v="0"/>
    <s v="Goldenrod"/>
  </r>
  <r>
    <n v="103233668"/>
    <s v="Kenan"/>
    <s v="Male"/>
    <n v="47851"/>
    <n v="2404"/>
    <n v="34"/>
    <n v="1.4143094841930116E-2"/>
    <x v="0"/>
    <n v="35"/>
    <n v="84140"/>
    <s v="EUR"/>
    <x v="9"/>
    <x v="5"/>
    <n v="0.2"/>
    <x v="0"/>
    <s v="Khaki"/>
  </r>
  <r>
    <n v="374674994"/>
    <s v="Mirza"/>
    <s v="Male"/>
    <n v="48290"/>
    <n v="1460"/>
    <n v="15"/>
    <n v="1.0273972602739725E-2"/>
    <x v="0"/>
    <n v="41"/>
    <n v="59860"/>
    <s v="EUR"/>
    <x v="10"/>
    <x v="9"/>
    <n v="0.2"/>
    <x v="1"/>
    <s v="Orange"/>
  </r>
  <r>
    <n v="289965246"/>
    <s v="Ebrar"/>
    <s v="Female"/>
    <n v="48336"/>
    <n v="3211"/>
    <n v="17"/>
    <n v="5.2943008408595452E-3"/>
    <x v="0"/>
    <n v="48"/>
    <n v="154128"/>
    <s v="EUR"/>
    <x v="11"/>
    <x v="10"/>
    <n v="0.2"/>
    <x v="0"/>
    <s v="Blue"/>
  </r>
  <r>
    <n v="394172590"/>
    <s v="Semih"/>
    <s v="Male"/>
    <n v="48540"/>
    <n v="4303"/>
    <n v="20"/>
    <n v="4.6479200557750407E-3"/>
    <x v="0"/>
    <n v="28"/>
    <n v="120484"/>
    <s v="EUR"/>
    <x v="12"/>
    <x v="5"/>
    <n v="0.2"/>
    <x v="1"/>
    <s v="Red"/>
  </r>
  <r>
    <n v="395699330"/>
    <s v="Sevcan"/>
    <s v="Female"/>
    <n v="47962"/>
    <n v="3760"/>
    <n v="15"/>
    <n v="3.9893617021276593E-3"/>
    <x v="0"/>
    <n v="20"/>
    <n v="75200"/>
    <s v="EUR"/>
    <x v="13"/>
    <x v="7"/>
    <n v="0.2"/>
    <x v="0"/>
    <s v="Violet"/>
  </r>
  <r>
    <n v="774726043"/>
    <s v="Sevtap"/>
    <s v="Female"/>
    <n v="48203"/>
    <n v="3021"/>
    <n v="37"/>
    <n v="1.2247600132406488E-2"/>
    <x v="0"/>
    <n v="32"/>
    <n v="96672"/>
    <s v="EUR"/>
    <x v="14"/>
    <x v="1"/>
    <n v="0.2"/>
    <x v="1"/>
    <s v="Mauv"/>
  </r>
  <r>
    <n v="717196501"/>
    <s v="Kemal"/>
    <s v="Male"/>
    <n v="48551"/>
    <n v="4471"/>
    <n v="17"/>
    <n v="3.8022813688212928E-3"/>
    <x v="0"/>
    <n v="41"/>
    <n v="183311"/>
    <s v="EUR"/>
    <x v="0"/>
    <x v="8"/>
    <n v="0.2"/>
    <x v="0"/>
    <s v="Pink"/>
  </r>
  <r>
    <n v="964689606"/>
    <s v="Resul"/>
    <s v="Male"/>
    <n v="48082"/>
    <n v="1803"/>
    <n v="31"/>
    <n v="1.7193566278424846E-2"/>
    <x v="0"/>
    <n v="40"/>
    <n v="72120"/>
    <s v="EUR"/>
    <x v="1"/>
    <x v="6"/>
    <n v="0.2"/>
    <x v="0"/>
    <s v="Pink"/>
  </r>
  <r>
    <n v="648283534"/>
    <s v="Beşir"/>
    <s v="Male"/>
    <n v="48515"/>
    <n v="2799"/>
    <n v="20"/>
    <n v="7.145409074669525E-3"/>
    <x v="2"/>
    <n v="41"/>
    <n v="114759"/>
    <s v="EUR"/>
    <x v="2"/>
    <x v="7"/>
    <n v="0.2"/>
    <x v="1"/>
    <s v="Purple"/>
  </r>
  <r>
    <n v="732750601"/>
    <s v="Yusuf"/>
    <s v="Male"/>
    <n v="48137"/>
    <n v="1366"/>
    <n v="44"/>
    <n v="3.2210834553440704E-2"/>
    <x v="0"/>
    <n v="44"/>
    <n v="60104"/>
    <s v="EUR"/>
    <x v="3"/>
    <x v="3"/>
    <n v="0.2"/>
    <x v="0"/>
    <s v="Puce"/>
  </r>
  <r>
    <n v="15713937"/>
    <s v="Soner"/>
    <s v="Male"/>
    <n v="47674"/>
    <n v="4180"/>
    <n v="22"/>
    <n v="5.263157894736842E-3"/>
    <x v="0"/>
    <n v="44"/>
    <n v="183920"/>
    <s v="EUR"/>
    <x v="4"/>
    <x v="4"/>
    <n v="0.2"/>
    <x v="1"/>
    <s v="Green"/>
  </r>
  <r>
    <n v="607018526"/>
    <s v="Ali"/>
    <s v="Male"/>
    <n v="48039"/>
    <n v="1872"/>
    <n v="47"/>
    <n v="2.5106837606837608E-2"/>
    <x v="0"/>
    <n v="27"/>
    <n v="50544"/>
    <s v="EUR"/>
    <x v="5"/>
    <x v="3"/>
    <n v="0.2"/>
    <x v="0"/>
    <s v="Violet"/>
  </r>
  <r>
    <n v="178576433"/>
    <s v="Hasan"/>
    <s v="Male"/>
    <n v="48313"/>
    <n v="1282"/>
    <n v="16"/>
    <n v="1.2480499219968799E-2"/>
    <x v="0"/>
    <n v="36"/>
    <n v="46152"/>
    <s v="EUR"/>
    <x v="6"/>
    <x v="4"/>
    <n v="0.2"/>
    <x v="1"/>
    <s v="Maroon"/>
  </r>
  <r>
    <n v="617022116"/>
    <s v="Hüseyin"/>
    <s v="Male"/>
    <n v="48345"/>
    <n v="2993"/>
    <n v="25"/>
    <n v="8.35282325425994E-3"/>
    <x v="0"/>
    <n v="20"/>
    <n v="59860"/>
    <s v="EUR"/>
    <x v="6"/>
    <x v="2"/>
    <n v="0.2"/>
    <x v="1"/>
    <s v="Puce"/>
  </r>
  <r>
    <n v="985091899"/>
    <s v="Canan"/>
    <s v="Female"/>
    <n v="48053"/>
    <n v="4968"/>
    <n v="40"/>
    <n v="8.0515297906602248E-3"/>
    <x v="0"/>
    <n v="25"/>
    <n v="124200"/>
    <s v="EUR"/>
    <x v="7"/>
    <x v="2"/>
    <n v="0.2"/>
    <x v="0"/>
    <s v="Pink"/>
  </r>
  <r>
    <n v="585307791"/>
    <s v="Cansu"/>
    <s v="Female"/>
    <n v="48232"/>
    <n v="4190"/>
    <n v="30"/>
    <n v="7.1599045346062056E-3"/>
    <x v="0"/>
    <n v="47"/>
    <n v="196930"/>
    <s v="EUR"/>
    <x v="8"/>
    <x v="8"/>
    <n v="0.2"/>
    <x v="0"/>
    <s v="Puce"/>
  </r>
  <r>
    <n v="500927265"/>
    <s v="Kenan"/>
    <s v="Male"/>
    <n v="47733"/>
    <n v="2854"/>
    <n v="42"/>
    <n v="1.4716187806587245E-2"/>
    <x v="0"/>
    <n v="47"/>
    <n v="134138"/>
    <s v="EUR"/>
    <x v="9"/>
    <x v="0"/>
    <n v="0.2"/>
    <x v="1"/>
    <s v="Goldenrod"/>
  </r>
  <r>
    <n v="399209814"/>
    <s v="Mirza"/>
    <s v="Male"/>
    <n v="48526"/>
    <n v="3460"/>
    <n v="45"/>
    <n v="1.300578034682081E-2"/>
    <x v="0"/>
    <n v="40"/>
    <n v="138400"/>
    <s v="EUR"/>
    <x v="10"/>
    <x v="3"/>
    <n v="0.2"/>
    <x v="1"/>
    <s v="Teal"/>
  </r>
  <r>
    <n v="711702752"/>
    <s v="Ebrar"/>
    <s v="Female"/>
    <n v="48092"/>
    <n v="1059"/>
    <n v="15"/>
    <n v="1.4164305949008499E-2"/>
    <x v="0"/>
    <n v="38"/>
    <n v="40242"/>
    <s v="EUR"/>
    <x v="11"/>
    <x v="5"/>
    <n v="0.2"/>
    <x v="0"/>
    <s v="Pink"/>
  </r>
  <r>
    <n v="956036698"/>
    <s v="Semih"/>
    <s v="Male"/>
    <n v="47960"/>
    <n v="4644"/>
    <n v="48"/>
    <n v="1.0335917312661499E-2"/>
    <x v="1"/>
    <n v="45"/>
    <n v="208980"/>
    <s v="EUR"/>
    <x v="12"/>
    <x v="8"/>
    <n v="0.2"/>
    <x v="1"/>
    <s v="Green"/>
  </r>
  <r>
    <n v="113413555"/>
    <s v="Sevcan"/>
    <s v="Female"/>
    <n v="47510"/>
    <n v="1134"/>
    <n v="32"/>
    <n v="2.821869488536155E-2"/>
    <x v="0"/>
    <n v="34"/>
    <n v="38556"/>
    <s v="EUR"/>
    <x v="13"/>
    <x v="2"/>
    <n v="0.2"/>
    <x v="0"/>
    <s v="Indigo"/>
  </r>
  <r>
    <n v="545660809"/>
    <s v="Sevtap"/>
    <s v="Female"/>
    <n v="48151"/>
    <n v="2175"/>
    <n v="24"/>
    <n v="1.1034482758620689E-2"/>
    <x v="0"/>
    <n v="29"/>
    <n v="63075"/>
    <s v="EUR"/>
    <x v="14"/>
    <x v="9"/>
    <n v="0.2"/>
    <x v="0"/>
    <s v="Crimson"/>
  </r>
  <r>
    <n v="114640473"/>
    <s v="Kemal"/>
    <s v="Male"/>
    <n v="48506"/>
    <n v="4274"/>
    <n v="14"/>
    <n v="3.2756200280767431E-3"/>
    <x v="0"/>
    <n v="24"/>
    <n v="102576"/>
    <s v="EUR"/>
    <x v="0"/>
    <x v="6"/>
    <n v="0.2"/>
    <x v="0"/>
    <s v="Crimson"/>
  </r>
  <r>
    <n v="987222221"/>
    <s v="Resul"/>
    <s v="Male"/>
    <n v="48270"/>
    <n v="1192"/>
    <n v="50"/>
    <n v="4.1946308724832217E-2"/>
    <x v="0"/>
    <n v="23"/>
    <n v="27416"/>
    <s v="EUR"/>
    <x v="1"/>
    <x v="7"/>
    <n v="0.2"/>
    <x v="0"/>
    <s v="Crimson"/>
  </r>
  <r>
    <n v="896188908"/>
    <s v="Beşir"/>
    <s v="Male"/>
    <n v="48112"/>
    <n v="2365"/>
    <n v="24"/>
    <n v="1.014799154334038E-2"/>
    <x v="1"/>
    <n v="31"/>
    <n v="73315"/>
    <s v="EUR"/>
    <x v="2"/>
    <x v="9"/>
    <n v="0.2"/>
    <x v="1"/>
    <s v="Crimson"/>
  </r>
  <r>
    <n v="667175629"/>
    <s v="Yusuf"/>
    <s v="Male"/>
    <n v="47852"/>
    <n v="4700"/>
    <n v="19"/>
    <n v="4.0425531914893616E-3"/>
    <x v="0"/>
    <n v="31"/>
    <n v="145700"/>
    <s v="EUR"/>
    <x v="3"/>
    <x v="6"/>
    <n v="0.2"/>
    <x v="0"/>
    <s v="Yellow"/>
  </r>
  <r>
    <n v="455362927"/>
    <s v="Soner"/>
    <s v="Male"/>
    <n v="48335"/>
    <n v="2695"/>
    <n v="34"/>
    <n v="1.2615955473098329E-2"/>
    <x v="0"/>
    <n v="43"/>
    <n v="115885"/>
    <s v="EUR"/>
    <x v="4"/>
    <x v="6"/>
    <n v="0.2"/>
    <x v="0"/>
    <s v="Mauv"/>
  </r>
  <r>
    <n v="731502970"/>
    <s v="Ali"/>
    <s v="Male"/>
    <n v="47658"/>
    <n v="1307"/>
    <n v="35"/>
    <n v="2.6778882938026015E-2"/>
    <x v="0"/>
    <n v="31"/>
    <n v="40517"/>
    <s v="EUR"/>
    <x v="5"/>
    <x v="1"/>
    <n v="0.2"/>
    <x v="0"/>
    <s v="Crimson"/>
  </r>
  <r>
    <n v="537945165"/>
    <s v="Hasan"/>
    <s v="Male"/>
    <n v="48017"/>
    <n v="2686"/>
    <n v="11"/>
    <n v="4.0953090096798213E-3"/>
    <x v="0"/>
    <n v="47"/>
    <n v="126242"/>
    <s v="EUR"/>
    <x v="6"/>
    <x v="9"/>
    <n v="0.2"/>
    <x v="0"/>
    <s v="Fuscia"/>
  </r>
  <r>
    <n v="63857446"/>
    <s v="Hüseyin"/>
    <s v="Male"/>
    <n v="47820"/>
    <n v="1912"/>
    <n v="24"/>
    <n v="1.2552301255230125E-2"/>
    <x v="0"/>
    <n v="27"/>
    <n v="51624"/>
    <s v="EUR"/>
    <x v="6"/>
    <x v="2"/>
    <n v="0.2"/>
    <x v="0"/>
    <s v="Fuscia"/>
  </r>
  <r>
    <n v="979398711"/>
    <s v="Canan"/>
    <s v="Female"/>
    <n v="47828"/>
    <n v="1774"/>
    <n v="36"/>
    <n v="2.0293122886133032E-2"/>
    <x v="0"/>
    <n v="44"/>
    <n v="78056"/>
    <s v="EUR"/>
    <x v="7"/>
    <x v="2"/>
    <n v="0.2"/>
    <x v="1"/>
    <s v="Goldenrod"/>
  </r>
  <r>
    <n v="609574065"/>
    <s v="Cansu"/>
    <s v="Female"/>
    <n v="47648"/>
    <n v="1924"/>
    <n v="10"/>
    <n v="5.1975051975051978E-3"/>
    <x v="0"/>
    <n v="50"/>
    <n v="96200"/>
    <s v="EUR"/>
    <x v="8"/>
    <x v="0"/>
    <n v="0.2"/>
    <x v="1"/>
    <s v="Aquamarine"/>
  </r>
  <r>
    <n v="819420546"/>
    <s v="Kenan"/>
    <s v="Male"/>
    <n v="47980"/>
    <n v="1242"/>
    <n v="36"/>
    <n v="2.8985507246376812E-2"/>
    <x v="0"/>
    <n v="44"/>
    <n v="54648"/>
    <s v="EUR"/>
    <x v="9"/>
    <x v="9"/>
    <n v="0.2"/>
    <x v="1"/>
    <s v="Blue"/>
  </r>
  <r>
    <n v="503748016"/>
    <s v="Mirza"/>
    <s v="Male"/>
    <n v="48241"/>
    <n v="1885"/>
    <n v="49"/>
    <n v="2.59946949602122E-2"/>
    <x v="0"/>
    <n v="21"/>
    <n v="39585"/>
    <s v="EUR"/>
    <x v="10"/>
    <x v="0"/>
    <n v="0.2"/>
    <x v="0"/>
    <s v="Mauv"/>
  </r>
  <r>
    <n v="644796507"/>
    <s v="Ebrar"/>
    <s v="Female"/>
    <n v="48497"/>
    <n v="2510"/>
    <n v="44"/>
    <n v="1.752988047808765E-2"/>
    <x v="0"/>
    <n v="26"/>
    <n v="65260"/>
    <s v="EUR"/>
    <x v="11"/>
    <x v="0"/>
    <n v="0.2"/>
    <x v="1"/>
    <s v="Green"/>
  </r>
  <r>
    <n v="923785387"/>
    <s v="Semih"/>
    <s v="Male"/>
    <n v="47521"/>
    <n v="3234"/>
    <n v="45"/>
    <n v="1.3914656771799629E-2"/>
    <x v="4"/>
    <n v="46"/>
    <n v="148764"/>
    <s v="GBP"/>
    <x v="12"/>
    <x v="10"/>
    <n v="0.2"/>
    <x v="0"/>
    <s v="Orange"/>
  </r>
  <r>
    <n v="684137324"/>
    <s v="Sevcan"/>
    <s v="Female"/>
    <n v="47500"/>
    <n v="1434"/>
    <n v="32"/>
    <n v="2.2315202231520222E-2"/>
    <x v="0"/>
    <n v="34"/>
    <n v="48756"/>
    <s v="EUR"/>
    <x v="13"/>
    <x v="1"/>
    <n v="0.2"/>
    <x v="1"/>
    <s v="Khaki"/>
  </r>
  <r>
    <n v="857669741"/>
    <s v="Sevtap"/>
    <s v="Female"/>
    <n v="47599"/>
    <n v="1336"/>
    <n v="24"/>
    <n v="1.7964071856287425E-2"/>
    <x v="2"/>
    <n v="24"/>
    <n v="32064"/>
    <s v="EUR"/>
    <x v="14"/>
    <x v="4"/>
    <n v="0.2"/>
    <x v="1"/>
    <s v="Mauv"/>
  </r>
  <r>
    <n v="368170608"/>
    <s v="Kemal"/>
    <s v="Male"/>
    <n v="47801"/>
    <n v="1162"/>
    <n v="37"/>
    <n v="3.1841652323580036E-2"/>
    <x v="0"/>
    <n v="29"/>
    <n v="33698"/>
    <s v="EUR"/>
    <x v="0"/>
    <x v="10"/>
    <n v="0.2"/>
    <x v="0"/>
    <s v="Blue"/>
  </r>
  <r>
    <n v="471883708"/>
    <s v="Resul"/>
    <s v="Male"/>
    <n v="48544"/>
    <n v="4479"/>
    <n v="33"/>
    <n v="7.367716008037508E-3"/>
    <x v="0"/>
    <n v="28"/>
    <n v="125412"/>
    <s v="EUR"/>
    <x v="1"/>
    <x v="4"/>
    <n v="0.2"/>
    <x v="1"/>
    <s v="Purple"/>
  </r>
  <r>
    <n v="181548781"/>
    <s v="Hüseyin"/>
    <s v="Male"/>
    <n v="47977"/>
    <n v="1871"/>
    <n v="46"/>
    <n v="2.4585783003741316E-2"/>
    <x v="0"/>
    <n v="36"/>
    <n v="67356"/>
    <s v="EUR"/>
    <x v="2"/>
    <x v="8"/>
    <n v="0.2"/>
    <x v="1"/>
    <s v="Maroon"/>
  </r>
  <r>
    <n v="912076876"/>
    <s v="Canan"/>
    <s v="Female"/>
    <n v="47911"/>
    <n v="1774"/>
    <n v="20"/>
    <n v="1.1273957158962795E-2"/>
    <x v="0"/>
    <n v="50"/>
    <n v="88700"/>
    <s v="EUR"/>
    <x v="3"/>
    <x v="1"/>
    <n v="0.2"/>
    <x v="0"/>
    <s v="Yellow"/>
  </r>
  <r>
    <n v="303160500"/>
    <s v="Cansu"/>
    <s v="Female"/>
    <n v="48251"/>
    <n v="4391"/>
    <n v="21"/>
    <n v="4.7825096788886362E-3"/>
    <x v="0"/>
    <n v="33"/>
    <n v="144903"/>
    <s v="EUR"/>
    <x v="4"/>
    <x v="5"/>
    <n v="0.2"/>
    <x v="0"/>
    <s v="Teal"/>
  </r>
  <r>
    <n v="427396008"/>
    <s v="Kenan"/>
    <s v="Male"/>
    <n v="47761"/>
    <n v="4800"/>
    <n v="17"/>
    <n v="3.5416666666666665E-3"/>
    <x v="0"/>
    <n v="49"/>
    <n v="235200"/>
    <s v="EUR"/>
    <x v="5"/>
    <x v="2"/>
    <n v="0.2"/>
    <x v="0"/>
    <s v="Turquoise"/>
  </r>
  <r>
    <n v="342992261"/>
    <s v="Mirza"/>
    <s v="Male"/>
    <n v="47946"/>
    <n v="4914"/>
    <n v="37"/>
    <n v="7.5295075295075294E-3"/>
    <x v="0"/>
    <n v="44"/>
    <n v="216216"/>
    <s v="EUR"/>
    <x v="6"/>
    <x v="1"/>
    <n v="0.2"/>
    <x v="1"/>
    <s v="Goldenrod"/>
  </r>
  <r>
    <n v="28069075"/>
    <s v="Ebrar"/>
    <s v="Female"/>
    <n v="48170"/>
    <n v="3329"/>
    <n v="40"/>
    <n v="1.2015620306398318E-2"/>
    <x v="0"/>
    <n v="36"/>
    <n v="119844"/>
    <s v="EUR"/>
    <x v="6"/>
    <x v="0"/>
    <n v="0.2"/>
    <x v="0"/>
    <s v="Indigo"/>
  </r>
  <r>
    <n v="295597233"/>
    <s v="Semih"/>
    <s v="Male"/>
    <n v="48182"/>
    <n v="1632"/>
    <n v="31"/>
    <n v="1.8995098039215685E-2"/>
    <x v="0"/>
    <n v="30"/>
    <n v="48960"/>
    <s v="EUR"/>
    <x v="7"/>
    <x v="5"/>
    <n v="0.2"/>
    <x v="0"/>
    <s v="Turquoise"/>
  </r>
  <r>
    <n v="543346843"/>
    <s v="Sevcan"/>
    <s v="Female"/>
    <n v="48156"/>
    <n v="3580"/>
    <n v="42"/>
    <n v="1.1731843575418994E-2"/>
    <x v="0"/>
    <n v="23"/>
    <n v="82340"/>
    <s v="EUR"/>
    <x v="8"/>
    <x v="7"/>
    <n v="0.2"/>
    <x v="1"/>
    <s v="Violet"/>
  </r>
  <r>
    <n v="963686162"/>
    <s v="Sevtap"/>
    <s v="Female"/>
    <n v="47682"/>
    <n v="4538"/>
    <n v="42"/>
    <n v="9.2551784927280747E-3"/>
    <x v="0"/>
    <n v="23"/>
    <n v="104374"/>
    <s v="EUR"/>
    <x v="9"/>
    <x v="9"/>
    <n v="0.2"/>
    <x v="1"/>
    <s v="Purple"/>
  </r>
  <r>
    <n v="919391215"/>
    <s v="Kemal"/>
    <s v="Male"/>
    <n v="48459"/>
    <n v="2181"/>
    <n v="18"/>
    <n v="8.253094910591471E-3"/>
    <x v="0"/>
    <n v="21"/>
    <n v="45801"/>
    <s v="EUR"/>
    <x v="10"/>
    <x v="6"/>
    <n v="0.2"/>
    <x v="1"/>
    <s v="Yellow"/>
  </r>
  <r>
    <n v="996976592"/>
    <s v="Resul"/>
    <s v="Male"/>
    <n v="48285"/>
    <n v="4100"/>
    <n v="41"/>
    <n v="0.01"/>
    <x v="0"/>
    <n v="30"/>
    <n v="123000"/>
    <s v="EUR"/>
    <x v="11"/>
    <x v="9"/>
    <n v="0.2"/>
    <x v="1"/>
    <s v="Aquamarine"/>
  </r>
  <r>
    <n v="612505838"/>
    <s v="Beşir"/>
    <s v="Male"/>
    <n v="48423"/>
    <n v="2379"/>
    <n v="10"/>
    <n v="4.2034468263976461E-3"/>
    <x v="4"/>
    <n v="44"/>
    <n v="104676"/>
    <s v="GBP"/>
    <x v="12"/>
    <x v="8"/>
    <n v="0.2"/>
    <x v="0"/>
    <s v="Purple"/>
  </r>
  <r>
    <n v="438933559"/>
    <s v="Yusuf"/>
    <s v="Male"/>
    <n v="48171"/>
    <n v="1650"/>
    <n v="36"/>
    <n v="2.181818181818182E-2"/>
    <x v="0"/>
    <n v="38"/>
    <n v="62700"/>
    <s v="EUR"/>
    <x v="13"/>
    <x v="3"/>
    <n v="0.2"/>
    <x v="1"/>
    <s v="Mauv"/>
  </r>
  <r>
    <n v="362712532"/>
    <s v="Soner"/>
    <s v="Male"/>
    <n v="48011"/>
    <n v="2053"/>
    <n v="30"/>
    <n v="1.4612761811982464E-2"/>
    <x v="0"/>
    <n v="47"/>
    <n v="96491"/>
    <s v="EUR"/>
    <x v="14"/>
    <x v="6"/>
    <n v="0.2"/>
    <x v="1"/>
    <s v="Puce"/>
  </r>
  <r>
    <n v="395378695"/>
    <s v="Ali"/>
    <s v="Male"/>
    <n v="47484"/>
    <n v="1995"/>
    <n v="47"/>
    <n v="2.3558897243107769E-2"/>
    <x v="0"/>
    <n v="20"/>
    <n v="39900"/>
    <s v="EUR"/>
    <x v="0"/>
    <x v="0"/>
    <n v="0.2"/>
    <x v="1"/>
    <s v="Khaki"/>
  </r>
  <r>
    <n v="581798529"/>
    <s v="Hasan"/>
    <s v="Male"/>
    <n v="48086"/>
    <n v="1456"/>
    <n v="19"/>
    <n v="1.304945054945055E-2"/>
    <x v="0"/>
    <n v="32"/>
    <n v="46592"/>
    <s v="EUR"/>
    <x v="1"/>
    <x v="1"/>
    <n v="0.2"/>
    <x v="0"/>
    <s v="Pink"/>
  </r>
  <r>
    <n v="98473024"/>
    <s v="Hüseyin"/>
    <s v="Male"/>
    <n v="48264"/>
    <n v="1234"/>
    <n v="22"/>
    <n v="1.7828200972447326E-2"/>
    <x v="0"/>
    <n v="48"/>
    <n v="59232"/>
    <s v="EUR"/>
    <x v="2"/>
    <x v="4"/>
    <n v="0.2"/>
    <x v="0"/>
    <s v="Teal"/>
  </r>
  <r>
    <n v="920152379"/>
    <s v="Canan"/>
    <s v="Female"/>
    <n v="47883"/>
    <n v="2571"/>
    <n v="13"/>
    <n v="5.0563982886036559E-3"/>
    <x v="0"/>
    <n v="50"/>
    <n v="128550"/>
    <s v="EUR"/>
    <x v="3"/>
    <x v="0"/>
    <n v="0.2"/>
    <x v="0"/>
    <s v="Aquamarine"/>
  </r>
  <r>
    <n v="535286219"/>
    <s v="Cansu"/>
    <s v="Female"/>
    <n v="47807"/>
    <n v="1909"/>
    <n v="28"/>
    <n v="1.4667365112624411E-2"/>
    <x v="0"/>
    <n v="43"/>
    <n v="82087"/>
    <s v="EUR"/>
    <x v="4"/>
    <x v="6"/>
    <n v="0.2"/>
    <x v="1"/>
    <s v="Indigo"/>
  </r>
  <r>
    <n v="399029670"/>
    <s v="Kenan"/>
    <s v="Male"/>
    <n v="47751"/>
    <n v="2957"/>
    <n v="30"/>
    <n v="1.0145417653026716E-2"/>
    <x v="1"/>
    <n v="27"/>
    <n v="79839"/>
    <s v="EUR"/>
    <x v="5"/>
    <x v="0"/>
    <n v="0.2"/>
    <x v="0"/>
    <s v="Fuscia"/>
  </r>
  <r>
    <n v="534771778"/>
    <s v="Mirza"/>
    <s v="Male"/>
    <n v="47797"/>
    <n v="2483"/>
    <n v="34"/>
    <n v="1.369311316955296E-2"/>
    <x v="0"/>
    <n v="25"/>
    <n v="62075"/>
    <s v="EUR"/>
    <x v="6"/>
    <x v="7"/>
    <n v="0.2"/>
    <x v="1"/>
    <s v="Yellow"/>
  </r>
  <r>
    <n v="632357981"/>
    <s v="Ebrar"/>
    <s v="Female"/>
    <n v="47671"/>
    <n v="4693"/>
    <n v="30"/>
    <n v="6.3924994672917108E-3"/>
    <x v="0"/>
    <n v="23"/>
    <n v="107939"/>
    <s v="EUR"/>
    <x v="6"/>
    <x v="8"/>
    <n v="0.2"/>
    <x v="1"/>
    <s v="Turquoise"/>
  </r>
  <r>
    <n v="422928386"/>
    <s v="Semih"/>
    <s v="Male"/>
    <n v="47835"/>
    <n v="3733"/>
    <n v="48"/>
    <n v="1.2858290918832038E-2"/>
    <x v="0"/>
    <n v="42"/>
    <n v="156786"/>
    <s v="EUR"/>
    <x v="7"/>
    <x v="6"/>
    <n v="0.2"/>
    <x v="1"/>
    <s v="Puce"/>
  </r>
  <r>
    <n v="555759879"/>
    <s v="Sevcan"/>
    <s v="Female"/>
    <n v="48248"/>
    <n v="1881"/>
    <n v="43"/>
    <n v="2.2860180754917598E-2"/>
    <x v="0"/>
    <n v="27"/>
    <n v="50787"/>
    <s v="EUR"/>
    <x v="8"/>
    <x v="6"/>
    <n v="0.2"/>
    <x v="1"/>
    <s v="Goldenrod"/>
  </r>
  <r>
    <n v="932651065"/>
    <s v="Sevtap"/>
    <s v="Female"/>
    <n v="47600"/>
    <n v="4159"/>
    <n v="12"/>
    <n v="2.8853089685020438E-3"/>
    <x v="0"/>
    <n v="43"/>
    <n v="178837"/>
    <s v="EUR"/>
    <x v="9"/>
    <x v="5"/>
    <n v="0.2"/>
    <x v="1"/>
    <s v="Orange"/>
  </r>
  <r>
    <n v="44262572"/>
    <s v="Kemal"/>
    <s v="Male"/>
    <n v="47990"/>
    <n v="2950"/>
    <n v="37"/>
    <n v="1.2542372881355932E-2"/>
    <x v="0"/>
    <n v="46"/>
    <n v="135700"/>
    <s v="EUR"/>
    <x v="10"/>
    <x v="0"/>
    <n v="0.2"/>
    <x v="1"/>
    <s v="Indigo"/>
  </r>
  <r>
    <n v="895483051"/>
    <s v="Resul"/>
    <s v="Male"/>
    <n v="47530"/>
    <n v="4533"/>
    <n v="18"/>
    <n v="3.9708802117802778E-3"/>
    <x v="0"/>
    <n v="47"/>
    <n v="213051"/>
    <s v="EUR"/>
    <x v="11"/>
    <x v="10"/>
    <n v="0.2"/>
    <x v="0"/>
    <s v="Aquamarine"/>
  </r>
  <r>
    <n v="810685694"/>
    <s v="Beşir"/>
    <s v="Male"/>
    <n v="47642"/>
    <n v="2718"/>
    <n v="42"/>
    <n v="1.5452538631346579E-2"/>
    <x v="0"/>
    <n v="21"/>
    <n v="57078"/>
    <s v="EUR"/>
    <x v="12"/>
    <x v="0"/>
    <n v="0.2"/>
    <x v="0"/>
    <s v="Crimson"/>
  </r>
  <r>
    <n v="850158395"/>
    <s v="Yusuf"/>
    <s v="Male"/>
    <n v="48397"/>
    <n v="2743"/>
    <n v="44"/>
    <n v="1.6040831206707983E-2"/>
    <x v="0"/>
    <n v="25"/>
    <n v="68575"/>
    <s v="EUR"/>
    <x v="13"/>
    <x v="2"/>
    <n v="0.2"/>
    <x v="0"/>
    <s v="Mauv"/>
  </r>
  <r>
    <n v="242737187"/>
    <s v="Soner"/>
    <s v="Male"/>
    <n v="47519"/>
    <n v="2740"/>
    <n v="36"/>
    <n v="1.3138686131386862E-2"/>
    <x v="0"/>
    <n v="34"/>
    <n v="93160"/>
    <s v="EUR"/>
    <x v="14"/>
    <x v="9"/>
    <n v="0.2"/>
    <x v="1"/>
    <s v="Goldenrod"/>
  </r>
  <r>
    <n v="789712520"/>
    <s v="Ali"/>
    <s v="Male"/>
    <n v="47557"/>
    <n v="4756"/>
    <n v="44"/>
    <n v="9.2514718250630776E-3"/>
    <x v="0"/>
    <n v="42"/>
    <n v="199752"/>
    <s v="EUR"/>
    <x v="0"/>
    <x v="6"/>
    <n v="0.2"/>
    <x v="1"/>
    <s v="Pink"/>
  </r>
  <r>
    <n v="274736779"/>
    <s v="Hasan"/>
    <s v="Male"/>
    <n v="47912"/>
    <n v="2311"/>
    <n v="31"/>
    <n v="1.3414106447425357E-2"/>
    <x v="0"/>
    <n v="32"/>
    <n v="73952"/>
    <s v="EUR"/>
    <x v="1"/>
    <x v="4"/>
    <n v="0.2"/>
    <x v="1"/>
    <s v="Fuscia"/>
  </r>
  <r>
    <n v="892878884"/>
    <s v="Hüseyin"/>
    <s v="Male"/>
    <n v="48021"/>
    <n v="1928"/>
    <n v="47"/>
    <n v="2.4377593360995851E-2"/>
    <x v="0"/>
    <n v="22"/>
    <n v="42416"/>
    <s v="EUR"/>
    <x v="2"/>
    <x v="4"/>
    <n v="0.2"/>
    <x v="1"/>
    <s v="Orange"/>
  </r>
  <r>
    <n v="875475958"/>
    <s v="Canan"/>
    <s v="Female"/>
    <n v="48568"/>
    <n v="2245"/>
    <n v="12"/>
    <n v="5.3452115812917594E-3"/>
    <x v="0"/>
    <n v="25"/>
    <n v="56125"/>
    <s v="EUR"/>
    <x v="3"/>
    <x v="2"/>
    <n v="0.2"/>
    <x v="0"/>
    <s v="Blue"/>
  </r>
  <r>
    <n v="840840587"/>
    <s v="Cansu"/>
    <s v="Female"/>
    <n v="47989"/>
    <n v="1982"/>
    <n v="16"/>
    <n v="8.0726538849646822E-3"/>
    <x v="0"/>
    <n v="27"/>
    <n v="53514"/>
    <s v="EUR"/>
    <x v="4"/>
    <x v="0"/>
    <n v="0.2"/>
    <x v="0"/>
    <s v="Orange"/>
  </r>
  <r>
    <n v="849818593"/>
    <s v="Kenan"/>
    <s v="Male"/>
    <n v="48321"/>
    <n v="2696"/>
    <n v="26"/>
    <n v="9.6439169139465875E-3"/>
    <x v="0"/>
    <n v="24"/>
    <n v="64704"/>
    <s v="EUR"/>
    <x v="5"/>
    <x v="9"/>
    <n v="0.2"/>
    <x v="1"/>
    <s v="Indigo"/>
  </r>
  <r>
    <n v="412753417"/>
    <s v="Mirza"/>
    <s v="Male"/>
    <n v="47615"/>
    <n v="1535"/>
    <n v="28"/>
    <n v="1.8241042345276872E-2"/>
    <x v="0"/>
    <n v="22"/>
    <n v="33770"/>
    <s v="EUR"/>
    <x v="6"/>
    <x v="1"/>
    <n v="0.2"/>
    <x v="0"/>
    <s v="Puce"/>
  </r>
  <r>
    <n v="194968897"/>
    <s v="Ebrar"/>
    <s v="Female"/>
    <n v="48439"/>
    <n v="3261"/>
    <n v="28"/>
    <n v="8.5863232137381174E-3"/>
    <x v="0"/>
    <n v="32"/>
    <n v="104352"/>
    <s v="EUR"/>
    <x v="6"/>
    <x v="4"/>
    <n v="0.2"/>
    <x v="0"/>
    <s v="Red"/>
  </r>
  <r>
    <n v="554675361"/>
    <s v="Semih"/>
    <s v="Male"/>
    <n v="48222"/>
    <n v="1849"/>
    <n v="13"/>
    <n v="7.0308274743104381E-3"/>
    <x v="0"/>
    <n v="42"/>
    <n v="77658"/>
    <s v="EUR"/>
    <x v="7"/>
    <x v="10"/>
    <n v="0.2"/>
    <x v="0"/>
    <s v="Mauv"/>
  </r>
  <r>
    <n v="405210737"/>
    <s v="Sevcan"/>
    <s v="Female"/>
    <n v="48145"/>
    <n v="2540"/>
    <n v="44"/>
    <n v="1.7322834645669291E-2"/>
    <x v="0"/>
    <n v="30"/>
    <n v="76200"/>
    <s v="EUR"/>
    <x v="8"/>
    <x v="9"/>
    <n v="0.2"/>
    <x v="1"/>
    <s v="Teal"/>
  </r>
  <r>
    <n v="247014845"/>
    <s v="Sevtap"/>
    <s v="Female"/>
    <n v="47808"/>
    <n v="3214"/>
    <n v="45"/>
    <n v="1.4001244555071561E-2"/>
    <x v="0"/>
    <n v="34"/>
    <n v="109276"/>
    <s v="EUR"/>
    <x v="9"/>
    <x v="4"/>
    <n v="0.2"/>
    <x v="1"/>
    <s v="Mauv"/>
  </r>
  <r>
    <n v="315147821"/>
    <s v="Kemal"/>
    <s v="Male"/>
    <n v="48300"/>
    <n v="1831"/>
    <n v="40"/>
    <n v="2.1845985800109231E-2"/>
    <x v="0"/>
    <n v="36"/>
    <n v="65916"/>
    <s v="EUR"/>
    <x v="10"/>
    <x v="6"/>
    <n v="0.2"/>
    <x v="0"/>
    <s v="Indigo"/>
  </r>
  <r>
    <n v="793849547"/>
    <s v="Resul"/>
    <s v="Male"/>
    <n v="48288"/>
    <n v="4653"/>
    <n v="31"/>
    <n v="6.6623683644960238E-3"/>
    <x v="0"/>
    <n v="40"/>
    <n v="186120"/>
    <s v="EUR"/>
    <x v="11"/>
    <x v="6"/>
    <n v="0.2"/>
    <x v="0"/>
    <s v="Fuscia"/>
  </r>
  <r>
    <n v="545823990"/>
    <s v="Beşir"/>
    <s v="Male"/>
    <n v="48214"/>
    <n v="3018"/>
    <n v="15"/>
    <n v="4.970178926441352E-3"/>
    <x v="0"/>
    <n v="36"/>
    <n v="108648"/>
    <s v="EUR"/>
    <x v="12"/>
    <x v="2"/>
    <n v="0.2"/>
    <x v="0"/>
    <s v="Teal"/>
  </r>
  <r>
    <n v="135658781"/>
    <s v="Yusuf"/>
    <s v="Male"/>
    <n v="48485"/>
    <n v="4798"/>
    <n v="40"/>
    <n v="8.3368070029178828E-3"/>
    <x v="1"/>
    <n v="24"/>
    <n v="115152"/>
    <s v="EUR"/>
    <x v="13"/>
    <x v="6"/>
    <n v="0.2"/>
    <x v="1"/>
    <s v="Red"/>
  </r>
  <r>
    <n v="100148669"/>
    <s v="Soner"/>
    <s v="Male"/>
    <n v="48165"/>
    <n v="2430"/>
    <n v="37"/>
    <n v="1.5226337448559672E-2"/>
    <x v="0"/>
    <n v="37"/>
    <n v="89910"/>
    <s v="EUR"/>
    <x v="14"/>
    <x v="3"/>
    <n v="0.2"/>
    <x v="0"/>
    <s v="Khaki"/>
  </r>
  <r>
    <n v="976969735"/>
    <s v="Ali"/>
    <s v="Male"/>
    <n v="47824"/>
    <n v="1852"/>
    <n v="46"/>
    <n v="2.4838012958963283E-2"/>
    <x v="0"/>
    <n v="50"/>
    <n v="92600"/>
    <s v="EUR"/>
    <x v="0"/>
    <x v="2"/>
    <n v="0.2"/>
    <x v="1"/>
    <s v="Green"/>
  </r>
  <r>
    <n v="959683641"/>
    <s v="Hasan"/>
    <s v="Male"/>
    <n v="48168"/>
    <n v="4753"/>
    <n v="23"/>
    <n v="4.8390490216705237E-3"/>
    <x v="0"/>
    <n v="29"/>
    <n v="137837"/>
    <s v="EUR"/>
    <x v="1"/>
    <x v="2"/>
    <n v="0.2"/>
    <x v="0"/>
    <s v="Puce"/>
  </r>
  <r>
    <n v="887655830"/>
    <s v="Hüseyin"/>
    <s v="Male"/>
    <n v="48431"/>
    <n v="2905"/>
    <n v="22"/>
    <n v="7.5731497418244408E-3"/>
    <x v="1"/>
    <n v="22"/>
    <n v="63910"/>
    <s v="EUR"/>
    <x v="2"/>
    <x v="4"/>
    <n v="0.2"/>
    <x v="1"/>
    <s v="Goldenrod"/>
  </r>
  <r>
    <n v="658212658"/>
    <s v="Canan"/>
    <s v="Female"/>
    <n v="48085"/>
    <n v="2076"/>
    <n v="33"/>
    <n v="1.5895953757225433E-2"/>
    <x v="0"/>
    <n v="33"/>
    <n v="68508"/>
    <s v="EUR"/>
    <x v="3"/>
    <x v="6"/>
    <n v="0.2"/>
    <x v="0"/>
    <s v="Orange"/>
  </r>
  <r>
    <n v="862293746"/>
    <s v="Cansu"/>
    <s v="Female"/>
    <n v="48265"/>
    <n v="2885"/>
    <n v="21"/>
    <n v="7.2790294627383019E-3"/>
    <x v="0"/>
    <n v="26"/>
    <n v="75010"/>
    <s v="EUR"/>
    <x v="4"/>
    <x v="1"/>
    <n v="0.2"/>
    <x v="0"/>
    <s v="Green"/>
  </r>
  <r>
    <n v="586232647"/>
    <s v="Kenan"/>
    <s v="Male"/>
    <n v="47674"/>
    <n v="3226"/>
    <n v="21"/>
    <n v="6.5096094234345942E-3"/>
    <x v="1"/>
    <n v="32"/>
    <n v="103232"/>
    <s v="EUR"/>
    <x v="5"/>
    <x v="0"/>
    <n v="0.2"/>
    <x v="0"/>
    <s v="Mauv"/>
  </r>
  <r>
    <n v="689512243"/>
    <s v="Mirza"/>
    <s v="Male"/>
    <n v="48276"/>
    <n v="1231"/>
    <n v="45"/>
    <n v="3.6555645816409424E-2"/>
    <x v="0"/>
    <n v="36"/>
    <n v="44316"/>
    <s v="EUR"/>
    <x v="6"/>
    <x v="3"/>
    <n v="0.2"/>
    <x v="0"/>
    <s v="Red"/>
  </r>
  <r>
    <n v="19206174"/>
    <s v="Ebrar"/>
    <s v="Female"/>
    <n v="48306"/>
    <n v="1412"/>
    <n v="27"/>
    <n v="1.9121813031161474E-2"/>
    <x v="0"/>
    <n v="28"/>
    <n v="39536"/>
    <s v="EUR"/>
    <x v="6"/>
    <x v="9"/>
    <n v="0.2"/>
    <x v="1"/>
    <s v="Khaki"/>
  </r>
  <r>
    <n v="69316195"/>
    <s v="Semih"/>
    <s v="Male"/>
    <n v="48022"/>
    <n v="3182"/>
    <n v="42"/>
    <n v="1.3199245757385292E-2"/>
    <x v="1"/>
    <n v="33"/>
    <n v="105006"/>
    <s v="EUR"/>
    <x v="7"/>
    <x v="5"/>
    <n v="0.2"/>
    <x v="0"/>
    <s v="Red"/>
  </r>
  <r>
    <n v="913749424"/>
    <s v="Sevcan"/>
    <s v="Female"/>
    <n v="47915"/>
    <n v="2838"/>
    <n v="47"/>
    <n v="1.6560958421423539E-2"/>
    <x v="0"/>
    <n v="36"/>
    <n v="102168"/>
    <s v="EUR"/>
    <x v="8"/>
    <x v="8"/>
    <n v="0.2"/>
    <x v="0"/>
    <s v="Green"/>
  </r>
  <r>
    <n v="717171461"/>
    <s v="Sevtap"/>
    <s v="Female"/>
    <n v="47695"/>
    <n v="3102"/>
    <n v="22"/>
    <n v="7.0921985815602835E-3"/>
    <x v="0"/>
    <n v="45"/>
    <n v="139590"/>
    <s v="EUR"/>
    <x v="9"/>
    <x v="5"/>
    <n v="0.2"/>
    <x v="1"/>
    <s v="Khaki"/>
  </r>
  <r>
    <n v="796000032"/>
    <s v="Kemal"/>
    <s v="Male"/>
    <n v="47520"/>
    <n v="4996"/>
    <n v="33"/>
    <n v="6.6052842273819053E-3"/>
    <x v="0"/>
    <n v="31"/>
    <n v="154876"/>
    <s v="EUR"/>
    <x v="10"/>
    <x v="8"/>
    <n v="0.2"/>
    <x v="0"/>
    <s v="Khaki"/>
  </r>
  <r>
    <n v="507230386"/>
    <s v="Resul"/>
    <s v="Male"/>
    <n v="47969"/>
    <n v="4300"/>
    <n v="31"/>
    <n v="7.2093023255813951E-3"/>
    <x v="1"/>
    <n v="46"/>
    <n v="197800"/>
    <s v="EUR"/>
    <x v="11"/>
    <x v="10"/>
    <n v="0.2"/>
    <x v="1"/>
    <s v="Turquoise"/>
  </r>
  <r>
    <n v="880357454"/>
    <s v="Hüseyin"/>
    <s v="Male"/>
    <n v="47559"/>
    <n v="2144"/>
    <n v="49"/>
    <n v="2.2854477611940299E-2"/>
    <x v="0"/>
    <n v="39"/>
    <n v="83616"/>
    <s v="EUR"/>
    <x v="12"/>
    <x v="8"/>
    <n v="0.2"/>
    <x v="0"/>
    <s v="Maroon"/>
  </r>
  <r>
    <n v="491896746"/>
    <s v="Canan"/>
    <s v="Female"/>
    <n v="47558"/>
    <n v="3742"/>
    <n v="23"/>
    <n v="6.1464457509353291E-3"/>
    <x v="0"/>
    <n v="35"/>
    <n v="130970"/>
    <s v="EUR"/>
    <x v="13"/>
    <x v="3"/>
    <n v="0.2"/>
    <x v="0"/>
    <s v="Crimson"/>
  </r>
  <r>
    <n v="137250456"/>
    <s v="Cansu"/>
    <s v="Female"/>
    <n v="48020"/>
    <n v="1372"/>
    <n v="43"/>
    <n v="3.134110787172012E-2"/>
    <x v="0"/>
    <n v="42"/>
    <n v="57624"/>
    <s v="EUR"/>
    <x v="14"/>
    <x v="10"/>
    <n v="0.2"/>
    <x v="1"/>
    <s v="Orange"/>
  </r>
  <r>
    <n v="832251704"/>
    <s v="Kenan"/>
    <s v="Male"/>
    <n v="47608"/>
    <n v="1024"/>
    <n v="11"/>
    <n v="1.07421875E-2"/>
    <x v="0"/>
    <n v="23"/>
    <n v="23552"/>
    <s v="EUR"/>
    <x v="0"/>
    <x v="2"/>
    <n v="0.2"/>
    <x v="0"/>
    <s v="Violet"/>
  </r>
  <r>
    <n v="864362796"/>
    <s v="Mirza"/>
    <s v="Male"/>
    <n v="47604"/>
    <n v="2200"/>
    <n v="24"/>
    <n v="1.090909090909091E-2"/>
    <x v="0"/>
    <n v="20"/>
    <n v="44000"/>
    <s v="EUR"/>
    <x v="1"/>
    <x v="5"/>
    <n v="0.2"/>
    <x v="0"/>
    <s v="Pink"/>
  </r>
  <r>
    <n v="772090522"/>
    <s v="Ebrar"/>
    <s v="Female"/>
    <n v="47615"/>
    <n v="2896"/>
    <n v="15"/>
    <n v="5.1795580110497235E-3"/>
    <x v="0"/>
    <n v="36"/>
    <n v="104256"/>
    <s v="EUR"/>
    <x v="2"/>
    <x v="3"/>
    <n v="0.2"/>
    <x v="1"/>
    <s v="Khaki"/>
  </r>
  <r>
    <n v="508887782"/>
    <s v="Semih"/>
    <s v="Male"/>
    <n v="48124"/>
    <n v="2118"/>
    <n v="27"/>
    <n v="1.2747875354107648E-2"/>
    <x v="0"/>
    <n v="40"/>
    <n v="84720"/>
    <s v="EUR"/>
    <x v="3"/>
    <x v="3"/>
    <n v="0.2"/>
    <x v="0"/>
    <s v="Mauv"/>
  </r>
  <r>
    <n v="494227728"/>
    <s v="Sevcan"/>
    <s v="Female"/>
    <n v="48381"/>
    <n v="4155"/>
    <n v="42"/>
    <n v="1.0108303249097473E-2"/>
    <x v="0"/>
    <n v="24"/>
    <n v="99720"/>
    <s v="EUR"/>
    <x v="4"/>
    <x v="5"/>
    <n v="0.2"/>
    <x v="1"/>
    <s v="Violet"/>
  </r>
  <r>
    <n v="706318546"/>
    <s v="Sevtap"/>
    <s v="Female"/>
    <n v="47682"/>
    <n v="1381"/>
    <n v="34"/>
    <n v="2.4619840695148443E-2"/>
    <x v="0"/>
    <n v="43"/>
    <n v="59383"/>
    <s v="EUR"/>
    <x v="5"/>
    <x v="10"/>
    <n v="0.2"/>
    <x v="0"/>
    <s v="Aquamarine"/>
  </r>
  <r>
    <n v="170967130"/>
    <s v="Kemal"/>
    <s v="Male"/>
    <n v="47486"/>
    <n v="1782"/>
    <n v="24"/>
    <n v="1.3468013468013467E-2"/>
    <x v="0"/>
    <n v="47"/>
    <n v="83754"/>
    <s v="EUR"/>
    <x v="6"/>
    <x v="4"/>
    <n v="0.2"/>
    <x v="1"/>
    <s v="Turquoise"/>
  </r>
  <r>
    <n v="222237286"/>
    <s v="Resul"/>
    <s v="Male"/>
    <n v="47870"/>
    <n v="2784"/>
    <n v="29"/>
    <n v="1.0416666666666666E-2"/>
    <x v="0"/>
    <n v="43"/>
    <n v="119712"/>
    <s v="EUR"/>
    <x v="6"/>
    <x v="9"/>
    <n v="0.2"/>
    <x v="0"/>
    <s v="Orange"/>
  </r>
  <r>
    <n v="388396708"/>
    <s v="Beşir"/>
    <s v="Male"/>
    <n v="48074"/>
    <n v="3832"/>
    <n v="36"/>
    <n v="9.3945720250521916E-3"/>
    <x v="0"/>
    <n v="26"/>
    <n v="99632"/>
    <s v="EUR"/>
    <x v="7"/>
    <x v="0"/>
    <n v="0.2"/>
    <x v="1"/>
    <s v="Blue"/>
  </r>
  <r>
    <n v="989262715"/>
    <s v="Yusuf"/>
    <s v="Male"/>
    <n v="48270"/>
    <n v="2001"/>
    <n v="12"/>
    <n v="5.9970014992503746E-3"/>
    <x v="0"/>
    <n v="32"/>
    <n v="64032"/>
    <s v="EUR"/>
    <x v="8"/>
    <x v="10"/>
    <n v="0.2"/>
    <x v="0"/>
    <s v="Green"/>
  </r>
  <r>
    <n v="189824085"/>
    <s v="Soner"/>
    <s v="Male"/>
    <n v="47534"/>
    <n v="1502"/>
    <n v="49"/>
    <n v="3.262316910785619E-2"/>
    <x v="0"/>
    <n v="35"/>
    <n v="52570"/>
    <s v="EUR"/>
    <x v="9"/>
    <x v="10"/>
    <n v="0.2"/>
    <x v="1"/>
    <s v="Red"/>
  </r>
  <r>
    <n v="215301051"/>
    <s v="Ali"/>
    <s v="Male"/>
    <n v="47724"/>
    <n v="3928"/>
    <n v="22"/>
    <n v="5.6008146639511197E-3"/>
    <x v="0"/>
    <n v="33"/>
    <n v="129624"/>
    <s v="EUR"/>
    <x v="10"/>
    <x v="7"/>
    <n v="0.2"/>
    <x v="1"/>
    <s v="Maroon"/>
  </r>
  <r>
    <n v="485172201"/>
    <s v="Hasan"/>
    <s v="Male"/>
    <n v="48433"/>
    <n v="3216"/>
    <n v="44"/>
    <n v="1.3681592039800995E-2"/>
    <x v="0"/>
    <n v="38"/>
    <n v="122208"/>
    <s v="EUR"/>
    <x v="11"/>
    <x v="5"/>
    <n v="0.2"/>
    <x v="1"/>
    <s v="Fuscia"/>
  </r>
  <r>
    <n v="117244218"/>
    <s v="Hüseyin"/>
    <s v="Male"/>
    <n v="47575"/>
    <n v="2807"/>
    <n v="45"/>
    <n v="1.6031350195938723E-2"/>
    <x v="0"/>
    <n v="22"/>
    <n v="61754"/>
    <s v="EUR"/>
    <x v="12"/>
    <x v="9"/>
    <n v="0.2"/>
    <x v="0"/>
    <s v="Indigo"/>
  </r>
  <r>
    <n v="78101857"/>
    <s v="Canan"/>
    <s v="Female"/>
    <n v="48350"/>
    <n v="2547"/>
    <n v="27"/>
    <n v="1.0600706713780919E-2"/>
    <x v="1"/>
    <n v="36"/>
    <n v="91692"/>
    <s v="EUR"/>
    <x v="13"/>
    <x v="4"/>
    <n v="0.2"/>
    <x v="1"/>
    <s v="Khaki"/>
  </r>
  <r>
    <n v="382903165"/>
    <s v="Cansu"/>
    <s v="Female"/>
    <n v="48132"/>
    <n v="2055"/>
    <n v="20"/>
    <n v="9.7323600973236012E-3"/>
    <x v="0"/>
    <n v="27"/>
    <n v="55485"/>
    <s v="EUR"/>
    <x v="14"/>
    <x v="7"/>
    <n v="0.2"/>
    <x v="1"/>
    <s v="Puce"/>
  </r>
  <r>
    <n v="875532262"/>
    <s v="Kenan"/>
    <s v="Male"/>
    <n v="47693"/>
    <n v="3338"/>
    <n v="25"/>
    <n v="7.4895146794487716E-3"/>
    <x v="1"/>
    <n v="47"/>
    <n v="156886"/>
    <s v="EUR"/>
    <x v="0"/>
    <x v="0"/>
    <n v="0.2"/>
    <x v="0"/>
    <s v="Yellow"/>
  </r>
  <r>
    <n v="628534554"/>
    <s v="Mirza"/>
    <s v="Male"/>
    <n v="47947"/>
    <n v="4470"/>
    <n v="50"/>
    <n v="1.1185682326621925E-2"/>
    <x v="0"/>
    <n v="50"/>
    <n v="223500"/>
    <s v="EUR"/>
    <x v="1"/>
    <x v="3"/>
    <n v="0.2"/>
    <x v="0"/>
    <s v="Teal"/>
  </r>
  <r>
    <n v="777530942"/>
    <s v="Ebrar"/>
    <s v="Female"/>
    <n v="48034"/>
    <n v="2981"/>
    <n v="46"/>
    <n v="1.5431063401543106E-2"/>
    <x v="0"/>
    <n v="50"/>
    <n v="149050"/>
    <s v="EUR"/>
    <x v="2"/>
    <x v="6"/>
    <n v="0.2"/>
    <x v="1"/>
    <s v="Maroon"/>
  </r>
  <r>
    <n v="852960901"/>
    <s v="Semih"/>
    <s v="Male"/>
    <n v="47738"/>
    <n v="4667"/>
    <n v="20"/>
    <n v="4.2854081851296339E-3"/>
    <x v="1"/>
    <n v="32"/>
    <n v="149344"/>
    <s v="EUR"/>
    <x v="3"/>
    <x v="3"/>
    <n v="0.2"/>
    <x v="1"/>
    <s v="Violet"/>
  </r>
  <r>
    <n v="339753395"/>
    <s v="Sevcan"/>
    <s v="Female"/>
    <n v="48335"/>
    <n v="4852"/>
    <n v="44"/>
    <n v="9.0684253915910961E-3"/>
    <x v="0"/>
    <n v="35"/>
    <n v="169820"/>
    <s v="EUR"/>
    <x v="4"/>
    <x v="2"/>
    <n v="0.2"/>
    <x v="1"/>
    <s v="Orange"/>
  </r>
  <r>
    <n v="903555313"/>
    <s v="Sevtap"/>
    <s v="Female"/>
    <n v="48096"/>
    <n v="3301"/>
    <n v="22"/>
    <n v="6.6646470766434417E-3"/>
    <x v="0"/>
    <n v="26"/>
    <n v="85826"/>
    <s v="EUR"/>
    <x v="5"/>
    <x v="1"/>
    <n v="0.2"/>
    <x v="0"/>
    <s v="Turquoise"/>
  </r>
  <r>
    <n v="834660216"/>
    <s v="Kemal"/>
    <s v="Male"/>
    <n v="48077"/>
    <n v="3828"/>
    <n v="41"/>
    <n v="1.0710553814002089E-2"/>
    <x v="0"/>
    <n v="20"/>
    <n v="76560"/>
    <s v="EUR"/>
    <x v="6"/>
    <x v="3"/>
    <n v="0.2"/>
    <x v="0"/>
    <s v="Indigo"/>
  </r>
  <r>
    <n v="990112929"/>
    <s v="Resul"/>
    <s v="Male"/>
    <n v="47726"/>
    <n v="1789"/>
    <n v="10"/>
    <n v="5.5897149245388482E-3"/>
    <x v="0"/>
    <n v="43"/>
    <n v="76927"/>
    <s v="EUR"/>
    <x v="6"/>
    <x v="8"/>
    <n v="0.2"/>
    <x v="0"/>
    <s v="Red"/>
  </r>
  <r>
    <n v="294891051"/>
    <s v="Beşir"/>
    <s v="Male"/>
    <n v="48040"/>
    <n v="3669"/>
    <n v="35"/>
    <n v="9.5393840283455981E-3"/>
    <x v="0"/>
    <n v="29"/>
    <n v="106401"/>
    <s v="EUR"/>
    <x v="7"/>
    <x v="5"/>
    <n v="0.2"/>
    <x v="0"/>
    <s v="Mauv"/>
  </r>
  <r>
    <n v="784360546"/>
    <s v="Yusuf"/>
    <s v="Male"/>
    <n v="47504"/>
    <n v="4414"/>
    <n v="13"/>
    <n v="2.9451744449478933E-3"/>
    <x v="0"/>
    <n v="47"/>
    <n v="207458"/>
    <s v="EUR"/>
    <x v="8"/>
    <x v="6"/>
    <n v="0.2"/>
    <x v="1"/>
    <s v="Goldenrod"/>
  </r>
  <r>
    <n v="70005738"/>
    <s v="Soner"/>
    <s v="Male"/>
    <n v="47672"/>
    <n v="2696"/>
    <n v="32"/>
    <n v="1.1869436201780416E-2"/>
    <x v="0"/>
    <n v="40"/>
    <n v="107840"/>
    <s v="EUR"/>
    <x v="9"/>
    <x v="2"/>
    <n v="0.2"/>
    <x v="0"/>
    <s v="Turquoise"/>
  </r>
  <r>
    <n v="418994030"/>
    <s v="Ali"/>
    <s v="Male"/>
    <n v="48027"/>
    <n v="4920"/>
    <n v="11"/>
    <n v="2.2357723577235773E-3"/>
    <x v="0"/>
    <n v="25"/>
    <n v="123000"/>
    <s v="EUR"/>
    <x v="10"/>
    <x v="4"/>
    <n v="0.2"/>
    <x v="0"/>
    <s v="Aquamarine"/>
  </r>
  <r>
    <n v="8533251"/>
    <s v="Hasan"/>
    <s v="Male"/>
    <n v="47974"/>
    <n v="1567"/>
    <n v="38"/>
    <n v="2.4250159540523293E-2"/>
    <x v="0"/>
    <n v="22"/>
    <n v="34474"/>
    <s v="EUR"/>
    <x v="11"/>
    <x v="7"/>
    <n v="0.2"/>
    <x v="1"/>
    <s v="Teal"/>
  </r>
  <r>
    <n v="904070479"/>
    <s v="Hüseyin"/>
    <s v="Male"/>
    <n v="47659"/>
    <n v="1620"/>
    <n v="34"/>
    <n v="2.0987654320987655E-2"/>
    <x v="0"/>
    <n v="36"/>
    <n v="58320"/>
    <s v="EUR"/>
    <x v="12"/>
    <x v="3"/>
    <n v="0.2"/>
    <x v="0"/>
    <s v="Khaki"/>
  </r>
  <r>
    <n v="799141211"/>
    <s v="Canan"/>
    <s v="Female"/>
    <n v="47844"/>
    <n v="3327"/>
    <n v="48"/>
    <n v="1.4427412082957619E-2"/>
    <x v="0"/>
    <n v="41"/>
    <n v="136407"/>
    <s v="EUR"/>
    <x v="13"/>
    <x v="9"/>
    <n v="0.2"/>
    <x v="0"/>
    <s v="Green"/>
  </r>
  <r>
    <n v="813713175"/>
    <s v="Cansu"/>
    <s v="Female"/>
    <n v="47712"/>
    <n v="2115"/>
    <n v="14"/>
    <n v="6.6193853427895981E-3"/>
    <x v="0"/>
    <n v="28"/>
    <n v="59220"/>
    <s v="EUR"/>
    <x v="14"/>
    <x v="10"/>
    <n v="0.2"/>
    <x v="0"/>
    <s v="Orange"/>
  </r>
  <r>
    <n v="367267993"/>
    <s v="Kenan"/>
    <s v="Male"/>
    <n v="47755"/>
    <n v="4441"/>
    <n v="48"/>
    <n v="1.0808376491781131E-2"/>
    <x v="0"/>
    <n v="38"/>
    <n v="168758"/>
    <s v="EUR"/>
    <x v="0"/>
    <x v="1"/>
    <n v="0.2"/>
    <x v="1"/>
    <s v="Teal"/>
  </r>
  <r>
    <n v="541779080"/>
    <s v="Mirza"/>
    <s v="Male"/>
    <n v="48349"/>
    <n v="2572"/>
    <n v="36"/>
    <n v="1.3996889580093312E-2"/>
    <x v="0"/>
    <n v="36"/>
    <n v="92592"/>
    <s v="EUR"/>
    <x v="1"/>
    <x v="1"/>
    <n v="0.2"/>
    <x v="1"/>
    <s v="Goldenrod"/>
  </r>
  <r>
    <n v="595505370"/>
    <s v="Ebrar"/>
    <s v="Female"/>
    <n v="48493"/>
    <n v="1850"/>
    <n v="17"/>
    <n v="9.189189189189189E-3"/>
    <x v="0"/>
    <n v="36"/>
    <n v="66600"/>
    <s v="EUR"/>
    <x v="2"/>
    <x v="1"/>
    <n v="0.2"/>
    <x v="0"/>
    <s v="Maroon"/>
  </r>
  <r>
    <n v="170519340"/>
    <s v="Semih"/>
    <s v="Male"/>
    <n v="47813"/>
    <n v="1158"/>
    <n v="29"/>
    <n v="2.5043177892918825E-2"/>
    <x v="0"/>
    <n v="34"/>
    <n v="39372"/>
    <s v="EUR"/>
    <x v="3"/>
    <x v="1"/>
    <n v="0.2"/>
    <x v="1"/>
    <s v="Orange"/>
  </r>
  <r>
    <n v="436761514"/>
    <s v="Sevcan"/>
    <s v="Female"/>
    <n v="47622"/>
    <n v="1061"/>
    <n v="12"/>
    <n v="1.1310084825636193E-2"/>
    <x v="0"/>
    <n v="20"/>
    <n v="21220"/>
    <s v="EUR"/>
    <x v="4"/>
    <x v="10"/>
    <n v="0.2"/>
    <x v="0"/>
    <s v="Pink"/>
  </r>
  <r>
    <n v="994834543"/>
    <s v="Sevtap"/>
    <s v="Female"/>
    <n v="47641"/>
    <n v="1167"/>
    <n v="16"/>
    <n v="1.3710368466152529E-2"/>
    <x v="0"/>
    <n v="23"/>
    <n v="26841"/>
    <s v="EUR"/>
    <x v="5"/>
    <x v="1"/>
    <n v="0.2"/>
    <x v="0"/>
    <s v="Orange"/>
  </r>
  <r>
    <n v="398827941"/>
    <s v="Kemal"/>
    <s v="Male"/>
    <n v="47653"/>
    <n v="3361"/>
    <n v="44"/>
    <n v="1.309134186254091E-2"/>
    <x v="1"/>
    <n v="43"/>
    <n v="144523"/>
    <s v="EUR"/>
    <x v="6"/>
    <x v="1"/>
    <n v="0.2"/>
    <x v="1"/>
    <s v="Pink"/>
  </r>
  <r>
    <n v="615915432"/>
    <s v="Resul"/>
    <s v="Male"/>
    <n v="47824"/>
    <n v="3981"/>
    <n v="35"/>
    <n v="8.7917608641044972E-3"/>
    <x v="0"/>
    <n v="30"/>
    <n v="119430"/>
    <s v="EUR"/>
    <x v="6"/>
    <x v="5"/>
    <n v="0.2"/>
    <x v="1"/>
    <s v="Red"/>
  </r>
  <r>
    <n v="870446138"/>
    <s v="Hüseyin"/>
    <s v="Male"/>
    <n v="48565"/>
    <n v="2863"/>
    <n v="41"/>
    <n v="1.4320642682500873E-2"/>
    <x v="0"/>
    <n v="42"/>
    <n v="120246"/>
    <s v="EUR"/>
    <x v="7"/>
    <x v="10"/>
    <n v="0.2"/>
    <x v="1"/>
    <s v="Green"/>
  </r>
  <r>
    <n v="988933566"/>
    <s v="Canan"/>
    <s v="Female"/>
    <n v="47958"/>
    <n v="2640"/>
    <n v="23"/>
    <n v="8.7121212121212127E-3"/>
    <x v="1"/>
    <n v="46"/>
    <n v="121440"/>
    <s v="EUR"/>
    <x v="8"/>
    <x v="7"/>
    <n v="0.2"/>
    <x v="0"/>
    <s v="Aquamarine"/>
  </r>
  <r>
    <n v="897086617"/>
    <s v="Cansu"/>
    <s v="Female"/>
    <n v="47784"/>
    <n v="1114"/>
    <n v="25"/>
    <n v="2.244165170556553E-2"/>
    <x v="0"/>
    <n v="41"/>
    <n v="45674"/>
    <s v="EUR"/>
    <x v="9"/>
    <x v="3"/>
    <n v="0.2"/>
    <x v="0"/>
    <s v="Puce"/>
  </r>
  <r>
    <n v="420963932"/>
    <s v="Kenan"/>
    <s v="Male"/>
    <n v="48091"/>
    <n v="3559"/>
    <n v="28"/>
    <n v="7.8673784771003084E-3"/>
    <x v="0"/>
    <n v="29"/>
    <n v="103211"/>
    <s v="EUR"/>
    <x v="10"/>
    <x v="5"/>
    <n v="0.2"/>
    <x v="1"/>
    <s v="Orange"/>
  </r>
  <r>
    <n v="404289447"/>
    <s v="Mirza"/>
    <s v="Male"/>
    <n v="48057"/>
    <n v="2173"/>
    <n v="17"/>
    <n v="7.8232857800276112E-3"/>
    <x v="0"/>
    <n v="32"/>
    <n v="69536"/>
    <s v="EUR"/>
    <x v="11"/>
    <x v="1"/>
    <n v="0.2"/>
    <x v="0"/>
    <s v="Blue"/>
  </r>
  <r>
    <n v="294113691"/>
    <s v="Ebrar"/>
    <s v="Female"/>
    <n v="47610"/>
    <n v="4793"/>
    <n v="34"/>
    <n v="7.0936782808262051E-3"/>
    <x v="0"/>
    <n v="22"/>
    <n v="105446"/>
    <s v="EUR"/>
    <x v="12"/>
    <x v="7"/>
    <n v="0.2"/>
    <x v="0"/>
    <s v="Purple"/>
  </r>
  <r>
    <n v="615647651"/>
    <s v="Semih"/>
    <s v="Male"/>
    <n v="47923"/>
    <n v="2721"/>
    <n v="25"/>
    <n v="9.1877986034546114E-3"/>
    <x v="1"/>
    <n v="50"/>
    <n v="136050"/>
    <s v="EUR"/>
    <x v="13"/>
    <x v="0"/>
    <n v="0.2"/>
    <x v="1"/>
    <s v="Fuscia"/>
  </r>
  <r>
    <n v="770748172"/>
    <s v="Sevcan"/>
    <s v="Female"/>
    <n v="48083"/>
    <n v="3502"/>
    <n v="22"/>
    <n v="6.2821245002855509E-3"/>
    <x v="0"/>
    <n v="34"/>
    <n v="119068"/>
    <s v="EUR"/>
    <x v="14"/>
    <x v="2"/>
    <n v="0.2"/>
    <x v="0"/>
    <s v="Mauv"/>
  </r>
  <r>
    <n v="738174780"/>
    <s v="Sevtap"/>
    <s v="Female"/>
    <n v="48068"/>
    <n v="2201"/>
    <n v="30"/>
    <n v="1.3630168105406633E-2"/>
    <x v="1"/>
    <n v="42"/>
    <n v="92442"/>
    <s v="EUR"/>
    <x v="0"/>
    <x v="4"/>
    <n v="0.2"/>
    <x v="0"/>
    <s v="Maroon"/>
  </r>
  <r>
    <n v="550422280"/>
    <s v="Kemal"/>
    <s v="Male"/>
    <n v="48132"/>
    <n v="1962"/>
    <n v="22"/>
    <n v="1.1213047910295617E-2"/>
    <x v="0"/>
    <n v="46"/>
    <n v="90252"/>
    <s v="EUR"/>
    <x v="1"/>
    <x v="2"/>
    <n v="0.2"/>
    <x v="0"/>
    <s v="Blue"/>
  </r>
  <r>
    <n v="92418823"/>
    <s v="Resul"/>
    <s v="Male"/>
    <n v="47606"/>
    <n v="1032"/>
    <n v="47"/>
    <n v="4.5542635658914726E-2"/>
    <x v="0"/>
    <n v="34"/>
    <n v="35088"/>
    <s v="EUR"/>
    <x v="2"/>
    <x v="10"/>
    <n v="0.2"/>
    <x v="1"/>
    <s v="Yellow"/>
  </r>
  <r>
    <n v="505860727"/>
    <s v="Beşir"/>
    <s v="Male"/>
    <n v="47967"/>
    <n v="4068"/>
    <n v="34"/>
    <n v="8.3579154375614546E-3"/>
    <x v="0"/>
    <n v="24"/>
    <n v="97632"/>
    <s v="EUR"/>
    <x v="3"/>
    <x v="3"/>
    <n v="0.2"/>
    <x v="0"/>
    <s v="Maroon"/>
  </r>
  <r>
    <n v="819158728"/>
    <s v="Yusuf"/>
    <s v="Male"/>
    <n v="47806"/>
    <n v="2466"/>
    <n v="46"/>
    <n v="1.8653690186536901E-2"/>
    <x v="0"/>
    <n v="27"/>
    <n v="66582"/>
    <s v="EUR"/>
    <x v="4"/>
    <x v="2"/>
    <n v="0.2"/>
    <x v="0"/>
    <s v="Goldenrod"/>
  </r>
  <r>
    <n v="801905318"/>
    <s v="Soner"/>
    <s v="Male"/>
    <n v="48113"/>
    <n v="2331"/>
    <n v="24"/>
    <n v="1.0296010296010296E-2"/>
    <x v="0"/>
    <n v="44"/>
    <n v="102564"/>
    <s v="EUR"/>
    <x v="5"/>
    <x v="7"/>
    <n v="0.2"/>
    <x v="0"/>
    <s v="Crimson"/>
  </r>
  <r>
    <n v="295419417"/>
    <s v="Ali"/>
    <s v="Male"/>
    <n v="47795"/>
    <n v="2734"/>
    <n v="27"/>
    <n v="9.8756400877834678E-3"/>
    <x v="0"/>
    <n v="30"/>
    <n v="82020"/>
    <s v="EUR"/>
    <x v="6"/>
    <x v="1"/>
    <n v="0.2"/>
    <x v="1"/>
    <s v="Orange"/>
  </r>
  <r>
    <n v="132039419"/>
    <s v="Hasan"/>
    <s v="Male"/>
    <n v="47850"/>
    <n v="2042"/>
    <n v="13"/>
    <n v="6.3663075416258569E-3"/>
    <x v="0"/>
    <n v="37"/>
    <n v="75554"/>
    <s v="EUR"/>
    <x v="6"/>
    <x v="3"/>
    <n v="0.2"/>
    <x v="1"/>
    <s v="Goldenro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982A78-580C-46BD-9798-C1214DE1D43D}" name="PivotTable8" cacheId="35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outline="1" outlineData="1" multipleFieldFilters="0">
  <location ref="A7:A8" firstHeaderRow="1" firstDataRow="1" firstDataCol="0"/>
  <pivotFields count="16">
    <pivotField showAll="0"/>
    <pivotField showAll="0"/>
    <pivotField showAll="0"/>
    <pivotField showAll="0"/>
    <pivotField showAll="0"/>
    <pivotField showAll="0"/>
    <pivotField showAll="0"/>
    <pivotField showAll="0">
      <items count="6">
        <item x="3"/>
        <item x="2"/>
        <item x="0"/>
        <item x="1"/>
        <item x="4"/>
        <item t="default"/>
      </items>
    </pivotField>
    <pivotField showAll="0"/>
    <pivotField dataField="1" showAll="0"/>
    <pivotField showAll="0"/>
    <pivotField showAll="0">
      <items count="16">
        <item x="0"/>
        <item x="13"/>
        <item x="9"/>
        <item x="11"/>
        <item x="1"/>
        <item x="14"/>
        <item x="10"/>
        <item x="6"/>
        <item x="8"/>
        <item x="12"/>
        <item x="5"/>
        <item x="3"/>
        <item x="4"/>
        <item x="7"/>
        <item x="2"/>
        <item t="default"/>
      </items>
    </pivotField>
    <pivotField showAll="0">
      <items count="12">
        <item x="4"/>
        <item x="7"/>
        <item x="2"/>
        <item x="5"/>
        <item x="1"/>
        <item x="6"/>
        <item x="10"/>
        <item x="0"/>
        <item x="8"/>
        <item x="3"/>
        <item x="9"/>
        <item t="default"/>
      </items>
    </pivotField>
    <pivotField showAll="0"/>
    <pivotField showAll="0">
      <items count="5">
        <item x="0"/>
        <item m="1" x="3"/>
        <item x="1"/>
        <item m="1" x="2"/>
        <item t="default"/>
      </items>
    </pivotField>
    <pivotField showAll="0"/>
  </pivotFields>
  <rowItems count="1">
    <i/>
  </rowItems>
  <colItems count="1">
    <i/>
  </colItems>
  <dataFields count="1">
    <dataField name="Toplam Ciro" fld="9" baseField="0" baseItem="0" numFmtId="3"/>
  </dataFields>
  <formats count="6">
    <format dxfId="2310">
      <pivotArea outline="0" collapsedLevelsAreSubtotals="1" fieldPosition="0"/>
    </format>
    <format dxfId="2311">
      <pivotArea type="all" dataOnly="0" outline="0" fieldPosition="0"/>
    </format>
    <format dxfId="2312">
      <pivotArea outline="0" collapsedLevelsAreSubtotals="1" fieldPosition="0"/>
    </format>
    <format dxfId="2313">
      <pivotArea dataOnly="0" labelOnly="1" outline="0" axis="axisValues" fieldPosition="0"/>
    </format>
    <format dxfId="2314">
      <pivotArea outline="0" collapsedLevelsAreSubtotals="1" fieldPosition="0"/>
    </format>
    <format dxfId="231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7983A8-963E-458A-B2E6-8D72AD41D55B}" name="PivotTable9" cacheId="35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outline="1" outlineData="1" multipleFieldFilters="0" chartFormat="6">
  <location ref="A10:B26" firstHeaderRow="1" firstDataRow="1" firstDataCol="1"/>
  <pivotFields count="16">
    <pivotField showAll="0"/>
    <pivotField showAll="0"/>
    <pivotField showAll="0"/>
    <pivotField showAll="0"/>
    <pivotField dataField="1" showAll="0"/>
    <pivotField showAll="0"/>
    <pivotField showAll="0"/>
    <pivotField showAll="0">
      <items count="6">
        <item x="3"/>
        <item x="2"/>
        <item x="0"/>
        <item x="1"/>
        <item x="4"/>
        <item t="default"/>
      </items>
    </pivotField>
    <pivotField showAll="0"/>
    <pivotField showAll="0"/>
    <pivotField showAll="0"/>
    <pivotField axis="axisRow" showAll="0">
      <items count="16">
        <item x="0"/>
        <item x="13"/>
        <item x="9"/>
        <item x="11"/>
        <item x="1"/>
        <item x="14"/>
        <item x="10"/>
        <item x="6"/>
        <item x="8"/>
        <item x="12"/>
        <item x="5"/>
        <item x="3"/>
        <item x="4"/>
        <item x="7"/>
        <item x="2"/>
        <item t="default"/>
      </items>
    </pivotField>
    <pivotField showAll="0">
      <items count="12">
        <item x="4"/>
        <item x="7"/>
        <item x="2"/>
        <item x="5"/>
        <item x="1"/>
        <item x="6"/>
        <item x="10"/>
        <item x="0"/>
        <item x="8"/>
        <item x="3"/>
        <item x="9"/>
        <item t="default"/>
      </items>
    </pivotField>
    <pivotField showAll="0"/>
    <pivotField showAll="0">
      <items count="5">
        <item x="0"/>
        <item m="1" x="3"/>
        <item x="1"/>
        <item m="1" x="2"/>
        <item t="default"/>
      </items>
    </pivotField>
    <pivotField showAll="0"/>
  </pivotFields>
  <rowFields count="1">
    <field x="11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Toplam Satış Miktarı" fld="4" baseField="0" baseItem="0"/>
  </dataFields>
  <formats count="2">
    <format dxfId="2308">
      <pivotArea type="all" dataOnly="0" outline="0" fieldPosition="0"/>
    </format>
    <format dxfId="2309">
      <pivotArea outline="0" collapsedLevelsAreSubtotals="1" fieldPosition="0"/>
    </format>
  </format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59A1FD-2046-4770-8E6B-39E3E57AF01E}" name="PivotTable7" cacheId="35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outline="1" outlineData="1" multipleFieldFilters="0">
  <location ref="C7:C8" firstHeaderRow="1" firstDataRow="1" firstDataCol="0"/>
  <pivotFields count="16">
    <pivotField showAll="0"/>
    <pivotField showAll="0"/>
    <pivotField showAll="0"/>
    <pivotField showAll="0"/>
    <pivotField showAll="0"/>
    <pivotField showAll="0"/>
    <pivotField dataField="1" showAll="0"/>
    <pivotField showAll="0">
      <items count="6">
        <item x="3"/>
        <item x="2"/>
        <item x="0"/>
        <item x="1"/>
        <item x="4"/>
        <item t="default"/>
      </items>
    </pivotField>
    <pivotField showAll="0"/>
    <pivotField showAll="0"/>
    <pivotField showAll="0"/>
    <pivotField showAll="0">
      <items count="16">
        <item x="0"/>
        <item x="13"/>
        <item x="9"/>
        <item x="11"/>
        <item x="1"/>
        <item x="14"/>
        <item x="10"/>
        <item x="6"/>
        <item x="8"/>
        <item x="12"/>
        <item x="5"/>
        <item x="3"/>
        <item x="4"/>
        <item x="7"/>
        <item x="2"/>
        <item t="default"/>
      </items>
    </pivotField>
    <pivotField showAll="0">
      <items count="12">
        <item x="4"/>
        <item x="7"/>
        <item x="2"/>
        <item x="5"/>
        <item x="1"/>
        <item x="6"/>
        <item x="10"/>
        <item x="0"/>
        <item x="8"/>
        <item x="3"/>
        <item x="9"/>
        <item t="default"/>
      </items>
    </pivotField>
    <pivotField showAll="0"/>
    <pivotField showAll="0">
      <items count="5">
        <item x="0"/>
        <item m="1" x="3"/>
        <item x="1"/>
        <item m="1" x="2"/>
        <item t="default"/>
      </items>
    </pivotField>
    <pivotField showAll="0"/>
  </pivotFields>
  <rowItems count="1">
    <i/>
  </rowItems>
  <colItems count="1">
    <i/>
  </colItems>
  <dataFields count="1">
    <dataField name="Ortalama % İade Oranı" fld="6" subtotal="average" baseField="0" baseItem="0" numFmtId="10"/>
  </dataFields>
  <formats count="2">
    <format dxfId="2306">
      <pivotArea type="all" dataOnly="0" outline="0" fieldPosition="0"/>
    </format>
    <format dxfId="230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F0D5CA-590C-448E-9F44-A64451EA8119}" name="PivotTable6" cacheId="35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outline="1" outlineData="1" multipleFieldFilters="0">
  <location ref="A3:A4" firstHeaderRow="1" firstDataRow="1" firstDataCol="0"/>
  <pivotFields count="16">
    <pivotField showAll="0"/>
    <pivotField showAll="0"/>
    <pivotField showAll="0"/>
    <pivotField showAll="0"/>
    <pivotField dataField="1" showAll="0"/>
    <pivotField showAll="0"/>
    <pivotField showAll="0"/>
    <pivotField showAll="0">
      <items count="6">
        <item x="3"/>
        <item x="2"/>
        <item x="0"/>
        <item x="1"/>
        <item x="4"/>
        <item t="default"/>
      </items>
    </pivotField>
    <pivotField showAll="0"/>
    <pivotField showAll="0"/>
    <pivotField showAll="0"/>
    <pivotField showAll="0">
      <items count="16">
        <item x="0"/>
        <item x="13"/>
        <item x="9"/>
        <item x="11"/>
        <item x="1"/>
        <item x="14"/>
        <item x="10"/>
        <item x="6"/>
        <item x="8"/>
        <item x="12"/>
        <item x="5"/>
        <item x="3"/>
        <item x="4"/>
        <item x="7"/>
        <item x="2"/>
        <item t="default"/>
      </items>
    </pivotField>
    <pivotField showAll="0">
      <items count="12">
        <item x="4"/>
        <item x="7"/>
        <item x="2"/>
        <item x="5"/>
        <item x="1"/>
        <item x="6"/>
        <item x="10"/>
        <item x="0"/>
        <item x="8"/>
        <item x="3"/>
        <item x="9"/>
        <item t="default"/>
      </items>
    </pivotField>
    <pivotField showAll="0"/>
    <pivotField showAll="0">
      <items count="5">
        <item x="0"/>
        <item m="1" x="3"/>
        <item x="1"/>
        <item m="1" x="2"/>
        <item t="default"/>
      </items>
    </pivotField>
    <pivotField showAll="0"/>
  </pivotFields>
  <rowItems count="1">
    <i/>
  </rowItems>
  <colItems count="1">
    <i/>
  </colItems>
  <dataFields count="1">
    <dataField name="Toplam Satış Miktarı" fld="4" baseField="0" baseItem="0" numFmtId="166"/>
  </dataFields>
  <formats count="5">
    <format dxfId="2301">
      <pivotArea outline="0" collapsedLevelsAreSubtotals="1" fieldPosition="0"/>
    </format>
    <format dxfId="2302">
      <pivotArea type="all" dataOnly="0" outline="0" fieldPosition="0"/>
    </format>
    <format dxfId="2303">
      <pivotArea outline="0" collapsedLevelsAreSubtotals="1" fieldPosition="0"/>
    </format>
    <format dxfId="2304">
      <pivotArea dataOnly="0" labelOnly="1" outline="0" axis="axisValues" fieldPosition="0"/>
    </format>
    <format dxfId="230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49C21D-E379-4882-9D5E-F3350757BA1B}" name="PivotTable1" cacheId="35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outline="1" outlineData="1" multipleFieldFilters="0">
  <location ref="C3:C4" firstHeaderRow="1" firstDataRow="1" firstDataCol="0"/>
  <pivotFields count="16">
    <pivotField showAll="0"/>
    <pivotField showAll="0"/>
    <pivotField showAll="0"/>
    <pivotField showAll="0"/>
    <pivotField showAll="0"/>
    <pivotField dataField="1" showAll="0"/>
    <pivotField showAll="0"/>
    <pivotField showAll="0">
      <items count="6">
        <item x="3"/>
        <item x="2"/>
        <item x="0"/>
        <item x="1"/>
        <item x="4"/>
        <item t="default"/>
      </items>
    </pivotField>
    <pivotField showAll="0"/>
    <pivotField showAll="0"/>
    <pivotField showAll="0"/>
    <pivotField showAll="0">
      <items count="16">
        <item x="0"/>
        <item x="13"/>
        <item x="9"/>
        <item x="11"/>
        <item x="1"/>
        <item x="14"/>
        <item x="10"/>
        <item x="6"/>
        <item x="8"/>
        <item x="12"/>
        <item x="5"/>
        <item x="3"/>
        <item x="4"/>
        <item x="7"/>
        <item x="2"/>
        <item t="default"/>
      </items>
    </pivotField>
    <pivotField showAll="0">
      <items count="12">
        <item x="4"/>
        <item x="7"/>
        <item x="2"/>
        <item x="5"/>
        <item x="1"/>
        <item x="6"/>
        <item x="10"/>
        <item x="0"/>
        <item x="8"/>
        <item x="3"/>
        <item x="9"/>
        <item t="default"/>
      </items>
    </pivotField>
    <pivotField showAll="0"/>
    <pivotField showAll="0">
      <items count="5">
        <item x="0"/>
        <item m="1" x="3"/>
        <item x="1"/>
        <item m="1" x="2"/>
        <item t="default"/>
      </items>
    </pivotField>
    <pivotField showAll="0"/>
  </pivotFields>
  <rowItems count="1">
    <i/>
  </rowItems>
  <colItems count="1">
    <i/>
  </colItems>
  <dataFields count="1">
    <dataField name="Toplam İade Miktarı" fld="5" baseField="0" baseItem="0" numFmtId="166"/>
  </dataFields>
  <formats count="2">
    <format dxfId="2299">
      <pivotArea type="all" dataOnly="0" outline="0" fieldPosition="0"/>
    </format>
    <format dxfId="230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0C1195-DBCE-4C3E-A371-6651FECF1377}" name="PivotTable4" cacheId="35" applyNumberFormats="0" applyBorderFormats="0" applyFontFormats="0" applyPatternFormats="0" applyAlignmentFormats="0" applyWidthHeightFormats="1" dataCaption="Değerler" grandTotalCaption="Total" updatedVersion="8" minRefreshableVersion="3" useAutoFormatting="1" itemPrintTitles="1" createdVersion="8" indent="0" compact="0" compactData="0" multipleFieldFilters="0">
  <location ref="H22:J32" firstHeaderRow="1" firstDataRow="1" firstDataCol="2"/>
  <pivotFields count="16"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name="Country" axis="axisRow" compact="0" outline="0" showAll="0" defaultSubtotal="0">
      <items count="5">
        <item x="3"/>
        <item x="2"/>
        <item x="0"/>
        <item x="1"/>
        <item x="4"/>
      </items>
    </pivotField>
    <pivotField compact="0" outline="0" showAll="0"/>
    <pivotField compact="0" outline="0" showAll="0"/>
    <pivotField compact="0" outline="0" showAll="0"/>
    <pivotField compact="0" outline="0" showAll="0">
      <items count="16">
        <item x="0"/>
        <item x="13"/>
        <item x="9"/>
        <item x="11"/>
        <item x="1"/>
        <item x="14"/>
        <item x="10"/>
        <item x="6"/>
        <item x="8"/>
        <item x="12"/>
        <item x="5"/>
        <item x="3"/>
        <item x="4"/>
        <item x="7"/>
        <item x="2"/>
        <item t="default"/>
      </items>
    </pivotField>
    <pivotField compact="0" outline="0" showAll="0">
      <items count="12">
        <item x="4"/>
        <item x="7"/>
        <item x="2"/>
        <item x="5"/>
        <item x="1"/>
        <item x="6"/>
        <item x="10"/>
        <item x="0"/>
        <item x="8"/>
        <item x="3"/>
        <item x="9"/>
        <item t="default"/>
      </items>
    </pivotField>
    <pivotField compact="0" outline="0" showAll="0"/>
    <pivotField name="Transport" axis="axisRow" compact="0" outline="0" showAll="0">
      <items count="5">
        <item m="1" x="3"/>
        <item m="1" x="2"/>
        <item x="0"/>
        <item x="1"/>
        <item t="default"/>
      </items>
    </pivotField>
    <pivotField compact="0" outline="0" showAll="0"/>
  </pivotFields>
  <rowFields count="2">
    <field x="7"/>
    <field x="14"/>
  </rowFields>
  <rowItems count="10">
    <i>
      <x/>
      <x v="2"/>
    </i>
    <i>
      <x v="1"/>
      <x v="2"/>
    </i>
    <i r="1">
      <x v="3"/>
    </i>
    <i>
      <x v="2"/>
      <x v="2"/>
    </i>
    <i r="1">
      <x v="3"/>
    </i>
    <i>
      <x v="3"/>
      <x v="2"/>
    </i>
    <i r="1">
      <x v="3"/>
    </i>
    <i>
      <x v="4"/>
      <x v="2"/>
    </i>
    <i r="1">
      <x v="3"/>
    </i>
    <i t="grand">
      <x/>
    </i>
  </rowItems>
  <colItems count="1">
    <i/>
  </colItems>
  <dataFields count="1">
    <dataField name="Total Sales" fld="4" baseField="14" baseItem="1" numFmtId="166"/>
  </dataFields>
  <formats count="54">
    <format dxfId="2245">
      <pivotArea type="all" dataOnly="0" outline="0" fieldPosition="0"/>
    </format>
    <format dxfId="2246">
      <pivotArea outline="0" collapsedLevelsAreSubtotals="1" fieldPosition="0"/>
    </format>
    <format dxfId="2247">
      <pivotArea field="7" type="button" dataOnly="0" labelOnly="1" outline="0" axis="axisRow" fieldPosition="0"/>
    </format>
    <format dxfId="2248">
      <pivotArea field="14" type="button" dataOnly="0" labelOnly="1" outline="0" axis="axisRow" fieldPosition="1"/>
    </format>
    <format dxfId="2249">
      <pivotArea dataOnly="0" labelOnly="1" outline="0" fieldPosition="0">
        <references count="1">
          <reference field="7" count="0"/>
        </references>
      </pivotArea>
    </format>
    <format dxfId="2250">
      <pivotArea dataOnly="0" labelOnly="1" outline="0" fieldPosition="0">
        <references count="1">
          <reference field="7" count="0" defaultSubtotal="1"/>
        </references>
      </pivotArea>
    </format>
    <format dxfId="2251">
      <pivotArea dataOnly="0" labelOnly="1" grandRow="1" outline="0" fieldPosition="0"/>
    </format>
    <format dxfId="2252">
      <pivotArea dataOnly="0" labelOnly="1" outline="0" fieldPosition="0">
        <references count="2">
          <reference field="7" count="1" selected="0">
            <x v="0"/>
          </reference>
          <reference field="14" count="1">
            <x v="1"/>
          </reference>
        </references>
      </pivotArea>
    </format>
    <format dxfId="2253">
      <pivotArea dataOnly="0" labelOnly="1" outline="0" fieldPosition="0">
        <references count="2">
          <reference field="7" count="1" selected="0">
            <x v="1"/>
          </reference>
          <reference field="14" count="0"/>
        </references>
      </pivotArea>
    </format>
    <format dxfId="2254">
      <pivotArea dataOnly="0" labelOnly="1" outline="0" fieldPosition="0">
        <references count="2">
          <reference field="7" count="1" selected="0">
            <x v="2"/>
          </reference>
          <reference field="14" count="0"/>
        </references>
      </pivotArea>
    </format>
    <format dxfId="2255">
      <pivotArea dataOnly="0" labelOnly="1" outline="0" fieldPosition="0">
        <references count="2">
          <reference field="7" count="1" selected="0">
            <x v="3"/>
          </reference>
          <reference field="14" count="0"/>
        </references>
      </pivotArea>
    </format>
    <format dxfId="2256">
      <pivotArea dataOnly="0" labelOnly="1" outline="0" fieldPosition="0">
        <references count="2">
          <reference field="7" count="1" selected="0">
            <x v="4"/>
          </reference>
          <reference field="14" count="0"/>
        </references>
      </pivotArea>
    </format>
    <format dxfId="2257">
      <pivotArea dataOnly="0" labelOnly="1" outline="0" axis="axisValues" fieldPosition="0"/>
    </format>
    <format dxfId="2258">
      <pivotArea type="all" dataOnly="0" outline="0" fieldPosition="0"/>
    </format>
    <format dxfId="2259">
      <pivotArea outline="0" collapsedLevelsAreSubtotals="1" fieldPosition="0"/>
    </format>
    <format dxfId="2260">
      <pivotArea field="7" type="button" dataOnly="0" labelOnly="1" outline="0" axis="axisRow" fieldPosition="0"/>
    </format>
    <format dxfId="2261">
      <pivotArea field="14" type="button" dataOnly="0" labelOnly="1" outline="0" axis="axisRow" fieldPosition="1"/>
    </format>
    <format dxfId="2262">
      <pivotArea dataOnly="0" labelOnly="1" outline="0" fieldPosition="0">
        <references count="1">
          <reference field="7" count="0"/>
        </references>
      </pivotArea>
    </format>
    <format dxfId="2263">
      <pivotArea dataOnly="0" labelOnly="1" grandRow="1" outline="0" fieldPosition="0"/>
    </format>
    <format dxfId="2264">
      <pivotArea dataOnly="0" labelOnly="1" outline="0" fieldPosition="0">
        <references count="2">
          <reference field="7" count="1" selected="0">
            <x v="0"/>
          </reference>
          <reference field="14" count="1">
            <x v="2"/>
          </reference>
        </references>
      </pivotArea>
    </format>
    <format dxfId="2265">
      <pivotArea dataOnly="0" labelOnly="1" outline="0" fieldPosition="0">
        <references count="2">
          <reference field="7" count="1" selected="0">
            <x v="1"/>
          </reference>
          <reference field="14" count="0"/>
        </references>
      </pivotArea>
    </format>
    <format dxfId="2266">
      <pivotArea dataOnly="0" labelOnly="1" outline="0" fieldPosition="0">
        <references count="2">
          <reference field="7" count="1" selected="0">
            <x v="2"/>
          </reference>
          <reference field="14" count="0"/>
        </references>
      </pivotArea>
    </format>
    <format dxfId="2267">
      <pivotArea dataOnly="0" labelOnly="1" outline="0" fieldPosition="0">
        <references count="2">
          <reference field="7" count="1" selected="0">
            <x v="3"/>
          </reference>
          <reference field="14" count="0"/>
        </references>
      </pivotArea>
    </format>
    <format dxfId="2268">
      <pivotArea dataOnly="0" labelOnly="1" outline="0" fieldPosition="0">
        <references count="2">
          <reference field="7" count="1" selected="0">
            <x v="4"/>
          </reference>
          <reference field="14" count="0"/>
        </references>
      </pivotArea>
    </format>
    <format dxfId="2269">
      <pivotArea dataOnly="0" labelOnly="1" outline="0" axis="axisValues" fieldPosition="0"/>
    </format>
    <format dxfId="2270">
      <pivotArea type="all" dataOnly="0" outline="0" fieldPosition="0"/>
    </format>
    <format dxfId="2271">
      <pivotArea outline="0" collapsedLevelsAreSubtotals="1" fieldPosition="0"/>
    </format>
    <format dxfId="2272">
      <pivotArea field="7" type="button" dataOnly="0" labelOnly="1" outline="0" axis="axisRow" fieldPosition="0"/>
    </format>
    <format dxfId="2273">
      <pivotArea field="14" type="button" dataOnly="0" labelOnly="1" outline="0" axis="axisRow" fieldPosition="1"/>
    </format>
    <format dxfId="2274">
      <pivotArea dataOnly="0" labelOnly="1" outline="0" fieldPosition="0">
        <references count="1">
          <reference field="7" count="0"/>
        </references>
      </pivotArea>
    </format>
    <format dxfId="2275">
      <pivotArea dataOnly="0" labelOnly="1" grandRow="1" outline="0" fieldPosition="0"/>
    </format>
    <format dxfId="2276">
      <pivotArea dataOnly="0" labelOnly="1" outline="0" axis="axisValues" fieldPosition="0"/>
    </format>
    <format dxfId="2277">
      <pivotArea type="all" dataOnly="0" outline="0" fieldPosition="0"/>
    </format>
    <format dxfId="2278">
      <pivotArea outline="0" collapsedLevelsAreSubtotals="1" fieldPosition="0"/>
    </format>
    <format dxfId="2279">
      <pivotArea field="7" type="button" dataOnly="0" labelOnly="1" outline="0" axis="axisRow" fieldPosition="0"/>
    </format>
    <format dxfId="2280">
      <pivotArea field="14" type="button" dataOnly="0" labelOnly="1" outline="0" axis="axisRow" fieldPosition="1"/>
    </format>
    <format dxfId="2281">
      <pivotArea dataOnly="0" labelOnly="1" outline="0" fieldPosition="0">
        <references count="1">
          <reference field="7" count="0"/>
        </references>
      </pivotArea>
    </format>
    <format dxfId="2282">
      <pivotArea dataOnly="0" labelOnly="1" grandRow="1" outline="0" fieldPosition="0"/>
    </format>
    <format dxfId="2283">
      <pivotArea dataOnly="0" labelOnly="1" outline="0" fieldPosition="0">
        <references count="2">
          <reference field="7" count="1" selected="0">
            <x v="0"/>
          </reference>
          <reference field="14" count="1">
            <x v="2"/>
          </reference>
        </references>
      </pivotArea>
    </format>
    <format dxfId="2284">
      <pivotArea dataOnly="0" labelOnly="1" outline="0" fieldPosition="0">
        <references count="2">
          <reference field="7" count="1" selected="0">
            <x v="1"/>
          </reference>
          <reference field="14" count="0"/>
        </references>
      </pivotArea>
    </format>
    <format dxfId="2285">
      <pivotArea dataOnly="0" labelOnly="1" outline="0" fieldPosition="0">
        <references count="2">
          <reference field="7" count="1" selected="0">
            <x v="2"/>
          </reference>
          <reference field="14" count="0"/>
        </references>
      </pivotArea>
    </format>
    <format dxfId="2286">
      <pivotArea dataOnly="0" labelOnly="1" outline="0" fieldPosition="0">
        <references count="2">
          <reference field="7" count="1" selected="0">
            <x v="3"/>
          </reference>
          <reference field="14" count="0"/>
        </references>
      </pivotArea>
    </format>
    <format dxfId="2287">
      <pivotArea dataOnly="0" labelOnly="1" outline="0" fieldPosition="0">
        <references count="2">
          <reference field="7" count="1" selected="0">
            <x v="4"/>
          </reference>
          <reference field="14" count="0"/>
        </references>
      </pivotArea>
    </format>
    <format dxfId="2288">
      <pivotArea dataOnly="0" labelOnly="1" outline="0" axis="axisValues" fieldPosition="0"/>
    </format>
    <format dxfId="2289">
      <pivotArea dataOnly="0" labelOnly="1" outline="0" fieldPosition="0">
        <references count="1">
          <reference field="7" count="4">
            <x v="0"/>
            <x v="1"/>
            <x v="2"/>
            <x v="3"/>
          </reference>
        </references>
      </pivotArea>
    </format>
    <format dxfId="2290">
      <pivotArea dataOnly="0" labelOnly="1" outline="0" fieldPosition="0">
        <references count="1">
          <reference field="7" count="1">
            <x v="4"/>
          </reference>
        </references>
      </pivotArea>
    </format>
    <format dxfId="2291">
      <pivotArea dataOnly="0" labelOnly="1" outline="0" fieldPosition="0">
        <references count="2">
          <reference field="7" count="1" selected="0">
            <x v="0"/>
          </reference>
          <reference field="14" count="1">
            <x v="2"/>
          </reference>
        </references>
      </pivotArea>
    </format>
    <format dxfId="2292">
      <pivotArea dataOnly="0" labelOnly="1" outline="0" fieldPosition="0">
        <references count="2">
          <reference field="7" count="1" selected="0">
            <x v="1"/>
          </reference>
          <reference field="14" count="0"/>
        </references>
      </pivotArea>
    </format>
    <format dxfId="2293">
      <pivotArea dataOnly="0" labelOnly="1" outline="0" fieldPosition="0">
        <references count="2">
          <reference field="7" count="1" selected="0">
            <x v="2"/>
          </reference>
          <reference field="14" count="0"/>
        </references>
      </pivotArea>
    </format>
    <format dxfId="2294">
      <pivotArea dataOnly="0" labelOnly="1" outline="0" fieldPosition="0">
        <references count="2">
          <reference field="7" count="1" selected="0">
            <x v="3"/>
          </reference>
          <reference field="14" count="0"/>
        </references>
      </pivotArea>
    </format>
    <format dxfId="2295">
      <pivotArea dataOnly="0" labelOnly="1" outline="0" fieldPosition="0">
        <references count="2">
          <reference field="7" count="1" selected="0">
            <x v="4"/>
          </reference>
          <reference field="14" count="0"/>
        </references>
      </pivotArea>
    </format>
    <format dxfId="2296">
      <pivotArea outline="0" fieldPosition="0">
        <references count="2">
          <reference field="7" count="0" selected="0"/>
          <reference field="14" count="0" selected="0"/>
        </references>
      </pivotArea>
    </format>
    <format dxfId="2297">
      <pivotArea outline="0" fieldPosition="0">
        <references count="2">
          <reference field="7" count="0" selected="0"/>
          <reference field="14" count="0" selected="0"/>
        </references>
      </pivotArea>
    </format>
    <format dxfId="2298">
      <pivotArea outline="0" collapsedLevelsAreSubtotals="1" fieldPosition="0"/>
    </format>
  </formats>
  <pivotTableStyleInfo name="PivotTable Stili 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D2ADB6-9260-459F-8ECE-A2550A96E2D9}" name="PivotTable2" cacheId="35" applyNumberFormats="0" applyBorderFormats="0" applyFontFormats="0" applyPatternFormats="0" applyAlignmentFormats="0" applyWidthHeightFormats="1" dataCaption="Değerler" grandTotalCaption="Total" updatedVersion="8" minRefreshableVersion="3" useAutoFormatting="1" itemPrintTitles="1" createdVersion="8" indent="0" outline="1" outlineData="1" multipleFieldFilters="0" rowHeaderCaption="Customer">
  <location ref="B22:E38" firstHeaderRow="0" firstDataRow="1" firstDataCol="1"/>
  <pivotFields count="16">
    <pivotField showAll="0"/>
    <pivotField showAll="0"/>
    <pivotField showAll="0"/>
    <pivotField showAll="0"/>
    <pivotField dataField="1" showAll="0"/>
    <pivotField showAll="0"/>
    <pivotField showAll="0"/>
    <pivotField showAll="0">
      <items count="6">
        <item x="3"/>
        <item x="2"/>
        <item x="0"/>
        <item x="1"/>
        <item x="4"/>
        <item t="default"/>
      </items>
    </pivotField>
    <pivotField showAll="0"/>
    <pivotField showAll="0"/>
    <pivotField showAll="0"/>
    <pivotField axis="axisRow" showAll="0">
      <items count="16">
        <item x="0"/>
        <item x="13"/>
        <item x="9"/>
        <item x="11"/>
        <item x="1"/>
        <item x="14"/>
        <item x="10"/>
        <item x="6"/>
        <item x="8"/>
        <item x="12"/>
        <item x="5"/>
        <item x="3"/>
        <item x="4"/>
        <item x="7"/>
        <item x="2"/>
        <item t="default"/>
      </items>
    </pivotField>
    <pivotField showAll="0">
      <items count="12">
        <item x="4"/>
        <item x="7"/>
        <item x="2"/>
        <item x="5"/>
        <item x="1"/>
        <item x="6"/>
        <item x="10"/>
        <item x="0"/>
        <item x="8"/>
        <item x="3"/>
        <item x="9"/>
        <item t="default"/>
      </items>
    </pivotField>
    <pivotField showAll="0"/>
    <pivotField showAll="0">
      <items count="5">
        <item x="0"/>
        <item m="1" x="3"/>
        <item x="1"/>
        <item m="1" x="2"/>
        <item t="default"/>
      </items>
    </pivotField>
    <pivotField showAll="0"/>
  </pivotFields>
  <rowFields count="1">
    <field x="11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Total Sales" fld="4" baseField="11" baseItem="0" numFmtId="166"/>
    <dataField name="Sales %" fld="4" showDataAs="percentOfTotal" baseField="0" baseItem="0" numFmtId="10"/>
    <dataField name="Status" fld="4" showDataAs="difference" baseField="11" baseItem="1048828"/>
  </dataFields>
  <formats count="18">
    <format dxfId="2227">
      <pivotArea type="all" dataOnly="0" outline="0" fieldPosition="0"/>
    </format>
    <format dxfId="2228">
      <pivotArea dataOnly="0" labelOnly="1" fieldPosition="0">
        <references count="1">
          <reference field="11" count="0"/>
        </references>
      </pivotArea>
    </format>
    <format dxfId="2229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2230">
      <pivotArea outline="0" fieldPosition="0">
        <references count="1">
          <reference field="4294967294" count="1">
            <x v="1"/>
          </reference>
        </references>
      </pivotArea>
    </format>
    <format dxfId="2231">
      <pivotArea collapsedLevelsAreSubtotals="1" fieldPosition="0">
        <references count="2">
          <reference field="4294967294" count="1" selected="0">
            <x v="2"/>
          </reference>
          <reference field="11" count="0"/>
        </references>
      </pivotArea>
    </format>
    <format dxfId="2232">
      <pivotArea collapsedLevelsAreSubtotals="1" fieldPosition="0">
        <references count="2">
          <reference field="4294967294" count="1" selected="0">
            <x v="2"/>
          </reference>
          <reference field="11" count="0"/>
        </references>
      </pivotArea>
    </format>
    <format dxfId="2233">
      <pivotArea collapsedLevelsAreSubtotals="1" fieldPosition="0">
        <references count="2">
          <reference field="4294967294" count="1" selected="0">
            <x v="2"/>
          </reference>
          <reference field="11" count="0"/>
        </references>
      </pivotArea>
    </format>
    <format dxfId="2234">
      <pivotArea collapsedLevelsAreSubtotals="1" fieldPosition="0">
        <references count="2">
          <reference field="4294967294" count="1" selected="0">
            <x v="2"/>
          </reference>
          <reference field="11" count="0"/>
        </references>
      </pivotArea>
    </format>
    <format dxfId="2235">
      <pivotArea collapsedLevelsAreSubtotals="1" fieldPosition="0">
        <references count="1">
          <reference field="11" count="0"/>
        </references>
      </pivotArea>
    </format>
    <format dxfId="2236">
      <pivotArea dataOnly="0" labelOnly="1" fieldPosition="0">
        <references count="1">
          <reference field="11" count="0"/>
        </references>
      </pivotArea>
    </format>
    <format dxfId="2237">
      <pivotArea collapsedLevelsAreSubtotals="1" fieldPosition="0">
        <references count="1">
          <reference field="11" count="0"/>
        </references>
      </pivotArea>
    </format>
    <format dxfId="2238">
      <pivotArea dataOnly="0" labelOnly="1" fieldPosition="0">
        <references count="1">
          <reference field="11" count="0"/>
        </references>
      </pivotArea>
    </format>
    <format dxfId="2239">
      <pivotArea type="all" dataOnly="0" outline="0" fieldPosition="0"/>
    </format>
    <format dxfId="2240">
      <pivotArea outline="0" collapsedLevelsAreSubtotals="1" fieldPosition="0"/>
    </format>
    <format dxfId="2241">
      <pivotArea field="11" type="button" dataOnly="0" labelOnly="1" outline="0" axis="axisRow" fieldPosition="0"/>
    </format>
    <format dxfId="2242">
      <pivotArea dataOnly="0" labelOnly="1" fieldPosition="0">
        <references count="1">
          <reference field="11" count="0"/>
        </references>
      </pivotArea>
    </format>
    <format dxfId="2243">
      <pivotArea dataOnly="0" labelOnly="1" grandRow="1" outline="0" fieldPosition="0"/>
    </format>
    <format dxfId="2244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Table Stili 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Sevkiyat" xr10:uid="{700A51E6-BE20-49AC-BEE6-670F07597C8D}" sourceName="Sevkiyat">
  <pivotTables>
    <pivotTable tabId="2" name="PivotTable6"/>
    <pivotTable tabId="3" name="PivotTable2"/>
    <pivotTable tabId="3" name="PivotTable4"/>
    <pivotTable tabId="2" name="PivotTable1"/>
    <pivotTable tabId="2" name="PivotTable7"/>
    <pivotTable tabId="2" name="PivotTable8"/>
    <pivotTable tabId="2" name="PivotTable9"/>
  </pivotTables>
  <data>
    <tabular pivotCacheId="1081866129">
      <items count="4">
        <i x="0" s="1"/>
        <i x="1" s="1"/>
        <i x="3" s="1" nd="1"/>
        <i x="2" s="1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Ürün_Adı" xr10:uid="{3A7D61D3-3571-438E-9D2E-D37C2309708C}" sourceName="Ürün Adı">
  <pivotTables>
    <pivotTable tabId="2" name="PivotTable6"/>
    <pivotTable tabId="3" name="PivotTable2"/>
    <pivotTable tabId="3" name="PivotTable4"/>
    <pivotTable tabId="2" name="PivotTable1"/>
    <pivotTable tabId="2" name="PivotTable7"/>
    <pivotTable tabId="2" name="PivotTable8"/>
    <pivotTable tabId="2" name="PivotTable9"/>
  </pivotTables>
  <data>
    <tabular pivotCacheId="1081866129">
      <items count="11">
        <i x="4" s="1"/>
        <i x="7" s="1"/>
        <i x="2" s="1"/>
        <i x="5" s="1"/>
        <i x="1" s="1"/>
        <i x="6" s="1"/>
        <i x="10" s="1"/>
        <i x="0" s="1"/>
        <i x="8" s="1"/>
        <i x="3" s="1"/>
        <i x="9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Müşteri" xr10:uid="{B0F605D0-4205-42B7-975B-E913A237A518}" sourceName="Müşteri">
  <pivotTables>
    <pivotTable tabId="2" name="PivotTable6"/>
    <pivotTable tabId="3" name="PivotTable2"/>
    <pivotTable tabId="3" name="PivotTable4"/>
    <pivotTable tabId="2" name="PivotTable1"/>
    <pivotTable tabId="2" name="PivotTable7"/>
    <pivotTable tabId="2" name="PivotTable8"/>
    <pivotTable tabId="2" name="PivotTable9"/>
  </pivotTables>
  <data>
    <tabular pivotCacheId="1081866129">
      <items count="15">
        <i x="0" s="1"/>
        <i x="13" s="1"/>
        <i x="9" s="1"/>
        <i x="11" s="1"/>
        <i x="1" s="1"/>
        <i x="14" s="1"/>
        <i x="10" s="1"/>
        <i x="6" s="1"/>
        <i x="8" s="1"/>
        <i x="12" s="1"/>
        <i x="5" s="1"/>
        <i x="3" s="1"/>
        <i x="4" s="1"/>
        <i x="7" s="1"/>
        <i x="2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Ülke" xr10:uid="{B66AE8F8-6C1B-4BFA-9C2C-FFC014C0D7CB}" sourceName="Ülke">
  <pivotTables>
    <pivotTable tabId="2" name="PivotTable6"/>
    <pivotTable tabId="3" name="PivotTable2"/>
    <pivotTable tabId="3" name="PivotTable4"/>
    <pivotTable tabId="2" name="PivotTable1"/>
    <pivotTable tabId="2" name="PivotTable7"/>
    <pivotTable tabId="2" name="PivotTable8"/>
    <pivotTable tabId="2" name="PivotTable9"/>
  </pivotTables>
  <data>
    <tabular pivotCacheId="1081866129">
      <items count="5">
        <i x="3" s="1"/>
        <i x="2" s="1"/>
        <i x="0" s="1"/>
        <i x="1" s="1"/>
        <i x="4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evkiyat" xr10:uid="{085B6EFE-B5C3-4F42-BE95-30CBD95ACE8E}" cache="Dilimleyici_Sevkiyat" caption="Delivery" columnCount="4" style="Dilimleyici Stili 1" rowHeight="257175"/>
  <slicer name="Product" xr10:uid="{D1267A2A-8340-40A2-8938-A326EC26E27A}" cache="Dilimleyici_Ürün_Adı" caption="Product Name" columnCount="3" style="Dilimleyici Stili 1" rowHeight="257175"/>
  <slicer name="Müşteri" xr10:uid="{59F0BF39-1614-42DB-98CC-3600C50D4F0D}" cache="Dilimleyici_Müşteri" caption="Customer" columnCount="4" style="Dilimleyici Stili 1" rowHeight="257175"/>
  <slicer name="Ülke" xr10:uid="{C03B22C4-84E5-4910-AABD-3C455BA9F9B0}" cache="Dilimleyici_Ülke" caption="Country" columnCount="5" style="Dilimleyici Stili 1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7C81DD9-94EE-4088-B8C6-B40D882373AB}" name="Table" displayName="Table" ref="A3:P1003" totalsRowShown="0" headerRowDxfId="4552" dataDxfId="4551">
  <autoFilter ref="A3:P1003" xr:uid="{57C81DD9-94EE-4088-B8C6-B40D882373AB}"/>
  <tableColumns count="16">
    <tableColumn id="1" xr3:uid="{DA9EC089-5CF0-454E-A10E-BA2F8F439FE3}" name="Product No" dataDxfId="4562"/>
    <tableColumn id="2" xr3:uid="{E8B8E5AA-03A8-446F-8AAE-C9211E6632D4}" name="Name" dataDxfId="4561"/>
    <tableColumn id="3" xr3:uid="{94F14E80-39A8-4749-998B-FC9F81384485}" name="Sex" dataDxfId="4560"/>
    <tableColumn id="4" xr3:uid="{A327DD76-1140-402B-A6BF-E4B854E5C391}" name="Date" dataDxfId="4559"/>
    <tableColumn id="5" xr3:uid="{A492B9B5-6AD9-4B77-A4B5-824C11AED9EC}" name="Sell Value" dataDxfId="4558"/>
    <tableColumn id="6" xr3:uid="{B84B469C-DCD4-4F3D-9D72-02D73B93ECAA}" name="Return Value" dataDxfId="4550"/>
    <tableColumn id="7" xr3:uid="{E081C48A-B593-4B3D-9BE0-AB54A26732BB}" name="Return %" dataDxfId="4548">
      <calculatedColumnFormula>Table[[#This Row],[Return Value]]/Table[[#This Row],[Sell Value]]</calculatedColumnFormula>
    </tableColumn>
    <tableColumn id="8" xr3:uid="{E37694DC-EEFC-4B5C-87BF-4921A52C0415}" name="Country" dataDxfId="4549"/>
    <tableColumn id="9" xr3:uid="{DF54DA19-07D8-4D88-B755-8D3F19AEE65E}" name="Selling Price" dataDxfId="4547"/>
    <tableColumn id="10" xr3:uid="{0BECBA14-B164-4F2B-AD30-9DA95491A664}" name="Revenue" dataDxfId="4545">
      <calculatedColumnFormula>Table[[#This Row],[Sell Value]]*Table[[#This Row],[Selling Price]]</calculatedColumnFormula>
    </tableColumn>
    <tableColumn id="11" xr3:uid="{1067F65F-D560-4255-847D-F5234CB6E410}" name="Currency" dataDxfId="4546"/>
    <tableColumn id="12" xr3:uid="{39A2B925-081C-4515-BA6E-E4F70F543193}" name="Customer" dataDxfId="4557"/>
    <tableColumn id="13" xr3:uid="{EE75C508-C17C-4765-A101-0914B3969B2C}" name="Product Name" dataDxfId="4556"/>
    <tableColumn id="14" xr3:uid="{5873DB73-6CC7-42CC-ADB9-431CBEA37006}" name="KDV" dataDxfId="4555"/>
    <tableColumn id="15" xr3:uid="{FEBCDF9D-FC09-46C1-AE92-7B033BE706E9}" name="Delivery" dataDxfId="4554"/>
    <tableColumn id="16" xr3:uid="{192F47E5-509D-4122-A658-BD5A7C60E8A9}" name="Color" dataDxfId="455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Relationship Id="rId4" Type="http://schemas.microsoft.com/office/2007/relationships/slicer" Target="../slicers/slicer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631F2-EB9D-492C-BC32-F3ABBD0842DA}">
  <dimension ref="A3:P1003"/>
  <sheetViews>
    <sheetView workbookViewId="0">
      <selection activeCell="O7" sqref="O7"/>
    </sheetView>
  </sheetViews>
  <sheetFormatPr defaultRowHeight="15" x14ac:dyDescent="0.25"/>
  <cols>
    <col min="1" max="1" width="15.5703125" bestFit="1" customWidth="1"/>
    <col min="2" max="2" width="9.42578125" bestFit="1" customWidth="1"/>
    <col min="3" max="3" width="13.140625" bestFit="1" customWidth="1"/>
    <col min="4" max="4" width="10" bestFit="1" customWidth="1"/>
    <col min="5" max="5" width="16.5703125" bestFit="1" customWidth="1"/>
    <col min="6" max="6" width="16" bestFit="1" customWidth="1"/>
    <col min="7" max="7" width="16.7109375" bestFit="1" customWidth="1"/>
    <col min="8" max="8" width="9.5703125" bestFit="1" customWidth="1"/>
    <col min="9" max="9" width="15.28515625" bestFit="1" customWidth="1"/>
    <col min="10" max="10" width="13.5703125" bestFit="1" customWidth="1"/>
    <col min="11" max="11" width="15.140625" bestFit="1" customWidth="1"/>
    <col min="12" max="12" width="12.42578125" bestFit="1" customWidth="1"/>
    <col min="13" max="13" width="18.42578125" bestFit="1" customWidth="1"/>
    <col min="14" max="14" width="9.28515625" bestFit="1" customWidth="1"/>
    <col min="15" max="15" width="13.140625" bestFit="1" customWidth="1"/>
    <col min="16" max="16" width="11.85546875" bestFit="1" customWidth="1"/>
  </cols>
  <sheetData>
    <row r="3" spans="1:16" x14ac:dyDescent="0.25">
      <c r="A3" s="1" t="s">
        <v>87</v>
      </c>
      <c r="B3" s="1" t="s">
        <v>88</v>
      </c>
      <c r="C3" s="1" t="s">
        <v>89</v>
      </c>
      <c r="D3" s="1" t="s">
        <v>90</v>
      </c>
      <c r="E3" s="1" t="s">
        <v>91</v>
      </c>
      <c r="F3" s="1" t="s">
        <v>92</v>
      </c>
      <c r="G3" s="1" t="s">
        <v>93</v>
      </c>
      <c r="H3" s="1" t="s">
        <v>79</v>
      </c>
      <c r="I3" s="1" t="s">
        <v>94</v>
      </c>
      <c r="J3" s="1" t="s">
        <v>95</v>
      </c>
      <c r="K3" s="1" t="s">
        <v>96</v>
      </c>
      <c r="L3" s="1" t="s">
        <v>77</v>
      </c>
      <c r="M3" s="1" t="s">
        <v>97</v>
      </c>
      <c r="N3" s="1" t="s">
        <v>0</v>
      </c>
      <c r="O3" s="1" t="s">
        <v>98</v>
      </c>
      <c r="P3" s="1" t="s">
        <v>99</v>
      </c>
    </row>
    <row r="4" spans="1:16" x14ac:dyDescent="0.25">
      <c r="A4" s="1">
        <v>548995724</v>
      </c>
      <c r="B4" s="1" t="s">
        <v>1</v>
      </c>
      <c r="C4" s="1" t="s">
        <v>2</v>
      </c>
      <c r="D4" s="1">
        <v>48377</v>
      </c>
      <c r="E4" s="1">
        <v>1795</v>
      </c>
      <c r="F4" s="1">
        <v>41</v>
      </c>
      <c r="G4" s="13">
        <f>Table[[#This Row],[Return Value]]/Table[[#This Row],[Sell Value]]</f>
        <v>2.2841225626740947E-2</v>
      </c>
      <c r="H4" s="1" t="s">
        <v>3</v>
      </c>
      <c r="I4" s="1">
        <v>48</v>
      </c>
      <c r="J4" s="14">
        <f>Table[[#This Row],[Sell Value]]*Table[[#This Row],[Selling Price]]</f>
        <v>86160</v>
      </c>
      <c r="K4" s="1" t="s">
        <v>4</v>
      </c>
      <c r="L4" s="1" t="s">
        <v>5</v>
      </c>
      <c r="M4" s="1" t="s">
        <v>6</v>
      </c>
      <c r="N4" s="1">
        <v>0.2</v>
      </c>
      <c r="O4" s="1" t="s">
        <v>81</v>
      </c>
      <c r="P4" s="1" t="s">
        <v>7</v>
      </c>
    </row>
    <row r="5" spans="1:16" x14ac:dyDescent="0.25">
      <c r="A5" s="1">
        <v>709816894</v>
      </c>
      <c r="B5" s="1" t="s">
        <v>8</v>
      </c>
      <c r="C5" s="1" t="s">
        <v>2</v>
      </c>
      <c r="D5" s="1">
        <v>48016</v>
      </c>
      <c r="E5" s="1">
        <v>1819</v>
      </c>
      <c r="F5" s="1">
        <v>42</v>
      </c>
      <c r="G5" s="13">
        <f>Table[[#This Row],[Return Value]]/Table[[#This Row],[Sell Value]]</f>
        <v>2.308960967564596E-2</v>
      </c>
      <c r="H5" s="1" t="s">
        <v>3</v>
      </c>
      <c r="I5" s="1">
        <v>31</v>
      </c>
      <c r="J5" s="14">
        <f>Table[[#This Row],[Sell Value]]*Table[[#This Row],[Selling Price]]</f>
        <v>56389</v>
      </c>
      <c r="K5" s="1" t="s">
        <v>4</v>
      </c>
      <c r="L5" s="1" t="s">
        <v>9</v>
      </c>
      <c r="M5" s="1" t="s">
        <v>10</v>
      </c>
      <c r="N5" s="1">
        <v>0.2</v>
      </c>
      <c r="O5" s="1" t="s">
        <v>82</v>
      </c>
      <c r="P5" s="1" t="s">
        <v>11</v>
      </c>
    </row>
    <row r="6" spans="1:16" x14ac:dyDescent="0.25">
      <c r="A6" s="1">
        <v>307695570</v>
      </c>
      <c r="B6" s="1" t="s">
        <v>12</v>
      </c>
      <c r="C6" s="1" t="s">
        <v>2</v>
      </c>
      <c r="D6" s="1">
        <v>47915</v>
      </c>
      <c r="E6" s="1">
        <v>2458</v>
      </c>
      <c r="F6" s="1">
        <v>46</v>
      </c>
      <c r="G6" s="13">
        <f>Table[[#This Row],[Return Value]]/Table[[#This Row],[Sell Value]]</f>
        <v>1.8714401952807162E-2</v>
      </c>
      <c r="H6" s="1" t="s">
        <v>3</v>
      </c>
      <c r="I6" s="1">
        <v>38</v>
      </c>
      <c r="J6" s="14">
        <f>Table[[#This Row],[Sell Value]]*Table[[#This Row],[Selling Price]]</f>
        <v>93404</v>
      </c>
      <c r="K6" s="1" t="s">
        <v>4</v>
      </c>
      <c r="L6" s="1" t="s">
        <v>13</v>
      </c>
      <c r="M6" s="1" t="s">
        <v>14</v>
      </c>
      <c r="N6" s="1">
        <v>0.2</v>
      </c>
      <c r="O6" s="1" t="s">
        <v>82</v>
      </c>
      <c r="P6" s="1" t="s">
        <v>15</v>
      </c>
    </row>
    <row r="7" spans="1:16" x14ac:dyDescent="0.25">
      <c r="A7" s="1">
        <v>813468636</v>
      </c>
      <c r="B7" s="1" t="s">
        <v>16</v>
      </c>
      <c r="C7" s="1" t="s">
        <v>17</v>
      </c>
      <c r="D7" s="1">
        <v>48414</v>
      </c>
      <c r="E7" s="1">
        <v>4415</v>
      </c>
      <c r="F7" s="1">
        <v>28</v>
      </c>
      <c r="G7" s="13">
        <f>Table[[#This Row],[Return Value]]/Table[[#This Row],[Sell Value]]</f>
        <v>6.3420158550396375E-3</v>
      </c>
      <c r="H7" s="1" t="s">
        <v>3</v>
      </c>
      <c r="I7" s="1">
        <v>49</v>
      </c>
      <c r="J7" s="14">
        <f>Table[[#This Row],[Sell Value]]*Table[[#This Row],[Selling Price]]</f>
        <v>216335</v>
      </c>
      <c r="K7" s="1" t="s">
        <v>4</v>
      </c>
      <c r="L7" s="1" t="s">
        <v>18</v>
      </c>
      <c r="M7" s="1" t="s">
        <v>6</v>
      </c>
      <c r="N7" s="1">
        <v>0.2</v>
      </c>
      <c r="O7" s="1" t="s">
        <v>81</v>
      </c>
      <c r="P7" s="1" t="s">
        <v>19</v>
      </c>
    </row>
    <row r="8" spans="1:16" x14ac:dyDescent="0.25">
      <c r="A8" s="1">
        <v>210985</v>
      </c>
      <c r="B8" s="1" t="s">
        <v>20</v>
      </c>
      <c r="C8" s="1" t="s">
        <v>17</v>
      </c>
      <c r="D8" s="1">
        <v>48409</v>
      </c>
      <c r="E8" s="1">
        <v>2833</v>
      </c>
      <c r="F8" s="1">
        <v>31</v>
      </c>
      <c r="G8" s="13">
        <f>Table[[#This Row],[Return Value]]/Table[[#This Row],[Sell Value]]</f>
        <v>1.0942463819272856E-2</v>
      </c>
      <c r="H8" s="1" t="s">
        <v>3</v>
      </c>
      <c r="I8" s="1">
        <v>28</v>
      </c>
      <c r="J8" s="14">
        <f>Table[[#This Row],[Sell Value]]*Table[[#This Row],[Selling Price]]</f>
        <v>79324</v>
      </c>
      <c r="K8" s="1" t="s">
        <v>4</v>
      </c>
      <c r="L8" s="1" t="s">
        <v>21</v>
      </c>
      <c r="M8" s="1" t="s">
        <v>22</v>
      </c>
      <c r="N8" s="1">
        <v>0.2</v>
      </c>
      <c r="O8" s="1" t="s">
        <v>81</v>
      </c>
      <c r="P8" s="1" t="s">
        <v>23</v>
      </c>
    </row>
    <row r="9" spans="1:16" x14ac:dyDescent="0.25">
      <c r="A9" s="1">
        <v>620436955</v>
      </c>
      <c r="B9" s="1" t="s">
        <v>24</v>
      </c>
      <c r="C9" s="1" t="s">
        <v>2</v>
      </c>
      <c r="D9" s="1">
        <v>48327</v>
      </c>
      <c r="E9" s="1">
        <v>1688</v>
      </c>
      <c r="F9" s="1">
        <v>32</v>
      </c>
      <c r="G9" s="13">
        <f>Table[[#This Row],[Return Value]]/Table[[#This Row],[Sell Value]]</f>
        <v>1.8957345971563982E-2</v>
      </c>
      <c r="H9" s="1" t="s">
        <v>3</v>
      </c>
      <c r="I9" s="1">
        <v>20</v>
      </c>
      <c r="J9" s="14">
        <f>Table[[#This Row],[Sell Value]]*Table[[#This Row],[Selling Price]]</f>
        <v>33760</v>
      </c>
      <c r="K9" s="1" t="s">
        <v>4</v>
      </c>
      <c r="L9" s="1" t="s">
        <v>25</v>
      </c>
      <c r="M9" s="1" t="s">
        <v>26</v>
      </c>
      <c r="N9" s="1">
        <v>0.2</v>
      </c>
      <c r="O9" s="1" t="s">
        <v>82</v>
      </c>
      <c r="P9" s="1" t="s">
        <v>19</v>
      </c>
    </row>
    <row r="10" spans="1:16" x14ac:dyDescent="0.25">
      <c r="A10" s="1">
        <v>300157339</v>
      </c>
      <c r="B10" s="1" t="s">
        <v>27</v>
      </c>
      <c r="C10" s="1" t="s">
        <v>2</v>
      </c>
      <c r="D10" s="1">
        <v>47635</v>
      </c>
      <c r="E10" s="1">
        <v>4994</v>
      </c>
      <c r="F10" s="1">
        <v>47</v>
      </c>
      <c r="G10" s="13">
        <f>Table[[#This Row],[Return Value]]/Table[[#This Row],[Sell Value]]</f>
        <v>9.4112935522627159E-3</v>
      </c>
      <c r="H10" s="1" t="s">
        <v>28</v>
      </c>
      <c r="I10" s="1">
        <v>24</v>
      </c>
      <c r="J10" s="14">
        <f>Table[[#This Row],[Sell Value]]*Table[[#This Row],[Selling Price]]</f>
        <v>119856</v>
      </c>
      <c r="K10" s="1" t="s">
        <v>4</v>
      </c>
      <c r="L10" s="1" t="s">
        <v>29</v>
      </c>
      <c r="M10" s="1" t="s">
        <v>30</v>
      </c>
      <c r="N10" s="1">
        <v>0.2</v>
      </c>
      <c r="O10" s="1" t="s">
        <v>82</v>
      </c>
      <c r="P10" s="1" t="s">
        <v>31</v>
      </c>
    </row>
    <row r="11" spans="1:16" x14ac:dyDescent="0.25">
      <c r="A11" s="1">
        <v>433553833</v>
      </c>
      <c r="B11" s="1" t="s">
        <v>32</v>
      </c>
      <c r="C11" s="1" t="s">
        <v>17</v>
      </c>
      <c r="D11" s="1">
        <v>47642</v>
      </c>
      <c r="E11" s="1">
        <v>4780</v>
      </c>
      <c r="F11" s="1">
        <v>31</v>
      </c>
      <c r="G11" s="13">
        <f>Table[[#This Row],[Return Value]]/Table[[#This Row],[Sell Value]]</f>
        <v>6.4853556485355646E-3</v>
      </c>
      <c r="H11" s="1" t="s">
        <v>3</v>
      </c>
      <c r="I11" s="1">
        <v>50</v>
      </c>
      <c r="J11" s="14">
        <f>Table[[#This Row],[Sell Value]]*Table[[#This Row],[Selling Price]]</f>
        <v>239000</v>
      </c>
      <c r="K11" s="1" t="s">
        <v>4</v>
      </c>
      <c r="L11" s="1" t="s">
        <v>29</v>
      </c>
      <c r="M11" s="1" t="s">
        <v>33</v>
      </c>
      <c r="N11" s="1">
        <v>0.2</v>
      </c>
      <c r="O11" s="1" t="s">
        <v>81</v>
      </c>
      <c r="P11" s="1" t="s">
        <v>31</v>
      </c>
    </row>
    <row r="12" spans="1:16" x14ac:dyDescent="0.25">
      <c r="A12" s="1">
        <v>293491892</v>
      </c>
      <c r="B12" s="1" t="s">
        <v>34</v>
      </c>
      <c r="C12" s="1" t="s">
        <v>2</v>
      </c>
      <c r="D12" s="1">
        <v>47568</v>
      </c>
      <c r="E12" s="1">
        <v>1596</v>
      </c>
      <c r="F12" s="1">
        <v>36</v>
      </c>
      <c r="G12" s="13">
        <f>Table[[#This Row],[Return Value]]/Table[[#This Row],[Sell Value]]</f>
        <v>2.2556390977443608E-2</v>
      </c>
      <c r="H12" s="1" t="s">
        <v>3</v>
      </c>
      <c r="I12" s="1">
        <v>46</v>
      </c>
      <c r="J12" s="14">
        <f>Table[[#This Row],[Sell Value]]*Table[[#This Row],[Selling Price]]</f>
        <v>73416</v>
      </c>
      <c r="K12" s="1" t="s">
        <v>4</v>
      </c>
      <c r="L12" s="1" t="s">
        <v>35</v>
      </c>
      <c r="M12" s="1" t="s">
        <v>14</v>
      </c>
      <c r="N12" s="1">
        <v>0.2</v>
      </c>
      <c r="O12" s="1" t="s">
        <v>81</v>
      </c>
      <c r="P12" s="1" t="s">
        <v>36</v>
      </c>
    </row>
    <row r="13" spans="1:16" x14ac:dyDescent="0.25">
      <c r="A13" s="1">
        <v>98590735</v>
      </c>
      <c r="B13" s="1" t="s">
        <v>37</v>
      </c>
      <c r="C13" s="1" t="s">
        <v>17</v>
      </c>
      <c r="D13" s="1">
        <v>48098</v>
      </c>
      <c r="E13" s="1">
        <v>1919</v>
      </c>
      <c r="F13" s="1">
        <v>13</v>
      </c>
      <c r="G13" s="13">
        <f>Table[[#This Row],[Return Value]]/Table[[#This Row],[Sell Value]]</f>
        <v>6.7743616466909851E-3</v>
      </c>
      <c r="H13" s="1" t="s">
        <v>3</v>
      </c>
      <c r="I13" s="1">
        <v>20</v>
      </c>
      <c r="J13" s="14">
        <f>Table[[#This Row],[Sell Value]]*Table[[#This Row],[Selling Price]]</f>
        <v>38380</v>
      </c>
      <c r="K13" s="1" t="s">
        <v>4</v>
      </c>
      <c r="L13" s="1" t="s">
        <v>38</v>
      </c>
      <c r="M13" s="1" t="s">
        <v>30</v>
      </c>
      <c r="N13" s="1">
        <v>0.2</v>
      </c>
      <c r="O13" s="1" t="s">
        <v>81</v>
      </c>
      <c r="P13" s="1" t="s">
        <v>39</v>
      </c>
    </row>
    <row r="14" spans="1:16" x14ac:dyDescent="0.25">
      <c r="A14" s="1">
        <v>779716772</v>
      </c>
      <c r="B14" s="1" t="s">
        <v>40</v>
      </c>
      <c r="C14" s="1" t="s">
        <v>17</v>
      </c>
      <c r="D14" s="1">
        <v>48063</v>
      </c>
      <c r="E14" s="1">
        <v>4640</v>
      </c>
      <c r="F14" s="1">
        <v>47</v>
      </c>
      <c r="G14" s="13">
        <f>Table[[#This Row],[Return Value]]/Table[[#This Row],[Sell Value]]</f>
        <v>1.0129310344827586E-2</v>
      </c>
      <c r="H14" s="1" t="s">
        <v>3</v>
      </c>
      <c r="I14" s="1">
        <v>35</v>
      </c>
      <c r="J14" s="14">
        <f>Table[[#This Row],[Sell Value]]*Table[[#This Row],[Selling Price]]</f>
        <v>162400</v>
      </c>
      <c r="K14" s="1" t="s">
        <v>4</v>
      </c>
      <c r="L14" s="1" t="s">
        <v>41</v>
      </c>
      <c r="M14" s="1" t="s">
        <v>22</v>
      </c>
      <c r="N14" s="1">
        <v>0.2</v>
      </c>
      <c r="O14" s="1" t="s">
        <v>82</v>
      </c>
      <c r="P14" s="1" t="s">
        <v>15</v>
      </c>
    </row>
    <row r="15" spans="1:16" x14ac:dyDescent="0.25">
      <c r="A15" s="1">
        <v>84296813</v>
      </c>
      <c r="B15" s="1" t="s">
        <v>42</v>
      </c>
      <c r="C15" s="1" t="s">
        <v>2</v>
      </c>
      <c r="D15" s="1">
        <v>47775</v>
      </c>
      <c r="E15" s="1">
        <v>1712</v>
      </c>
      <c r="F15" s="1">
        <v>14</v>
      </c>
      <c r="G15" s="13">
        <f>Table[[#This Row],[Return Value]]/Table[[#This Row],[Sell Value]]</f>
        <v>8.1775700934579431E-3</v>
      </c>
      <c r="H15" s="1" t="s">
        <v>3</v>
      </c>
      <c r="I15" s="1">
        <v>49</v>
      </c>
      <c r="J15" s="14">
        <f>Table[[#This Row],[Sell Value]]*Table[[#This Row],[Selling Price]]</f>
        <v>83888</v>
      </c>
      <c r="K15" s="1" t="s">
        <v>4</v>
      </c>
      <c r="L15" s="1" t="s">
        <v>43</v>
      </c>
      <c r="M15" s="1" t="s">
        <v>44</v>
      </c>
      <c r="N15" s="1">
        <v>0.2</v>
      </c>
      <c r="O15" s="1" t="s">
        <v>82</v>
      </c>
      <c r="P15" s="1" t="s">
        <v>45</v>
      </c>
    </row>
    <row r="16" spans="1:16" x14ac:dyDescent="0.25">
      <c r="A16" s="1">
        <v>95577681</v>
      </c>
      <c r="B16" s="1" t="s">
        <v>46</v>
      </c>
      <c r="C16" s="1" t="s">
        <v>2</v>
      </c>
      <c r="D16" s="1">
        <v>47742</v>
      </c>
      <c r="E16" s="1">
        <v>3533</v>
      </c>
      <c r="F16" s="1">
        <v>50</v>
      </c>
      <c r="G16" s="13">
        <f>Table[[#This Row],[Return Value]]/Table[[#This Row],[Sell Value]]</f>
        <v>1.4152278516841211E-2</v>
      </c>
      <c r="H16" s="1" t="s">
        <v>3</v>
      </c>
      <c r="I16" s="1">
        <v>32</v>
      </c>
      <c r="J16" s="14">
        <f>Table[[#This Row],[Sell Value]]*Table[[#This Row],[Selling Price]]</f>
        <v>113056</v>
      </c>
      <c r="K16" s="1" t="s">
        <v>4</v>
      </c>
      <c r="L16" s="1" t="s">
        <v>47</v>
      </c>
      <c r="M16" s="1" t="s">
        <v>48</v>
      </c>
      <c r="N16" s="1">
        <v>0.2</v>
      </c>
      <c r="O16" s="1" t="s">
        <v>81</v>
      </c>
      <c r="P16" s="1" t="s">
        <v>49</v>
      </c>
    </row>
    <row r="17" spans="1:16" x14ac:dyDescent="0.25">
      <c r="A17" s="1">
        <v>93011668</v>
      </c>
      <c r="B17" s="1" t="s">
        <v>50</v>
      </c>
      <c r="C17" s="1" t="s">
        <v>2</v>
      </c>
      <c r="D17" s="1">
        <v>48242</v>
      </c>
      <c r="E17" s="1">
        <v>2173</v>
      </c>
      <c r="F17" s="1">
        <v>35</v>
      </c>
      <c r="G17" s="13">
        <f>Table[[#This Row],[Return Value]]/Table[[#This Row],[Sell Value]]</f>
        <v>1.6106764841233318E-2</v>
      </c>
      <c r="H17" s="1" t="s">
        <v>3</v>
      </c>
      <c r="I17" s="1">
        <v>22</v>
      </c>
      <c r="J17" s="14">
        <f>Table[[#This Row],[Sell Value]]*Table[[#This Row],[Selling Price]]</f>
        <v>47806</v>
      </c>
      <c r="K17" s="1" t="s">
        <v>4</v>
      </c>
      <c r="L17" s="1" t="s">
        <v>51</v>
      </c>
      <c r="M17" s="1" t="s">
        <v>22</v>
      </c>
      <c r="N17" s="1">
        <v>0.2</v>
      </c>
      <c r="O17" s="1" t="s">
        <v>81</v>
      </c>
      <c r="P17" s="1" t="s">
        <v>52</v>
      </c>
    </row>
    <row r="18" spans="1:16" x14ac:dyDescent="0.25">
      <c r="A18" s="1">
        <v>78512802</v>
      </c>
      <c r="B18" s="1" t="s">
        <v>53</v>
      </c>
      <c r="C18" s="1" t="s">
        <v>2</v>
      </c>
      <c r="D18" s="1">
        <v>48578</v>
      </c>
      <c r="E18" s="1">
        <v>3485</v>
      </c>
      <c r="F18" s="1">
        <v>28</v>
      </c>
      <c r="G18" s="13">
        <f>Table[[#This Row],[Return Value]]/Table[[#This Row],[Sell Value]]</f>
        <v>8.0344332855093251E-3</v>
      </c>
      <c r="H18" s="1" t="s">
        <v>3</v>
      </c>
      <c r="I18" s="1">
        <v>20</v>
      </c>
      <c r="J18" s="14">
        <f>Table[[#This Row],[Sell Value]]*Table[[#This Row],[Selling Price]]</f>
        <v>69700</v>
      </c>
      <c r="K18" s="1" t="s">
        <v>4</v>
      </c>
      <c r="L18" s="1" t="s">
        <v>54</v>
      </c>
      <c r="M18" s="1" t="s">
        <v>14</v>
      </c>
      <c r="N18" s="1">
        <v>0.2</v>
      </c>
      <c r="O18" s="1" t="s">
        <v>81</v>
      </c>
      <c r="P18" s="1" t="s">
        <v>55</v>
      </c>
    </row>
    <row r="19" spans="1:16" x14ac:dyDescent="0.25">
      <c r="A19" s="1">
        <v>499786792</v>
      </c>
      <c r="B19" s="1" t="s">
        <v>56</v>
      </c>
      <c r="C19" s="1" t="s">
        <v>2</v>
      </c>
      <c r="D19" s="1">
        <v>47688</v>
      </c>
      <c r="E19" s="1">
        <v>4057</v>
      </c>
      <c r="F19" s="1">
        <v>30</v>
      </c>
      <c r="G19" s="13">
        <f>Table[[#This Row],[Return Value]]/Table[[#This Row],[Sell Value]]</f>
        <v>7.3946265713581462E-3</v>
      </c>
      <c r="H19" s="1" t="s">
        <v>3</v>
      </c>
      <c r="I19" s="1">
        <v>35</v>
      </c>
      <c r="J19" s="14">
        <f>Table[[#This Row],[Sell Value]]*Table[[#This Row],[Selling Price]]</f>
        <v>141995</v>
      </c>
      <c r="K19" s="1" t="s">
        <v>4</v>
      </c>
      <c r="L19" s="1" t="s">
        <v>57</v>
      </c>
      <c r="M19" s="1" t="s">
        <v>26</v>
      </c>
      <c r="N19" s="1">
        <v>0.2</v>
      </c>
      <c r="O19" s="1" t="s">
        <v>81</v>
      </c>
      <c r="P19" s="1" t="s">
        <v>39</v>
      </c>
    </row>
    <row r="20" spans="1:16" x14ac:dyDescent="0.25">
      <c r="A20" s="1">
        <v>387313784</v>
      </c>
      <c r="B20" s="1" t="s">
        <v>1</v>
      </c>
      <c r="C20" s="1" t="s">
        <v>2</v>
      </c>
      <c r="D20" s="1">
        <v>47966</v>
      </c>
      <c r="E20" s="1">
        <v>4512</v>
      </c>
      <c r="F20" s="1">
        <v>42</v>
      </c>
      <c r="G20" s="13">
        <f>Table[[#This Row],[Return Value]]/Table[[#This Row],[Sell Value]]</f>
        <v>9.3085106382978719E-3</v>
      </c>
      <c r="H20" s="1" t="s">
        <v>3</v>
      </c>
      <c r="I20" s="1">
        <v>41</v>
      </c>
      <c r="J20" s="14">
        <f>Table[[#This Row],[Sell Value]]*Table[[#This Row],[Selling Price]]</f>
        <v>184992</v>
      </c>
      <c r="K20" s="1" t="s">
        <v>4</v>
      </c>
      <c r="L20" s="1" t="s">
        <v>5</v>
      </c>
      <c r="M20" s="1" t="s">
        <v>6</v>
      </c>
      <c r="N20" s="1">
        <v>0.2</v>
      </c>
      <c r="O20" s="1" t="s">
        <v>81</v>
      </c>
      <c r="P20" s="1" t="s">
        <v>58</v>
      </c>
    </row>
    <row r="21" spans="1:16" x14ac:dyDescent="0.25">
      <c r="A21" s="1">
        <v>989266977</v>
      </c>
      <c r="B21" s="1" t="s">
        <v>8</v>
      </c>
      <c r="C21" s="1" t="s">
        <v>2</v>
      </c>
      <c r="D21" s="1">
        <v>47577</v>
      </c>
      <c r="E21" s="1">
        <v>1668</v>
      </c>
      <c r="F21" s="1">
        <v>21</v>
      </c>
      <c r="G21" s="13">
        <f>Table[[#This Row],[Return Value]]/Table[[#This Row],[Sell Value]]</f>
        <v>1.2589928057553957E-2</v>
      </c>
      <c r="H21" s="1" t="s">
        <v>3</v>
      </c>
      <c r="I21" s="1">
        <v>45</v>
      </c>
      <c r="J21" s="14">
        <f>Table[[#This Row],[Sell Value]]*Table[[#This Row],[Selling Price]]</f>
        <v>75060</v>
      </c>
      <c r="K21" s="1" t="s">
        <v>4</v>
      </c>
      <c r="L21" s="1" t="s">
        <v>9</v>
      </c>
      <c r="M21" s="1" t="s">
        <v>6</v>
      </c>
      <c r="N21" s="1">
        <v>0.2</v>
      </c>
      <c r="O21" s="1" t="s">
        <v>81</v>
      </c>
      <c r="P21" s="1" t="s">
        <v>11</v>
      </c>
    </row>
    <row r="22" spans="1:16" x14ac:dyDescent="0.25">
      <c r="A22" s="1">
        <v>421144025</v>
      </c>
      <c r="B22" s="1" t="s">
        <v>12</v>
      </c>
      <c r="C22" s="1" t="s">
        <v>2</v>
      </c>
      <c r="D22" s="1">
        <v>47600</v>
      </c>
      <c r="E22" s="1">
        <v>3079</v>
      </c>
      <c r="F22" s="1">
        <v>28</v>
      </c>
      <c r="G22" s="13">
        <f>Table[[#This Row],[Return Value]]/Table[[#This Row],[Sell Value]]</f>
        <v>9.0938616433907105E-3</v>
      </c>
      <c r="H22" s="1" t="s">
        <v>3</v>
      </c>
      <c r="I22" s="1">
        <v>20</v>
      </c>
      <c r="J22" s="14">
        <f>Table[[#This Row],[Sell Value]]*Table[[#This Row],[Selling Price]]</f>
        <v>61580</v>
      </c>
      <c r="K22" s="1" t="s">
        <v>4</v>
      </c>
      <c r="L22" s="1" t="s">
        <v>13</v>
      </c>
      <c r="M22" s="1" t="s">
        <v>59</v>
      </c>
      <c r="N22" s="1">
        <v>0.2</v>
      </c>
      <c r="O22" s="1" t="s">
        <v>81</v>
      </c>
      <c r="P22" s="1" t="s">
        <v>60</v>
      </c>
    </row>
    <row r="23" spans="1:16" x14ac:dyDescent="0.25">
      <c r="A23" s="1">
        <v>247019161</v>
      </c>
      <c r="B23" s="1" t="s">
        <v>16</v>
      </c>
      <c r="C23" s="1" t="s">
        <v>17</v>
      </c>
      <c r="D23" s="1">
        <v>48331</v>
      </c>
      <c r="E23" s="1">
        <v>1727</v>
      </c>
      <c r="F23" s="1">
        <v>27</v>
      </c>
      <c r="G23" s="13">
        <f>Table[[#This Row],[Return Value]]/Table[[#This Row],[Sell Value]]</f>
        <v>1.5634047481181239E-2</v>
      </c>
      <c r="H23" s="1" t="s">
        <v>3</v>
      </c>
      <c r="I23" s="1">
        <v>47</v>
      </c>
      <c r="J23" s="14">
        <f>Table[[#This Row],[Sell Value]]*Table[[#This Row],[Selling Price]]</f>
        <v>81169</v>
      </c>
      <c r="K23" s="1" t="s">
        <v>4</v>
      </c>
      <c r="L23" s="1" t="s">
        <v>18</v>
      </c>
      <c r="M23" s="1" t="s">
        <v>61</v>
      </c>
      <c r="N23" s="1">
        <v>0.2</v>
      </c>
      <c r="O23" s="1" t="s">
        <v>81</v>
      </c>
      <c r="P23" s="1" t="s">
        <v>15</v>
      </c>
    </row>
    <row r="24" spans="1:16" x14ac:dyDescent="0.25">
      <c r="A24" s="1">
        <v>450401046</v>
      </c>
      <c r="B24" s="1" t="s">
        <v>20</v>
      </c>
      <c r="C24" s="1" t="s">
        <v>17</v>
      </c>
      <c r="D24" s="1">
        <v>48374</v>
      </c>
      <c r="E24" s="1">
        <v>1846</v>
      </c>
      <c r="F24" s="1">
        <v>42</v>
      </c>
      <c r="G24" s="13">
        <f>Table[[#This Row],[Return Value]]/Table[[#This Row],[Sell Value]]</f>
        <v>2.2751895991332611E-2</v>
      </c>
      <c r="H24" s="1" t="s">
        <v>3</v>
      </c>
      <c r="I24" s="1">
        <v>42</v>
      </c>
      <c r="J24" s="14">
        <f>Table[[#This Row],[Sell Value]]*Table[[#This Row],[Selling Price]]</f>
        <v>77532</v>
      </c>
      <c r="K24" s="1" t="s">
        <v>4</v>
      </c>
      <c r="L24" s="1" t="s">
        <v>21</v>
      </c>
      <c r="M24" s="1" t="s">
        <v>26</v>
      </c>
      <c r="N24" s="1">
        <v>0.2</v>
      </c>
      <c r="O24" s="1" t="s">
        <v>81</v>
      </c>
      <c r="P24" s="1" t="s">
        <v>62</v>
      </c>
    </row>
    <row r="25" spans="1:16" x14ac:dyDescent="0.25">
      <c r="A25" s="1">
        <v>408095334</v>
      </c>
      <c r="B25" s="1" t="s">
        <v>24</v>
      </c>
      <c r="C25" s="1" t="s">
        <v>2</v>
      </c>
      <c r="D25" s="1">
        <v>47929</v>
      </c>
      <c r="E25" s="1">
        <v>2031</v>
      </c>
      <c r="F25" s="1">
        <v>20</v>
      </c>
      <c r="G25" s="13">
        <f>Table[[#This Row],[Return Value]]/Table[[#This Row],[Sell Value]]</f>
        <v>9.8473658296405718E-3</v>
      </c>
      <c r="H25" s="1" t="s">
        <v>3</v>
      </c>
      <c r="I25" s="1">
        <v>28</v>
      </c>
      <c r="J25" s="14">
        <f>Table[[#This Row],[Sell Value]]*Table[[#This Row],[Selling Price]]</f>
        <v>56868</v>
      </c>
      <c r="K25" s="1" t="s">
        <v>4</v>
      </c>
      <c r="L25" s="1" t="s">
        <v>25</v>
      </c>
      <c r="M25" s="1" t="s">
        <v>59</v>
      </c>
      <c r="N25" s="1">
        <v>0.2</v>
      </c>
      <c r="O25" s="1" t="s">
        <v>81</v>
      </c>
      <c r="P25" s="1" t="s">
        <v>62</v>
      </c>
    </row>
    <row r="26" spans="1:16" x14ac:dyDescent="0.25">
      <c r="A26" s="1">
        <v>277425299</v>
      </c>
      <c r="B26" s="1" t="s">
        <v>27</v>
      </c>
      <c r="C26" s="1" t="s">
        <v>2</v>
      </c>
      <c r="D26" s="1">
        <v>48041</v>
      </c>
      <c r="E26" s="1">
        <v>4433</v>
      </c>
      <c r="F26" s="1">
        <v>30</v>
      </c>
      <c r="G26" s="13">
        <f>Table[[#This Row],[Return Value]]/Table[[#This Row],[Sell Value]]</f>
        <v>6.7674261222648319E-3</v>
      </c>
      <c r="H26" s="1" t="s">
        <v>3</v>
      </c>
      <c r="I26" s="1">
        <v>39</v>
      </c>
      <c r="J26" s="14">
        <f>Table[[#This Row],[Sell Value]]*Table[[#This Row],[Selling Price]]</f>
        <v>172887</v>
      </c>
      <c r="K26" s="1" t="s">
        <v>4</v>
      </c>
      <c r="L26" s="1" t="s">
        <v>29</v>
      </c>
      <c r="M26" s="1" t="s">
        <v>6</v>
      </c>
      <c r="N26" s="1">
        <v>0.2</v>
      </c>
      <c r="O26" s="1" t="s">
        <v>81</v>
      </c>
      <c r="P26" s="1" t="s">
        <v>39</v>
      </c>
    </row>
    <row r="27" spans="1:16" x14ac:dyDescent="0.25">
      <c r="A27" s="1">
        <v>699233387</v>
      </c>
      <c r="B27" s="1" t="s">
        <v>32</v>
      </c>
      <c r="C27" s="1" t="s">
        <v>17</v>
      </c>
      <c r="D27" s="1">
        <v>47873</v>
      </c>
      <c r="E27" s="1">
        <v>3125</v>
      </c>
      <c r="F27" s="1">
        <v>46</v>
      </c>
      <c r="G27" s="13">
        <f>Table[[#This Row],[Return Value]]/Table[[#This Row],[Sell Value]]</f>
        <v>1.472E-2</v>
      </c>
      <c r="H27" s="1" t="s">
        <v>3</v>
      </c>
      <c r="I27" s="1">
        <v>38</v>
      </c>
      <c r="J27" s="14">
        <f>Table[[#This Row],[Sell Value]]*Table[[#This Row],[Selling Price]]</f>
        <v>118750</v>
      </c>
      <c r="K27" s="1" t="s">
        <v>4</v>
      </c>
      <c r="L27" s="1" t="s">
        <v>29</v>
      </c>
      <c r="M27" s="1" t="s">
        <v>26</v>
      </c>
      <c r="N27" s="1">
        <v>0.2</v>
      </c>
      <c r="O27" s="1" t="s">
        <v>82</v>
      </c>
      <c r="P27" s="1" t="s">
        <v>31</v>
      </c>
    </row>
    <row r="28" spans="1:16" x14ac:dyDescent="0.25">
      <c r="A28" s="1">
        <v>209997565</v>
      </c>
      <c r="B28" s="1" t="s">
        <v>34</v>
      </c>
      <c r="C28" s="1" t="s">
        <v>2</v>
      </c>
      <c r="D28" s="1">
        <v>48229</v>
      </c>
      <c r="E28" s="1">
        <v>1308</v>
      </c>
      <c r="F28" s="1">
        <v>27</v>
      </c>
      <c r="G28" s="13">
        <f>Table[[#This Row],[Return Value]]/Table[[#This Row],[Sell Value]]</f>
        <v>2.0642201834862386E-2</v>
      </c>
      <c r="H28" s="1" t="s">
        <v>3</v>
      </c>
      <c r="I28" s="1">
        <v>34</v>
      </c>
      <c r="J28" s="14">
        <f>Table[[#This Row],[Sell Value]]*Table[[#This Row],[Selling Price]]</f>
        <v>44472</v>
      </c>
      <c r="K28" s="1" t="s">
        <v>4</v>
      </c>
      <c r="L28" s="1" t="s">
        <v>35</v>
      </c>
      <c r="M28" s="1" t="s">
        <v>59</v>
      </c>
      <c r="N28" s="1">
        <v>0.2</v>
      </c>
      <c r="O28" s="1" t="s">
        <v>81</v>
      </c>
      <c r="P28" s="1" t="s">
        <v>55</v>
      </c>
    </row>
    <row r="29" spans="1:16" x14ac:dyDescent="0.25">
      <c r="A29" s="1">
        <v>764584492</v>
      </c>
      <c r="B29" s="1" t="s">
        <v>37</v>
      </c>
      <c r="C29" s="1" t="s">
        <v>17</v>
      </c>
      <c r="D29" s="1">
        <v>48381</v>
      </c>
      <c r="E29" s="1">
        <v>4070</v>
      </c>
      <c r="F29" s="1">
        <v>30</v>
      </c>
      <c r="G29" s="13">
        <f>Table[[#This Row],[Return Value]]/Table[[#This Row],[Sell Value]]</f>
        <v>7.3710073710073713E-3</v>
      </c>
      <c r="H29" s="1" t="s">
        <v>3</v>
      </c>
      <c r="I29" s="1">
        <v>45</v>
      </c>
      <c r="J29" s="14">
        <f>Table[[#This Row],[Sell Value]]*Table[[#This Row],[Selling Price]]</f>
        <v>183150</v>
      </c>
      <c r="K29" s="1" t="s">
        <v>4</v>
      </c>
      <c r="L29" s="1" t="s">
        <v>38</v>
      </c>
      <c r="M29" s="1" t="s">
        <v>10</v>
      </c>
      <c r="N29" s="1">
        <v>0.2</v>
      </c>
      <c r="O29" s="1" t="s">
        <v>81</v>
      </c>
      <c r="P29" s="1" t="s">
        <v>23</v>
      </c>
    </row>
    <row r="30" spans="1:16" x14ac:dyDescent="0.25">
      <c r="A30" s="1">
        <v>984361562</v>
      </c>
      <c r="B30" s="1" t="s">
        <v>40</v>
      </c>
      <c r="C30" s="1" t="s">
        <v>17</v>
      </c>
      <c r="D30" s="1">
        <v>48199</v>
      </c>
      <c r="E30" s="1">
        <v>1015</v>
      </c>
      <c r="F30" s="1">
        <v>21</v>
      </c>
      <c r="G30" s="13">
        <f>Table[[#This Row],[Return Value]]/Table[[#This Row],[Sell Value]]</f>
        <v>2.0689655172413793E-2</v>
      </c>
      <c r="H30" s="1" t="s">
        <v>3</v>
      </c>
      <c r="I30" s="1">
        <v>34</v>
      </c>
      <c r="J30" s="14">
        <f>Table[[#This Row],[Sell Value]]*Table[[#This Row],[Selling Price]]</f>
        <v>34510</v>
      </c>
      <c r="K30" s="1" t="s">
        <v>4</v>
      </c>
      <c r="L30" s="1" t="s">
        <v>41</v>
      </c>
      <c r="M30" s="1" t="s">
        <v>22</v>
      </c>
      <c r="N30" s="1">
        <v>0.2</v>
      </c>
      <c r="O30" s="1" t="s">
        <v>82</v>
      </c>
      <c r="P30" s="1" t="s">
        <v>45</v>
      </c>
    </row>
    <row r="31" spans="1:16" x14ac:dyDescent="0.25">
      <c r="A31" s="1">
        <v>738052081</v>
      </c>
      <c r="B31" s="1" t="s">
        <v>42</v>
      </c>
      <c r="C31" s="1" t="s">
        <v>2</v>
      </c>
      <c r="D31" s="1">
        <v>48263</v>
      </c>
      <c r="E31" s="1">
        <v>1294</v>
      </c>
      <c r="F31" s="1">
        <v>29</v>
      </c>
      <c r="G31" s="13">
        <f>Table[[#This Row],[Return Value]]/Table[[#This Row],[Sell Value]]</f>
        <v>2.241112828438949E-2</v>
      </c>
      <c r="H31" s="1" t="s">
        <v>3</v>
      </c>
      <c r="I31" s="1">
        <v>37</v>
      </c>
      <c r="J31" s="14">
        <f>Table[[#This Row],[Sell Value]]*Table[[#This Row],[Selling Price]]</f>
        <v>47878</v>
      </c>
      <c r="K31" s="1" t="s">
        <v>4</v>
      </c>
      <c r="L31" s="1" t="s">
        <v>43</v>
      </c>
      <c r="M31" s="1" t="s">
        <v>26</v>
      </c>
      <c r="N31" s="1">
        <v>0.2</v>
      </c>
      <c r="O31" s="1" t="s">
        <v>81</v>
      </c>
      <c r="P31" s="1" t="s">
        <v>36</v>
      </c>
    </row>
    <row r="32" spans="1:16" x14ac:dyDescent="0.25">
      <c r="A32" s="1">
        <v>75315714</v>
      </c>
      <c r="B32" s="1" t="s">
        <v>46</v>
      </c>
      <c r="C32" s="1" t="s">
        <v>2</v>
      </c>
      <c r="D32" s="1">
        <v>48411</v>
      </c>
      <c r="E32" s="1">
        <v>3008</v>
      </c>
      <c r="F32" s="1">
        <v>19</v>
      </c>
      <c r="G32" s="13">
        <f>Table[[#This Row],[Return Value]]/Table[[#This Row],[Sell Value]]</f>
        <v>6.3164893617021272E-3</v>
      </c>
      <c r="H32" s="1" t="s">
        <v>3</v>
      </c>
      <c r="I32" s="1">
        <v>20</v>
      </c>
      <c r="J32" s="14">
        <f>Table[[#This Row],[Sell Value]]*Table[[#This Row],[Selling Price]]</f>
        <v>60160</v>
      </c>
      <c r="K32" s="1" t="s">
        <v>4</v>
      </c>
      <c r="L32" s="1" t="s">
        <v>47</v>
      </c>
      <c r="M32" s="1" t="s">
        <v>61</v>
      </c>
      <c r="N32" s="1">
        <v>0.2</v>
      </c>
      <c r="O32" s="1" t="s">
        <v>82</v>
      </c>
      <c r="P32" s="1" t="s">
        <v>11</v>
      </c>
    </row>
    <row r="33" spans="1:16" x14ac:dyDescent="0.25">
      <c r="A33" s="1">
        <v>322338038</v>
      </c>
      <c r="B33" s="1" t="s">
        <v>50</v>
      </c>
      <c r="C33" s="1" t="s">
        <v>2</v>
      </c>
      <c r="D33" s="1">
        <v>47614</v>
      </c>
      <c r="E33" s="1">
        <v>4389</v>
      </c>
      <c r="F33" s="1">
        <v>37</v>
      </c>
      <c r="G33" s="13">
        <f>Table[[#This Row],[Return Value]]/Table[[#This Row],[Sell Value]]</f>
        <v>8.4301663249031662E-3</v>
      </c>
      <c r="H33" s="1" t="s">
        <v>3</v>
      </c>
      <c r="I33" s="1">
        <v>24</v>
      </c>
      <c r="J33" s="14">
        <f>Table[[#This Row],[Sell Value]]*Table[[#This Row],[Selling Price]]</f>
        <v>105336</v>
      </c>
      <c r="K33" s="1" t="s">
        <v>4</v>
      </c>
      <c r="L33" s="1" t="s">
        <v>51</v>
      </c>
      <c r="M33" s="1" t="s">
        <v>6</v>
      </c>
      <c r="N33" s="1">
        <v>0.2</v>
      </c>
      <c r="O33" s="1" t="s">
        <v>82</v>
      </c>
      <c r="P33" s="1" t="s">
        <v>52</v>
      </c>
    </row>
    <row r="34" spans="1:16" x14ac:dyDescent="0.25">
      <c r="A34" s="1">
        <v>919016414</v>
      </c>
      <c r="B34" s="1" t="s">
        <v>53</v>
      </c>
      <c r="C34" s="1" t="s">
        <v>2</v>
      </c>
      <c r="D34" s="1">
        <v>48134</v>
      </c>
      <c r="E34" s="1">
        <v>1189</v>
      </c>
      <c r="F34" s="1">
        <v>18</v>
      </c>
      <c r="G34" s="13">
        <f>Table[[#This Row],[Return Value]]/Table[[#This Row],[Sell Value]]</f>
        <v>1.5138772077375946E-2</v>
      </c>
      <c r="H34" s="1" t="s">
        <v>28</v>
      </c>
      <c r="I34" s="1">
        <v>20</v>
      </c>
      <c r="J34" s="14">
        <f>Table[[#This Row],[Sell Value]]*Table[[#This Row],[Selling Price]]</f>
        <v>23780</v>
      </c>
      <c r="K34" s="1" t="s">
        <v>4</v>
      </c>
      <c r="L34" s="1" t="s">
        <v>54</v>
      </c>
      <c r="M34" s="1" t="s">
        <v>26</v>
      </c>
      <c r="N34" s="1">
        <v>0.2</v>
      </c>
      <c r="O34" s="1" t="s">
        <v>82</v>
      </c>
      <c r="P34" s="1" t="s">
        <v>52</v>
      </c>
    </row>
    <row r="35" spans="1:16" x14ac:dyDescent="0.25">
      <c r="A35" s="1">
        <v>700729527</v>
      </c>
      <c r="B35" s="1" t="s">
        <v>56</v>
      </c>
      <c r="C35" s="1" t="s">
        <v>2</v>
      </c>
      <c r="D35" s="1">
        <v>48132</v>
      </c>
      <c r="E35" s="1">
        <v>2426</v>
      </c>
      <c r="F35" s="1">
        <v>23</v>
      </c>
      <c r="G35" s="13">
        <f>Table[[#This Row],[Return Value]]/Table[[#This Row],[Sell Value]]</f>
        <v>9.4806265457543278E-3</v>
      </c>
      <c r="H35" s="1" t="s">
        <v>3</v>
      </c>
      <c r="I35" s="1">
        <v>38</v>
      </c>
      <c r="J35" s="14">
        <f>Table[[#This Row],[Sell Value]]*Table[[#This Row],[Selling Price]]</f>
        <v>92188</v>
      </c>
      <c r="K35" s="1" t="s">
        <v>4</v>
      </c>
      <c r="L35" s="1" t="s">
        <v>57</v>
      </c>
      <c r="M35" s="1" t="s">
        <v>59</v>
      </c>
      <c r="N35" s="1">
        <v>0.2</v>
      </c>
      <c r="O35" s="1" t="s">
        <v>81</v>
      </c>
      <c r="P35" s="1" t="s">
        <v>7</v>
      </c>
    </row>
    <row r="36" spans="1:16" x14ac:dyDescent="0.25">
      <c r="A36" s="1">
        <v>698733752</v>
      </c>
      <c r="B36" s="1" t="s">
        <v>1</v>
      </c>
      <c r="C36" s="1" t="s">
        <v>2</v>
      </c>
      <c r="D36" s="1">
        <v>47667</v>
      </c>
      <c r="E36" s="1">
        <v>4135</v>
      </c>
      <c r="F36" s="1">
        <v>19</v>
      </c>
      <c r="G36" s="13">
        <f>Table[[#This Row],[Return Value]]/Table[[#This Row],[Sell Value]]</f>
        <v>4.5949214026602177E-3</v>
      </c>
      <c r="H36" s="1" t="s">
        <v>3</v>
      </c>
      <c r="I36" s="1">
        <v>29</v>
      </c>
      <c r="J36" s="14">
        <f>Table[[#This Row],[Sell Value]]*Table[[#This Row],[Selling Price]]</f>
        <v>119915</v>
      </c>
      <c r="K36" s="1" t="s">
        <v>4</v>
      </c>
      <c r="L36" s="1" t="s">
        <v>5</v>
      </c>
      <c r="M36" s="1" t="s">
        <v>33</v>
      </c>
      <c r="N36" s="1">
        <v>0.2</v>
      </c>
      <c r="O36" s="1" t="s">
        <v>82</v>
      </c>
      <c r="P36" s="1" t="s">
        <v>63</v>
      </c>
    </row>
    <row r="37" spans="1:16" x14ac:dyDescent="0.25">
      <c r="A37" s="1">
        <v>483874140</v>
      </c>
      <c r="B37" s="1" t="s">
        <v>8</v>
      </c>
      <c r="C37" s="1" t="s">
        <v>2</v>
      </c>
      <c r="D37" s="1">
        <v>48152</v>
      </c>
      <c r="E37" s="1">
        <v>3292</v>
      </c>
      <c r="F37" s="1">
        <v>28</v>
      </c>
      <c r="G37" s="13">
        <f>Table[[#This Row],[Return Value]]/Table[[#This Row],[Sell Value]]</f>
        <v>8.5054678007290396E-3</v>
      </c>
      <c r="H37" s="1" t="s">
        <v>3</v>
      </c>
      <c r="I37" s="1">
        <v>30</v>
      </c>
      <c r="J37" s="14">
        <f>Table[[#This Row],[Sell Value]]*Table[[#This Row],[Selling Price]]</f>
        <v>98760</v>
      </c>
      <c r="K37" s="1" t="s">
        <v>4</v>
      </c>
      <c r="L37" s="1" t="s">
        <v>9</v>
      </c>
      <c r="M37" s="1" t="s">
        <v>14</v>
      </c>
      <c r="N37" s="1">
        <v>0.2</v>
      </c>
      <c r="O37" s="1" t="s">
        <v>82</v>
      </c>
      <c r="P37" s="1" t="s">
        <v>63</v>
      </c>
    </row>
    <row r="38" spans="1:16" x14ac:dyDescent="0.25">
      <c r="A38" s="1">
        <v>260934279</v>
      </c>
      <c r="B38" s="1" t="s">
        <v>12</v>
      </c>
      <c r="C38" s="1" t="s">
        <v>2</v>
      </c>
      <c r="D38" s="1">
        <v>48027</v>
      </c>
      <c r="E38" s="1">
        <v>3090</v>
      </c>
      <c r="F38" s="1">
        <v>14</v>
      </c>
      <c r="G38" s="13">
        <f>Table[[#This Row],[Return Value]]/Table[[#This Row],[Sell Value]]</f>
        <v>4.5307443365695792E-3</v>
      </c>
      <c r="H38" s="1" t="s">
        <v>3</v>
      </c>
      <c r="I38" s="1">
        <v>45</v>
      </c>
      <c r="J38" s="14">
        <f>Table[[#This Row],[Sell Value]]*Table[[#This Row],[Selling Price]]</f>
        <v>139050</v>
      </c>
      <c r="K38" s="1" t="s">
        <v>4</v>
      </c>
      <c r="L38" s="1" t="s">
        <v>13</v>
      </c>
      <c r="M38" s="1" t="s">
        <v>44</v>
      </c>
      <c r="N38" s="1">
        <v>0.2</v>
      </c>
      <c r="O38" s="1" t="s">
        <v>82</v>
      </c>
      <c r="P38" s="1" t="s">
        <v>60</v>
      </c>
    </row>
    <row r="39" spans="1:16" x14ac:dyDescent="0.25">
      <c r="A39" s="1">
        <v>72932923</v>
      </c>
      <c r="B39" s="1" t="s">
        <v>16</v>
      </c>
      <c r="C39" s="1" t="s">
        <v>17</v>
      </c>
      <c r="D39" s="1">
        <v>47624</v>
      </c>
      <c r="E39" s="1">
        <v>4514</v>
      </c>
      <c r="F39" s="1">
        <v>18</v>
      </c>
      <c r="G39" s="13">
        <f>Table[[#This Row],[Return Value]]/Table[[#This Row],[Sell Value]]</f>
        <v>3.9875941515285776E-3</v>
      </c>
      <c r="H39" s="1" t="s">
        <v>3</v>
      </c>
      <c r="I39" s="1">
        <v>46</v>
      </c>
      <c r="J39" s="14">
        <f>Table[[#This Row],[Sell Value]]*Table[[#This Row],[Selling Price]]</f>
        <v>207644</v>
      </c>
      <c r="K39" s="1" t="s">
        <v>4</v>
      </c>
      <c r="L39" s="1" t="s">
        <v>18</v>
      </c>
      <c r="M39" s="1" t="s">
        <v>48</v>
      </c>
      <c r="N39" s="1">
        <v>0.2</v>
      </c>
      <c r="O39" s="1" t="s">
        <v>81</v>
      </c>
      <c r="P39" s="1" t="s">
        <v>7</v>
      </c>
    </row>
    <row r="40" spans="1:16" x14ac:dyDescent="0.25">
      <c r="A40" s="1">
        <v>796671823</v>
      </c>
      <c r="B40" s="1" t="s">
        <v>20</v>
      </c>
      <c r="C40" s="1" t="s">
        <v>17</v>
      </c>
      <c r="D40" s="1">
        <v>47687</v>
      </c>
      <c r="E40" s="1">
        <v>4751</v>
      </c>
      <c r="F40" s="1">
        <v>41</v>
      </c>
      <c r="G40" s="13">
        <f>Table[[#This Row],[Return Value]]/Table[[#This Row],[Sell Value]]</f>
        <v>8.6297621553357191E-3</v>
      </c>
      <c r="H40" s="1" t="s">
        <v>3</v>
      </c>
      <c r="I40" s="1">
        <v>35</v>
      </c>
      <c r="J40" s="14">
        <f>Table[[#This Row],[Sell Value]]*Table[[#This Row],[Selling Price]]</f>
        <v>166285</v>
      </c>
      <c r="K40" s="1" t="s">
        <v>4</v>
      </c>
      <c r="L40" s="1" t="s">
        <v>21</v>
      </c>
      <c r="M40" s="1" t="s">
        <v>61</v>
      </c>
      <c r="N40" s="1">
        <v>0.2</v>
      </c>
      <c r="O40" s="1" t="s">
        <v>82</v>
      </c>
      <c r="P40" s="1" t="s">
        <v>36</v>
      </c>
    </row>
    <row r="41" spans="1:16" x14ac:dyDescent="0.25">
      <c r="A41" s="1">
        <v>747536355</v>
      </c>
      <c r="B41" s="1" t="s">
        <v>24</v>
      </c>
      <c r="C41" s="1" t="s">
        <v>2</v>
      </c>
      <c r="D41" s="1">
        <v>47720</v>
      </c>
      <c r="E41" s="1">
        <v>3353</v>
      </c>
      <c r="F41" s="1">
        <v>12</v>
      </c>
      <c r="G41" s="13">
        <f>Table[[#This Row],[Return Value]]/Table[[#This Row],[Sell Value]]</f>
        <v>3.5788845809722638E-3</v>
      </c>
      <c r="H41" s="1" t="s">
        <v>3</v>
      </c>
      <c r="I41" s="1">
        <v>29</v>
      </c>
      <c r="J41" s="14">
        <f>Table[[#This Row],[Sell Value]]*Table[[#This Row],[Selling Price]]</f>
        <v>97237</v>
      </c>
      <c r="K41" s="1" t="s">
        <v>4</v>
      </c>
      <c r="L41" s="1" t="s">
        <v>25</v>
      </c>
      <c r="M41" s="1" t="s">
        <v>6</v>
      </c>
      <c r="N41" s="1">
        <v>0.2</v>
      </c>
      <c r="O41" s="1" t="s">
        <v>81</v>
      </c>
      <c r="P41" s="1" t="s">
        <v>52</v>
      </c>
    </row>
    <row r="42" spans="1:16" x14ac:dyDescent="0.25">
      <c r="A42" s="1">
        <v>302475099</v>
      </c>
      <c r="B42" s="1" t="s">
        <v>27</v>
      </c>
      <c r="C42" s="1" t="s">
        <v>2</v>
      </c>
      <c r="D42" s="1">
        <v>47912</v>
      </c>
      <c r="E42" s="1">
        <v>1933</v>
      </c>
      <c r="F42" s="1">
        <v>26</v>
      </c>
      <c r="G42" s="13">
        <f>Table[[#This Row],[Return Value]]/Table[[#This Row],[Sell Value]]</f>
        <v>1.3450594930160372E-2</v>
      </c>
      <c r="H42" s="1" t="s">
        <v>3</v>
      </c>
      <c r="I42" s="1">
        <v>20</v>
      </c>
      <c r="J42" s="14">
        <f>Table[[#This Row],[Sell Value]]*Table[[#This Row],[Selling Price]]</f>
        <v>38660</v>
      </c>
      <c r="K42" s="1" t="s">
        <v>4</v>
      </c>
      <c r="L42" s="1" t="s">
        <v>29</v>
      </c>
      <c r="M42" s="1" t="s">
        <v>44</v>
      </c>
      <c r="N42" s="1">
        <v>0.2</v>
      </c>
      <c r="O42" s="1" t="s">
        <v>81</v>
      </c>
      <c r="P42" s="1" t="s">
        <v>62</v>
      </c>
    </row>
    <row r="43" spans="1:16" x14ac:dyDescent="0.25">
      <c r="A43" s="1">
        <v>326782196</v>
      </c>
      <c r="B43" s="1" t="s">
        <v>32</v>
      </c>
      <c r="C43" s="1" t="s">
        <v>17</v>
      </c>
      <c r="D43" s="1">
        <v>48375</v>
      </c>
      <c r="E43" s="1">
        <v>3940</v>
      </c>
      <c r="F43" s="1">
        <v>37</v>
      </c>
      <c r="G43" s="13">
        <f>Table[[#This Row],[Return Value]]/Table[[#This Row],[Sell Value]]</f>
        <v>9.3908629441624373E-3</v>
      </c>
      <c r="H43" s="1" t="s">
        <v>64</v>
      </c>
      <c r="I43" s="1">
        <v>33</v>
      </c>
      <c r="J43" s="14">
        <f>Table[[#This Row],[Sell Value]]*Table[[#This Row],[Selling Price]]</f>
        <v>130020</v>
      </c>
      <c r="K43" s="1" t="s">
        <v>4</v>
      </c>
      <c r="L43" s="1" t="s">
        <v>29</v>
      </c>
      <c r="M43" s="1" t="s">
        <v>48</v>
      </c>
      <c r="N43" s="1">
        <v>0.2</v>
      </c>
      <c r="O43" s="1" t="s">
        <v>81</v>
      </c>
      <c r="P43" s="1" t="s">
        <v>39</v>
      </c>
    </row>
    <row r="44" spans="1:16" x14ac:dyDescent="0.25">
      <c r="A44" s="1">
        <v>899961615</v>
      </c>
      <c r="B44" s="1" t="s">
        <v>34</v>
      </c>
      <c r="C44" s="1" t="s">
        <v>2</v>
      </c>
      <c r="D44" s="1">
        <v>47511</v>
      </c>
      <c r="E44" s="1">
        <v>4848</v>
      </c>
      <c r="F44" s="1">
        <v>41</v>
      </c>
      <c r="G44" s="13">
        <f>Table[[#This Row],[Return Value]]/Table[[#This Row],[Sell Value]]</f>
        <v>8.4570957095709571E-3</v>
      </c>
      <c r="H44" s="1" t="s">
        <v>3</v>
      </c>
      <c r="I44" s="1">
        <v>33</v>
      </c>
      <c r="J44" s="14">
        <f>Table[[#This Row],[Sell Value]]*Table[[#This Row],[Selling Price]]</f>
        <v>159984</v>
      </c>
      <c r="K44" s="1" t="s">
        <v>4</v>
      </c>
      <c r="L44" s="1" t="s">
        <v>35</v>
      </c>
      <c r="M44" s="1" t="s">
        <v>14</v>
      </c>
      <c r="N44" s="1">
        <v>0.2</v>
      </c>
      <c r="O44" s="1" t="s">
        <v>81</v>
      </c>
      <c r="P44" s="1" t="s">
        <v>23</v>
      </c>
    </row>
    <row r="45" spans="1:16" x14ac:dyDescent="0.25">
      <c r="A45" s="1">
        <v>873719539</v>
      </c>
      <c r="B45" s="1" t="s">
        <v>37</v>
      </c>
      <c r="C45" s="1" t="s">
        <v>17</v>
      </c>
      <c r="D45" s="1">
        <v>47776</v>
      </c>
      <c r="E45" s="1">
        <v>4881</v>
      </c>
      <c r="F45" s="1">
        <v>27</v>
      </c>
      <c r="G45" s="13">
        <f>Table[[#This Row],[Return Value]]/Table[[#This Row],[Sell Value]]</f>
        <v>5.531653349723417E-3</v>
      </c>
      <c r="H45" s="1" t="s">
        <v>3</v>
      </c>
      <c r="I45" s="1">
        <v>50</v>
      </c>
      <c r="J45" s="14">
        <f>Table[[#This Row],[Sell Value]]*Table[[#This Row],[Selling Price]]</f>
        <v>244050</v>
      </c>
      <c r="K45" s="1" t="s">
        <v>4</v>
      </c>
      <c r="L45" s="1" t="s">
        <v>38</v>
      </c>
      <c r="M45" s="1" t="s">
        <v>59</v>
      </c>
      <c r="N45" s="1">
        <v>0.2</v>
      </c>
      <c r="O45" s="1" t="s">
        <v>81</v>
      </c>
      <c r="P45" s="1" t="s">
        <v>36</v>
      </c>
    </row>
    <row r="46" spans="1:16" x14ac:dyDescent="0.25">
      <c r="A46" s="1">
        <v>351607604</v>
      </c>
      <c r="B46" s="1" t="s">
        <v>40</v>
      </c>
      <c r="C46" s="1" t="s">
        <v>17</v>
      </c>
      <c r="D46" s="1">
        <v>48383</v>
      </c>
      <c r="E46" s="1">
        <v>3025</v>
      </c>
      <c r="F46" s="1">
        <v>44</v>
      </c>
      <c r="G46" s="13">
        <f>Table[[#This Row],[Return Value]]/Table[[#This Row],[Sell Value]]</f>
        <v>1.4545454545454545E-2</v>
      </c>
      <c r="H46" s="1" t="s">
        <v>3</v>
      </c>
      <c r="I46" s="1">
        <v>30</v>
      </c>
      <c r="J46" s="14">
        <f>Table[[#This Row],[Sell Value]]*Table[[#This Row],[Selling Price]]</f>
        <v>90750</v>
      </c>
      <c r="K46" s="1" t="s">
        <v>4</v>
      </c>
      <c r="L46" s="1" t="s">
        <v>41</v>
      </c>
      <c r="M46" s="1" t="s">
        <v>48</v>
      </c>
      <c r="N46" s="1">
        <v>0.2</v>
      </c>
      <c r="O46" s="1" t="s">
        <v>82</v>
      </c>
      <c r="P46" s="1" t="s">
        <v>36</v>
      </c>
    </row>
    <row r="47" spans="1:16" x14ac:dyDescent="0.25">
      <c r="A47" s="1">
        <v>815452492</v>
      </c>
      <c r="B47" s="1" t="s">
        <v>42</v>
      </c>
      <c r="C47" s="1" t="s">
        <v>2</v>
      </c>
      <c r="D47" s="1">
        <v>48261</v>
      </c>
      <c r="E47" s="1">
        <v>3684</v>
      </c>
      <c r="F47" s="1">
        <v>10</v>
      </c>
      <c r="G47" s="13">
        <f>Table[[#This Row],[Return Value]]/Table[[#This Row],[Sell Value]]</f>
        <v>2.7144408251900108E-3</v>
      </c>
      <c r="H47" s="1" t="s">
        <v>3</v>
      </c>
      <c r="I47" s="1">
        <v>32</v>
      </c>
      <c r="J47" s="14">
        <f>Table[[#This Row],[Sell Value]]*Table[[#This Row],[Selling Price]]</f>
        <v>117888</v>
      </c>
      <c r="K47" s="1" t="s">
        <v>4</v>
      </c>
      <c r="L47" s="1" t="s">
        <v>43</v>
      </c>
      <c r="M47" s="1" t="s">
        <v>26</v>
      </c>
      <c r="N47" s="1">
        <v>0.2</v>
      </c>
      <c r="O47" s="1" t="s">
        <v>81</v>
      </c>
      <c r="P47" s="1" t="s">
        <v>65</v>
      </c>
    </row>
    <row r="48" spans="1:16" x14ac:dyDescent="0.25">
      <c r="A48" s="1">
        <v>498352952</v>
      </c>
      <c r="B48" s="1" t="s">
        <v>46</v>
      </c>
      <c r="C48" s="1" t="s">
        <v>2</v>
      </c>
      <c r="D48" s="1">
        <v>48101</v>
      </c>
      <c r="E48" s="1">
        <v>3933</v>
      </c>
      <c r="F48" s="1">
        <v>18</v>
      </c>
      <c r="G48" s="13">
        <f>Table[[#This Row],[Return Value]]/Table[[#This Row],[Sell Value]]</f>
        <v>4.5766590389016018E-3</v>
      </c>
      <c r="H48" s="1" t="s">
        <v>28</v>
      </c>
      <c r="I48" s="1">
        <v>27</v>
      </c>
      <c r="J48" s="14">
        <f>Table[[#This Row],[Sell Value]]*Table[[#This Row],[Selling Price]]</f>
        <v>106191</v>
      </c>
      <c r="K48" s="1" t="s">
        <v>4</v>
      </c>
      <c r="L48" s="1" t="s">
        <v>47</v>
      </c>
      <c r="M48" s="1" t="s">
        <v>33</v>
      </c>
      <c r="N48" s="1">
        <v>0.2</v>
      </c>
      <c r="O48" s="1" t="s">
        <v>81</v>
      </c>
      <c r="P48" s="1" t="s">
        <v>55</v>
      </c>
    </row>
    <row r="49" spans="1:16" x14ac:dyDescent="0.25">
      <c r="A49" s="1">
        <v>504790159</v>
      </c>
      <c r="B49" s="1" t="s">
        <v>50</v>
      </c>
      <c r="C49" s="1" t="s">
        <v>2</v>
      </c>
      <c r="D49" s="1">
        <v>48532</v>
      </c>
      <c r="E49" s="1">
        <v>4394</v>
      </c>
      <c r="F49" s="1">
        <v>45</v>
      </c>
      <c r="G49" s="13">
        <f>Table[[#This Row],[Return Value]]/Table[[#This Row],[Sell Value]]</f>
        <v>1.0241238051888939E-2</v>
      </c>
      <c r="H49" s="1" t="s">
        <v>3</v>
      </c>
      <c r="I49" s="1">
        <v>50</v>
      </c>
      <c r="J49" s="14">
        <f>Table[[#This Row],[Sell Value]]*Table[[#This Row],[Selling Price]]</f>
        <v>219700</v>
      </c>
      <c r="K49" s="1" t="s">
        <v>4</v>
      </c>
      <c r="L49" s="1" t="s">
        <v>51</v>
      </c>
      <c r="M49" s="1" t="s">
        <v>59</v>
      </c>
      <c r="N49" s="1">
        <v>0.2</v>
      </c>
      <c r="O49" s="1" t="s">
        <v>81</v>
      </c>
      <c r="P49" s="1" t="s">
        <v>52</v>
      </c>
    </row>
    <row r="50" spans="1:16" x14ac:dyDescent="0.25">
      <c r="A50" s="1">
        <v>103920935</v>
      </c>
      <c r="B50" s="1" t="s">
        <v>53</v>
      </c>
      <c r="C50" s="1" t="s">
        <v>2</v>
      </c>
      <c r="D50" s="1">
        <v>48223</v>
      </c>
      <c r="E50" s="1">
        <v>2136</v>
      </c>
      <c r="F50" s="1">
        <v>35</v>
      </c>
      <c r="G50" s="13">
        <f>Table[[#This Row],[Return Value]]/Table[[#This Row],[Sell Value]]</f>
        <v>1.6385767790262171E-2</v>
      </c>
      <c r="H50" s="1" t="s">
        <v>28</v>
      </c>
      <c r="I50" s="1">
        <v>37</v>
      </c>
      <c r="J50" s="14">
        <f>Table[[#This Row],[Sell Value]]*Table[[#This Row],[Selling Price]]</f>
        <v>79032</v>
      </c>
      <c r="K50" s="1" t="s">
        <v>4</v>
      </c>
      <c r="L50" s="1" t="s">
        <v>54</v>
      </c>
      <c r="M50" s="1" t="s">
        <v>48</v>
      </c>
      <c r="N50" s="1">
        <v>0.2</v>
      </c>
      <c r="O50" s="1" t="s">
        <v>81</v>
      </c>
      <c r="P50" s="1" t="s">
        <v>62</v>
      </c>
    </row>
    <row r="51" spans="1:16" x14ac:dyDescent="0.25">
      <c r="A51" s="1">
        <v>693007312</v>
      </c>
      <c r="B51" s="1" t="s">
        <v>56</v>
      </c>
      <c r="C51" s="1" t="s">
        <v>2</v>
      </c>
      <c r="D51" s="1">
        <v>47959</v>
      </c>
      <c r="E51" s="1">
        <v>2130</v>
      </c>
      <c r="F51" s="1">
        <v>44</v>
      </c>
      <c r="G51" s="13">
        <f>Table[[#This Row],[Return Value]]/Table[[#This Row],[Sell Value]]</f>
        <v>2.0657276995305163E-2</v>
      </c>
      <c r="H51" s="1" t="s">
        <v>3</v>
      </c>
      <c r="I51" s="1">
        <v>32</v>
      </c>
      <c r="J51" s="14">
        <f>Table[[#This Row],[Sell Value]]*Table[[#This Row],[Selling Price]]</f>
        <v>68160</v>
      </c>
      <c r="K51" s="1" t="s">
        <v>4</v>
      </c>
      <c r="L51" s="1" t="s">
        <v>57</v>
      </c>
      <c r="M51" s="1" t="s">
        <v>61</v>
      </c>
      <c r="N51" s="1">
        <v>0.2</v>
      </c>
      <c r="O51" s="1" t="s">
        <v>81</v>
      </c>
      <c r="P51" s="1" t="s">
        <v>45</v>
      </c>
    </row>
    <row r="52" spans="1:16" x14ac:dyDescent="0.25">
      <c r="A52" s="1">
        <v>323031393</v>
      </c>
      <c r="B52" s="1" t="s">
        <v>12</v>
      </c>
      <c r="C52" s="1" t="s">
        <v>2</v>
      </c>
      <c r="D52" s="1">
        <v>47793</v>
      </c>
      <c r="E52" s="1">
        <v>2432</v>
      </c>
      <c r="F52" s="1">
        <v>42</v>
      </c>
      <c r="G52" s="13">
        <f>Table[[#This Row],[Return Value]]/Table[[#This Row],[Sell Value]]</f>
        <v>1.7269736842105265E-2</v>
      </c>
      <c r="H52" s="1" t="s">
        <v>3</v>
      </c>
      <c r="I52" s="1">
        <v>29</v>
      </c>
      <c r="J52" s="14">
        <f>Table[[#This Row],[Sell Value]]*Table[[#This Row],[Selling Price]]</f>
        <v>70528</v>
      </c>
      <c r="K52" s="1" t="s">
        <v>4</v>
      </c>
      <c r="L52" s="1" t="s">
        <v>5</v>
      </c>
      <c r="M52" s="1" t="s">
        <v>14</v>
      </c>
      <c r="N52" s="1">
        <v>0.2</v>
      </c>
      <c r="O52" s="1" t="s">
        <v>82</v>
      </c>
      <c r="P52" s="1" t="s">
        <v>66</v>
      </c>
    </row>
    <row r="53" spans="1:16" x14ac:dyDescent="0.25">
      <c r="A53" s="1">
        <v>562747119</v>
      </c>
      <c r="B53" s="1" t="s">
        <v>16</v>
      </c>
      <c r="C53" s="1" t="s">
        <v>17</v>
      </c>
      <c r="D53" s="1">
        <v>48491</v>
      </c>
      <c r="E53" s="1">
        <v>2241</v>
      </c>
      <c r="F53" s="1">
        <v>31</v>
      </c>
      <c r="G53" s="13">
        <f>Table[[#This Row],[Return Value]]/Table[[#This Row],[Sell Value]]</f>
        <v>1.3833110218652387E-2</v>
      </c>
      <c r="H53" s="1" t="s">
        <v>3</v>
      </c>
      <c r="I53" s="1">
        <v>44</v>
      </c>
      <c r="J53" s="14">
        <f>Table[[#This Row],[Sell Value]]*Table[[#This Row],[Selling Price]]</f>
        <v>98604</v>
      </c>
      <c r="K53" s="1" t="s">
        <v>4</v>
      </c>
      <c r="L53" s="1" t="s">
        <v>9</v>
      </c>
      <c r="M53" s="1" t="s">
        <v>22</v>
      </c>
      <c r="N53" s="1">
        <v>0.2</v>
      </c>
      <c r="O53" s="1" t="s">
        <v>81</v>
      </c>
      <c r="P53" s="1" t="s">
        <v>11</v>
      </c>
    </row>
    <row r="54" spans="1:16" x14ac:dyDescent="0.25">
      <c r="A54" s="1">
        <v>130556097</v>
      </c>
      <c r="B54" s="1" t="s">
        <v>20</v>
      </c>
      <c r="C54" s="1" t="s">
        <v>17</v>
      </c>
      <c r="D54" s="1">
        <v>48292</v>
      </c>
      <c r="E54" s="1">
        <v>2728</v>
      </c>
      <c r="F54" s="1">
        <v>50</v>
      </c>
      <c r="G54" s="13">
        <f>Table[[#This Row],[Return Value]]/Table[[#This Row],[Sell Value]]</f>
        <v>1.8328445747800588E-2</v>
      </c>
      <c r="H54" s="1" t="s">
        <v>3</v>
      </c>
      <c r="I54" s="1">
        <v>32</v>
      </c>
      <c r="J54" s="14">
        <f>Table[[#This Row],[Sell Value]]*Table[[#This Row],[Selling Price]]</f>
        <v>87296</v>
      </c>
      <c r="K54" s="1" t="s">
        <v>4</v>
      </c>
      <c r="L54" s="1" t="s">
        <v>13</v>
      </c>
      <c r="M54" s="1" t="s">
        <v>30</v>
      </c>
      <c r="N54" s="1">
        <v>0.2</v>
      </c>
      <c r="O54" s="1" t="s">
        <v>82</v>
      </c>
      <c r="P54" s="1" t="s">
        <v>39</v>
      </c>
    </row>
    <row r="55" spans="1:16" x14ac:dyDescent="0.25">
      <c r="A55" s="1">
        <v>968380166</v>
      </c>
      <c r="B55" s="1" t="s">
        <v>24</v>
      </c>
      <c r="C55" s="1" t="s">
        <v>2</v>
      </c>
      <c r="D55" s="1">
        <v>48193</v>
      </c>
      <c r="E55" s="1">
        <v>4812</v>
      </c>
      <c r="F55" s="1">
        <v>21</v>
      </c>
      <c r="G55" s="13">
        <f>Table[[#This Row],[Return Value]]/Table[[#This Row],[Sell Value]]</f>
        <v>4.3640897755610969E-3</v>
      </c>
      <c r="H55" s="1" t="s">
        <v>3</v>
      </c>
      <c r="I55" s="1">
        <v>27</v>
      </c>
      <c r="J55" s="14">
        <f>Table[[#This Row],[Sell Value]]*Table[[#This Row],[Selling Price]]</f>
        <v>129924</v>
      </c>
      <c r="K55" s="1" t="s">
        <v>4</v>
      </c>
      <c r="L55" s="1" t="s">
        <v>18</v>
      </c>
      <c r="M55" s="1" t="s">
        <v>30</v>
      </c>
      <c r="N55" s="1">
        <v>0.2</v>
      </c>
      <c r="O55" s="1" t="s">
        <v>81</v>
      </c>
      <c r="P55" s="1" t="s">
        <v>52</v>
      </c>
    </row>
    <row r="56" spans="1:16" x14ac:dyDescent="0.25">
      <c r="A56" s="1">
        <v>177088758</v>
      </c>
      <c r="B56" s="1" t="s">
        <v>27</v>
      </c>
      <c r="C56" s="1" t="s">
        <v>2</v>
      </c>
      <c r="D56" s="1">
        <v>47620</v>
      </c>
      <c r="E56" s="1">
        <v>1428</v>
      </c>
      <c r="F56" s="1">
        <v>34</v>
      </c>
      <c r="G56" s="13">
        <f>Table[[#This Row],[Return Value]]/Table[[#This Row],[Sell Value]]</f>
        <v>2.3809523809523808E-2</v>
      </c>
      <c r="H56" s="1" t="s">
        <v>3</v>
      </c>
      <c r="I56" s="1">
        <v>23</v>
      </c>
      <c r="J56" s="14">
        <f>Table[[#This Row],[Sell Value]]*Table[[#This Row],[Selling Price]]</f>
        <v>32844</v>
      </c>
      <c r="K56" s="1" t="s">
        <v>4</v>
      </c>
      <c r="L56" s="1" t="s">
        <v>21</v>
      </c>
      <c r="M56" s="1" t="s">
        <v>59</v>
      </c>
      <c r="N56" s="1">
        <v>0.2</v>
      </c>
      <c r="O56" s="1" t="s">
        <v>81</v>
      </c>
      <c r="P56" s="1" t="s">
        <v>15</v>
      </c>
    </row>
    <row r="57" spans="1:16" x14ac:dyDescent="0.25">
      <c r="A57" s="1">
        <v>383293395</v>
      </c>
      <c r="B57" s="1" t="s">
        <v>32</v>
      </c>
      <c r="C57" s="1" t="s">
        <v>17</v>
      </c>
      <c r="D57" s="1">
        <v>48388</v>
      </c>
      <c r="E57" s="1">
        <v>2077</v>
      </c>
      <c r="F57" s="1">
        <v>36</v>
      </c>
      <c r="G57" s="13">
        <f>Table[[#This Row],[Return Value]]/Table[[#This Row],[Sell Value]]</f>
        <v>1.7332691381800675E-2</v>
      </c>
      <c r="H57" s="1" t="s">
        <v>3</v>
      </c>
      <c r="I57" s="1">
        <v>40</v>
      </c>
      <c r="J57" s="14">
        <f>Table[[#This Row],[Sell Value]]*Table[[#This Row],[Selling Price]]</f>
        <v>83080</v>
      </c>
      <c r="K57" s="1" t="s">
        <v>4</v>
      </c>
      <c r="L57" s="1" t="s">
        <v>25</v>
      </c>
      <c r="M57" s="1" t="s">
        <v>61</v>
      </c>
      <c r="N57" s="1">
        <v>0.2</v>
      </c>
      <c r="O57" s="1" t="s">
        <v>82</v>
      </c>
      <c r="P57" s="1" t="s">
        <v>65</v>
      </c>
    </row>
    <row r="58" spans="1:16" x14ac:dyDescent="0.25">
      <c r="A58" s="1">
        <v>562839063</v>
      </c>
      <c r="B58" s="1" t="s">
        <v>34</v>
      </c>
      <c r="C58" s="1" t="s">
        <v>2</v>
      </c>
      <c r="D58" s="1">
        <v>47669</v>
      </c>
      <c r="E58" s="1">
        <v>1715</v>
      </c>
      <c r="F58" s="1">
        <v>23</v>
      </c>
      <c r="G58" s="13">
        <f>Table[[#This Row],[Return Value]]/Table[[#This Row],[Sell Value]]</f>
        <v>1.3411078717201166E-2</v>
      </c>
      <c r="H58" s="1" t="s">
        <v>3</v>
      </c>
      <c r="I58" s="1">
        <v>28</v>
      </c>
      <c r="J58" s="14">
        <f>Table[[#This Row],[Sell Value]]*Table[[#This Row],[Selling Price]]</f>
        <v>48020</v>
      </c>
      <c r="K58" s="1" t="s">
        <v>4</v>
      </c>
      <c r="L58" s="1" t="s">
        <v>29</v>
      </c>
      <c r="M58" s="1" t="s">
        <v>44</v>
      </c>
      <c r="N58" s="1">
        <v>0.2</v>
      </c>
      <c r="O58" s="1" t="s">
        <v>81</v>
      </c>
      <c r="P58" s="1" t="s">
        <v>66</v>
      </c>
    </row>
    <row r="59" spans="1:16" x14ac:dyDescent="0.25">
      <c r="A59" s="1">
        <v>476294540</v>
      </c>
      <c r="B59" s="1" t="s">
        <v>37</v>
      </c>
      <c r="C59" s="1" t="s">
        <v>17</v>
      </c>
      <c r="D59" s="1">
        <v>47595</v>
      </c>
      <c r="E59" s="1">
        <v>3762</v>
      </c>
      <c r="F59" s="1">
        <v>42</v>
      </c>
      <c r="G59" s="13">
        <f>Table[[#This Row],[Return Value]]/Table[[#This Row],[Sell Value]]</f>
        <v>1.1164274322169059E-2</v>
      </c>
      <c r="H59" s="1" t="s">
        <v>3</v>
      </c>
      <c r="I59" s="1">
        <v>24</v>
      </c>
      <c r="J59" s="14">
        <f>Table[[#This Row],[Sell Value]]*Table[[#This Row],[Selling Price]]</f>
        <v>90288</v>
      </c>
      <c r="K59" s="1" t="s">
        <v>4</v>
      </c>
      <c r="L59" s="1" t="s">
        <v>29</v>
      </c>
      <c r="M59" s="1" t="s">
        <v>59</v>
      </c>
      <c r="N59" s="1">
        <v>0.2</v>
      </c>
      <c r="O59" s="1" t="s">
        <v>82</v>
      </c>
      <c r="P59" s="1" t="s">
        <v>31</v>
      </c>
    </row>
    <row r="60" spans="1:16" x14ac:dyDescent="0.25">
      <c r="A60" s="1">
        <v>563366580</v>
      </c>
      <c r="B60" s="1" t="s">
        <v>40</v>
      </c>
      <c r="C60" s="1" t="s">
        <v>17</v>
      </c>
      <c r="D60" s="1">
        <v>48496</v>
      </c>
      <c r="E60" s="1">
        <v>1784</v>
      </c>
      <c r="F60" s="1">
        <v>38</v>
      </c>
      <c r="G60" s="13">
        <f>Table[[#This Row],[Return Value]]/Table[[#This Row],[Sell Value]]</f>
        <v>2.1300448430493273E-2</v>
      </c>
      <c r="H60" s="1" t="s">
        <v>3</v>
      </c>
      <c r="I60" s="1">
        <v>33</v>
      </c>
      <c r="J60" s="14">
        <f>Table[[#This Row],[Sell Value]]*Table[[#This Row],[Selling Price]]</f>
        <v>58872</v>
      </c>
      <c r="K60" s="1" t="s">
        <v>4</v>
      </c>
      <c r="L60" s="1" t="s">
        <v>35</v>
      </c>
      <c r="M60" s="1" t="s">
        <v>48</v>
      </c>
      <c r="N60" s="1">
        <v>0.2</v>
      </c>
      <c r="O60" s="1" t="s">
        <v>81</v>
      </c>
      <c r="P60" s="1" t="s">
        <v>31</v>
      </c>
    </row>
    <row r="61" spans="1:16" x14ac:dyDescent="0.25">
      <c r="A61" s="1">
        <v>844285958</v>
      </c>
      <c r="B61" s="1" t="s">
        <v>42</v>
      </c>
      <c r="C61" s="1" t="s">
        <v>2</v>
      </c>
      <c r="D61" s="1">
        <v>48431</v>
      </c>
      <c r="E61" s="1">
        <v>1399</v>
      </c>
      <c r="F61" s="1">
        <v>40</v>
      </c>
      <c r="G61" s="13">
        <f>Table[[#This Row],[Return Value]]/Table[[#This Row],[Sell Value]]</f>
        <v>2.8591851322373123E-2</v>
      </c>
      <c r="H61" s="1" t="s">
        <v>3</v>
      </c>
      <c r="I61" s="1">
        <v>43</v>
      </c>
      <c r="J61" s="14">
        <f>Table[[#This Row],[Sell Value]]*Table[[#This Row],[Selling Price]]</f>
        <v>60157</v>
      </c>
      <c r="K61" s="1" t="s">
        <v>4</v>
      </c>
      <c r="L61" s="1" t="s">
        <v>38</v>
      </c>
      <c r="M61" s="1" t="s">
        <v>22</v>
      </c>
      <c r="N61" s="1">
        <v>0.2</v>
      </c>
      <c r="O61" s="1" t="s">
        <v>82</v>
      </c>
      <c r="P61" s="1" t="s">
        <v>58</v>
      </c>
    </row>
    <row r="62" spans="1:16" x14ac:dyDescent="0.25">
      <c r="A62" s="1">
        <v>952664542</v>
      </c>
      <c r="B62" s="1" t="s">
        <v>46</v>
      </c>
      <c r="C62" s="1" t="s">
        <v>2</v>
      </c>
      <c r="D62" s="1">
        <v>48412</v>
      </c>
      <c r="E62" s="1">
        <v>4928</v>
      </c>
      <c r="F62" s="1">
        <v>33</v>
      </c>
      <c r="G62" s="13">
        <f>Table[[#This Row],[Return Value]]/Table[[#This Row],[Sell Value]]</f>
        <v>6.6964285714285711E-3</v>
      </c>
      <c r="H62" s="1" t="s">
        <v>3</v>
      </c>
      <c r="I62" s="1">
        <v>49</v>
      </c>
      <c r="J62" s="14">
        <f>Table[[#This Row],[Sell Value]]*Table[[#This Row],[Selling Price]]</f>
        <v>241472</v>
      </c>
      <c r="K62" s="1" t="s">
        <v>4</v>
      </c>
      <c r="L62" s="1" t="s">
        <v>41</v>
      </c>
      <c r="M62" s="1" t="s">
        <v>22</v>
      </c>
      <c r="N62" s="1">
        <v>0.2</v>
      </c>
      <c r="O62" s="1" t="s">
        <v>81</v>
      </c>
      <c r="P62" s="1" t="s">
        <v>67</v>
      </c>
    </row>
    <row r="63" spans="1:16" x14ac:dyDescent="0.25">
      <c r="A63" s="1">
        <v>723294546</v>
      </c>
      <c r="B63" s="1" t="s">
        <v>50</v>
      </c>
      <c r="C63" s="1" t="s">
        <v>2</v>
      </c>
      <c r="D63" s="1">
        <v>48051</v>
      </c>
      <c r="E63" s="1">
        <v>3819</v>
      </c>
      <c r="F63" s="1">
        <v>11</v>
      </c>
      <c r="G63" s="13">
        <f>Table[[#This Row],[Return Value]]/Table[[#This Row],[Sell Value]]</f>
        <v>2.8803351662738939E-3</v>
      </c>
      <c r="H63" s="1" t="s">
        <v>3</v>
      </c>
      <c r="I63" s="1">
        <v>28</v>
      </c>
      <c r="J63" s="14">
        <f>Table[[#This Row],[Sell Value]]*Table[[#This Row],[Selling Price]]</f>
        <v>106932</v>
      </c>
      <c r="K63" s="1" t="s">
        <v>4</v>
      </c>
      <c r="L63" s="1" t="s">
        <v>43</v>
      </c>
      <c r="M63" s="1" t="s">
        <v>59</v>
      </c>
      <c r="N63" s="1">
        <v>0.2</v>
      </c>
      <c r="O63" s="1" t="s">
        <v>82</v>
      </c>
      <c r="P63" s="1" t="s">
        <v>55</v>
      </c>
    </row>
    <row r="64" spans="1:16" x14ac:dyDescent="0.25">
      <c r="A64" s="1">
        <v>719915464</v>
      </c>
      <c r="B64" s="1" t="s">
        <v>53</v>
      </c>
      <c r="C64" s="1" t="s">
        <v>2</v>
      </c>
      <c r="D64" s="1">
        <v>48034</v>
      </c>
      <c r="E64" s="1">
        <v>4948</v>
      </c>
      <c r="F64" s="1">
        <v>28</v>
      </c>
      <c r="G64" s="13">
        <f>Table[[#This Row],[Return Value]]/Table[[#This Row],[Sell Value]]</f>
        <v>5.6588520614389648E-3</v>
      </c>
      <c r="H64" s="1" t="s">
        <v>3</v>
      </c>
      <c r="I64" s="1">
        <v>42</v>
      </c>
      <c r="J64" s="14">
        <f>Table[[#This Row],[Sell Value]]*Table[[#This Row],[Selling Price]]</f>
        <v>207816</v>
      </c>
      <c r="K64" s="1" t="s">
        <v>4</v>
      </c>
      <c r="L64" s="1" t="s">
        <v>47</v>
      </c>
      <c r="M64" s="1" t="s">
        <v>48</v>
      </c>
      <c r="N64" s="1">
        <v>0.2</v>
      </c>
      <c r="O64" s="1" t="s">
        <v>82</v>
      </c>
      <c r="P64" s="1" t="s">
        <v>19</v>
      </c>
    </row>
    <row r="65" spans="1:16" x14ac:dyDescent="0.25">
      <c r="A65" s="1">
        <v>566572131</v>
      </c>
      <c r="B65" s="1" t="s">
        <v>56</v>
      </c>
      <c r="C65" s="1" t="s">
        <v>2</v>
      </c>
      <c r="D65" s="1">
        <v>48108</v>
      </c>
      <c r="E65" s="1">
        <v>4329</v>
      </c>
      <c r="F65" s="1">
        <v>44</v>
      </c>
      <c r="G65" s="13">
        <f>Table[[#This Row],[Return Value]]/Table[[#This Row],[Sell Value]]</f>
        <v>1.0164010164010164E-2</v>
      </c>
      <c r="H65" s="1" t="s">
        <v>3</v>
      </c>
      <c r="I65" s="1">
        <v>27</v>
      </c>
      <c r="J65" s="14">
        <f>Table[[#This Row],[Sell Value]]*Table[[#This Row],[Selling Price]]</f>
        <v>116883</v>
      </c>
      <c r="K65" s="1" t="s">
        <v>4</v>
      </c>
      <c r="L65" s="1" t="s">
        <v>51</v>
      </c>
      <c r="M65" s="1" t="s">
        <v>6</v>
      </c>
      <c r="N65" s="1">
        <v>0.2</v>
      </c>
      <c r="O65" s="1" t="s">
        <v>82</v>
      </c>
      <c r="P65" s="1" t="s">
        <v>15</v>
      </c>
    </row>
    <row r="66" spans="1:16" x14ac:dyDescent="0.25">
      <c r="A66" s="1">
        <v>467597559</v>
      </c>
      <c r="B66" s="1" t="s">
        <v>1</v>
      </c>
      <c r="C66" s="1" t="s">
        <v>2</v>
      </c>
      <c r="D66" s="1">
        <v>48101</v>
      </c>
      <c r="E66" s="1">
        <v>4094</v>
      </c>
      <c r="F66" s="1">
        <v>10</v>
      </c>
      <c r="G66" s="13">
        <f>Table[[#This Row],[Return Value]]/Table[[#This Row],[Sell Value]]</f>
        <v>2.4425989252564728E-3</v>
      </c>
      <c r="H66" s="1" t="s">
        <v>3</v>
      </c>
      <c r="I66" s="1">
        <v>29</v>
      </c>
      <c r="J66" s="14">
        <f>Table[[#This Row],[Sell Value]]*Table[[#This Row],[Selling Price]]</f>
        <v>118726</v>
      </c>
      <c r="K66" s="1" t="s">
        <v>4</v>
      </c>
      <c r="L66" s="1" t="s">
        <v>54</v>
      </c>
      <c r="M66" s="1" t="s">
        <v>48</v>
      </c>
      <c r="N66" s="1">
        <v>0.2</v>
      </c>
      <c r="O66" s="1" t="s">
        <v>81</v>
      </c>
      <c r="P66" s="1" t="s">
        <v>39</v>
      </c>
    </row>
    <row r="67" spans="1:16" x14ac:dyDescent="0.25">
      <c r="A67" s="1">
        <v>952054979</v>
      </c>
      <c r="B67" s="1" t="s">
        <v>8</v>
      </c>
      <c r="C67" s="1" t="s">
        <v>2</v>
      </c>
      <c r="D67" s="1">
        <v>48064</v>
      </c>
      <c r="E67" s="1">
        <v>4744</v>
      </c>
      <c r="F67" s="1">
        <v>11</v>
      </c>
      <c r="G67" s="13">
        <f>Table[[#This Row],[Return Value]]/Table[[#This Row],[Sell Value]]</f>
        <v>2.3187183811129849E-3</v>
      </c>
      <c r="H67" s="1" t="s">
        <v>3</v>
      </c>
      <c r="I67" s="1">
        <v>48</v>
      </c>
      <c r="J67" s="14">
        <f>Table[[#This Row],[Sell Value]]*Table[[#This Row],[Selling Price]]</f>
        <v>227712</v>
      </c>
      <c r="K67" s="1" t="s">
        <v>4</v>
      </c>
      <c r="L67" s="1" t="s">
        <v>57</v>
      </c>
      <c r="M67" s="1" t="s">
        <v>61</v>
      </c>
      <c r="N67" s="1">
        <v>0.2</v>
      </c>
      <c r="O67" s="1" t="s">
        <v>81</v>
      </c>
      <c r="P67" s="1" t="s">
        <v>7</v>
      </c>
    </row>
    <row r="68" spans="1:16" x14ac:dyDescent="0.25">
      <c r="A68" s="1">
        <v>362021707</v>
      </c>
      <c r="B68" s="1" t="s">
        <v>12</v>
      </c>
      <c r="C68" s="1" t="s">
        <v>2</v>
      </c>
      <c r="D68" s="1">
        <v>47979</v>
      </c>
      <c r="E68" s="1">
        <v>3718</v>
      </c>
      <c r="F68" s="1">
        <v>50</v>
      </c>
      <c r="G68" s="13">
        <f>Table[[#This Row],[Return Value]]/Table[[#This Row],[Sell Value]]</f>
        <v>1.3448090371167294E-2</v>
      </c>
      <c r="H68" s="1" t="s">
        <v>3</v>
      </c>
      <c r="I68" s="1">
        <v>22</v>
      </c>
      <c r="J68" s="14">
        <f>Table[[#This Row],[Sell Value]]*Table[[#This Row],[Selling Price]]</f>
        <v>81796</v>
      </c>
      <c r="K68" s="1" t="s">
        <v>4</v>
      </c>
      <c r="L68" s="1" t="s">
        <v>5</v>
      </c>
      <c r="M68" s="1" t="s">
        <v>14</v>
      </c>
      <c r="N68" s="1">
        <v>0.2</v>
      </c>
      <c r="O68" s="1" t="s">
        <v>81</v>
      </c>
      <c r="P68" s="1" t="s">
        <v>31</v>
      </c>
    </row>
    <row r="69" spans="1:16" x14ac:dyDescent="0.25">
      <c r="A69" s="1">
        <v>511326224</v>
      </c>
      <c r="B69" s="1" t="s">
        <v>16</v>
      </c>
      <c r="C69" s="1" t="s">
        <v>17</v>
      </c>
      <c r="D69" s="1">
        <v>48207</v>
      </c>
      <c r="E69" s="1">
        <v>1094</v>
      </c>
      <c r="F69" s="1">
        <v>44</v>
      </c>
      <c r="G69" s="13">
        <f>Table[[#This Row],[Return Value]]/Table[[#This Row],[Sell Value]]</f>
        <v>4.0219378427787937E-2</v>
      </c>
      <c r="H69" s="1" t="s">
        <v>3</v>
      </c>
      <c r="I69" s="1">
        <v>37</v>
      </c>
      <c r="J69" s="14">
        <f>Table[[#This Row],[Sell Value]]*Table[[#This Row],[Selling Price]]</f>
        <v>40478</v>
      </c>
      <c r="K69" s="1" t="s">
        <v>4</v>
      </c>
      <c r="L69" s="1" t="s">
        <v>9</v>
      </c>
      <c r="M69" s="1" t="s">
        <v>48</v>
      </c>
      <c r="N69" s="1">
        <v>0.2</v>
      </c>
      <c r="O69" s="1" t="s">
        <v>81</v>
      </c>
      <c r="P69" s="1" t="s">
        <v>65</v>
      </c>
    </row>
    <row r="70" spans="1:16" x14ac:dyDescent="0.25">
      <c r="A70" s="1">
        <v>643217276</v>
      </c>
      <c r="B70" s="1" t="s">
        <v>20</v>
      </c>
      <c r="C70" s="1" t="s">
        <v>17</v>
      </c>
      <c r="D70" s="1">
        <v>48543</v>
      </c>
      <c r="E70" s="1">
        <v>2697</v>
      </c>
      <c r="F70" s="1">
        <v>39</v>
      </c>
      <c r="G70" s="13">
        <f>Table[[#This Row],[Return Value]]/Table[[#This Row],[Sell Value]]</f>
        <v>1.4460511679644048E-2</v>
      </c>
      <c r="H70" s="1" t="s">
        <v>3</v>
      </c>
      <c r="I70" s="1">
        <v>26</v>
      </c>
      <c r="J70" s="14">
        <f>Table[[#This Row],[Sell Value]]*Table[[#This Row],[Selling Price]]</f>
        <v>70122</v>
      </c>
      <c r="K70" s="1" t="s">
        <v>4</v>
      </c>
      <c r="L70" s="1" t="s">
        <v>13</v>
      </c>
      <c r="M70" s="1" t="s">
        <v>10</v>
      </c>
      <c r="N70" s="1">
        <v>0.2</v>
      </c>
      <c r="O70" s="1" t="s">
        <v>82</v>
      </c>
      <c r="P70" s="1" t="s">
        <v>52</v>
      </c>
    </row>
    <row r="71" spans="1:16" x14ac:dyDescent="0.25">
      <c r="A71" s="1">
        <v>843094642</v>
      </c>
      <c r="B71" s="1" t="s">
        <v>24</v>
      </c>
      <c r="C71" s="1" t="s">
        <v>2</v>
      </c>
      <c r="D71" s="1">
        <v>48448</v>
      </c>
      <c r="E71" s="1">
        <v>2337</v>
      </c>
      <c r="F71" s="1">
        <v>33</v>
      </c>
      <c r="G71" s="13">
        <f>Table[[#This Row],[Return Value]]/Table[[#This Row],[Sell Value]]</f>
        <v>1.4120667522464698E-2</v>
      </c>
      <c r="H71" s="1" t="s">
        <v>3</v>
      </c>
      <c r="I71" s="1">
        <v>34</v>
      </c>
      <c r="J71" s="14">
        <f>Table[[#This Row],[Sell Value]]*Table[[#This Row],[Selling Price]]</f>
        <v>79458</v>
      </c>
      <c r="K71" s="1" t="s">
        <v>4</v>
      </c>
      <c r="L71" s="1" t="s">
        <v>18</v>
      </c>
      <c r="M71" s="1" t="s">
        <v>6</v>
      </c>
      <c r="N71" s="1">
        <v>0.2</v>
      </c>
      <c r="O71" s="1" t="s">
        <v>81</v>
      </c>
      <c r="P71" s="1" t="s">
        <v>65</v>
      </c>
    </row>
    <row r="72" spans="1:16" x14ac:dyDescent="0.25">
      <c r="A72" s="1">
        <v>341844679</v>
      </c>
      <c r="B72" s="1" t="s">
        <v>27</v>
      </c>
      <c r="C72" s="1" t="s">
        <v>2</v>
      </c>
      <c r="D72" s="1">
        <v>47562</v>
      </c>
      <c r="E72" s="1">
        <v>2859</v>
      </c>
      <c r="F72" s="1">
        <v>40</v>
      </c>
      <c r="G72" s="13">
        <f>Table[[#This Row],[Return Value]]/Table[[#This Row],[Sell Value]]</f>
        <v>1.3990905911157748E-2</v>
      </c>
      <c r="H72" s="1" t="s">
        <v>3</v>
      </c>
      <c r="I72" s="1">
        <v>36</v>
      </c>
      <c r="J72" s="14">
        <f>Table[[#This Row],[Sell Value]]*Table[[#This Row],[Selling Price]]</f>
        <v>102924</v>
      </c>
      <c r="K72" s="1" t="s">
        <v>4</v>
      </c>
      <c r="L72" s="1" t="s">
        <v>21</v>
      </c>
      <c r="M72" s="1" t="s">
        <v>44</v>
      </c>
      <c r="N72" s="1">
        <v>0.2</v>
      </c>
      <c r="O72" s="1" t="s">
        <v>81</v>
      </c>
      <c r="P72" s="1" t="s">
        <v>45</v>
      </c>
    </row>
    <row r="73" spans="1:16" x14ac:dyDescent="0.25">
      <c r="A73" s="1">
        <v>599736618</v>
      </c>
      <c r="B73" s="1" t="s">
        <v>32</v>
      </c>
      <c r="C73" s="1" t="s">
        <v>17</v>
      </c>
      <c r="D73" s="1">
        <v>47811</v>
      </c>
      <c r="E73" s="1">
        <v>4009</v>
      </c>
      <c r="F73" s="1">
        <v>41</v>
      </c>
      <c r="G73" s="13">
        <f>Table[[#This Row],[Return Value]]/Table[[#This Row],[Sell Value]]</f>
        <v>1.0226989274133201E-2</v>
      </c>
      <c r="H73" s="1" t="s">
        <v>3</v>
      </c>
      <c r="I73" s="1">
        <v>29</v>
      </c>
      <c r="J73" s="14">
        <f>Table[[#This Row],[Sell Value]]*Table[[#This Row],[Selling Price]]</f>
        <v>116261</v>
      </c>
      <c r="K73" s="1" t="s">
        <v>4</v>
      </c>
      <c r="L73" s="1" t="s">
        <v>25</v>
      </c>
      <c r="M73" s="1" t="s">
        <v>33</v>
      </c>
      <c r="N73" s="1">
        <v>0.2</v>
      </c>
      <c r="O73" s="1" t="s">
        <v>81</v>
      </c>
      <c r="P73" s="1" t="s">
        <v>31</v>
      </c>
    </row>
    <row r="74" spans="1:16" x14ac:dyDescent="0.25">
      <c r="A74" s="1">
        <v>506299926</v>
      </c>
      <c r="B74" s="1" t="s">
        <v>34</v>
      </c>
      <c r="C74" s="1" t="s">
        <v>2</v>
      </c>
      <c r="D74" s="1">
        <v>47911</v>
      </c>
      <c r="E74" s="1">
        <v>3912</v>
      </c>
      <c r="F74" s="1">
        <v>25</v>
      </c>
      <c r="G74" s="13">
        <f>Table[[#This Row],[Return Value]]/Table[[#This Row],[Sell Value]]</f>
        <v>6.3905930470347649E-3</v>
      </c>
      <c r="H74" s="1" t="s">
        <v>3</v>
      </c>
      <c r="I74" s="1">
        <v>23</v>
      </c>
      <c r="J74" s="14">
        <f>Table[[#This Row],[Sell Value]]*Table[[#This Row],[Selling Price]]</f>
        <v>89976</v>
      </c>
      <c r="K74" s="1" t="s">
        <v>4</v>
      </c>
      <c r="L74" s="1" t="s">
        <v>29</v>
      </c>
      <c r="M74" s="1" t="s">
        <v>30</v>
      </c>
      <c r="N74" s="1">
        <v>0.2</v>
      </c>
      <c r="O74" s="1" t="s">
        <v>82</v>
      </c>
      <c r="P74" s="1" t="s">
        <v>45</v>
      </c>
    </row>
    <row r="75" spans="1:16" x14ac:dyDescent="0.25">
      <c r="A75" s="1">
        <v>558759770</v>
      </c>
      <c r="B75" s="1" t="s">
        <v>37</v>
      </c>
      <c r="C75" s="1" t="s">
        <v>17</v>
      </c>
      <c r="D75" s="1">
        <v>48036</v>
      </c>
      <c r="E75" s="1">
        <v>3090</v>
      </c>
      <c r="F75" s="1">
        <v>20</v>
      </c>
      <c r="G75" s="13">
        <f>Table[[#This Row],[Return Value]]/Table[[#This Row],[Sell Value]]</f>
        <v>6.4724919093851136E-3</v>
      </c>
      <c r="H75" s="1" t="s">
        <v>3</v>
      </c>
      <c r="I75" s="1">
        <v>48</v>
      </c>
      <c r="J75" s="14">
        <f>Table[[#This Row],[Sell Value]]*Table[[#This Row],[Selling Price]]</f>
        <v>148320</v>
      </c>
      <c r="K75" s="1" t="s">
        <v>4</v>
      </c>
      <c r="L75" s="1" t="s">
        <v>29</v>
      </c>
      <c r="M75" s="1" t="s">
        <v>26</v>
      </c>
      <c r="N75" s="1">
        <v>0.2</v>
      </c>
      <c r="O75" s="1" t="s">
        <v>81</v>
      </c>
      <c r="P75" s="1" t="s">
        <v>36</v>
      </c>
    </row>
    <row r="76" spans="1:16" x14ac:dyDescent="0.25">
      <c r="A76" s="1">
        <v>1139850</v>
      </c>
      <c r="B76" s="1" t="s">
        <v>40</v>
      </c>
      <c r="C76" s="1" t="s">
        <v>17</v>
      </c>
      <c r="D76" s="1">
        <v>48155</v>
      </c>
      <c r="E76" s="1">
        <v>2107</v>
      </c>
      <c r="F76" s="1">
        <v>33</v>
      </c>
      <c r="G76" s="13">
        <f>Table[[#This Row],[Return Value]]/Table[[#This Row],[Sell Value]]</f>
        <v>1.5662078785002372E-2</v>
      </c>
      <c r="H76" s="1" t="s">
        <v>3</v>
      </c>
      <c r="I76" s="1">
        <v>45</v>
      </c>
      <c r="J76" s="14">
        <f>Table[[#This Row],[Sell Value]]*Table[[#This Row],[Selling Price]]</f>
        <v>94815</v>
      </c>
      <c r="K76" s="1" t="s">
        <v>4</v>
      </c>
      <c r="L76" s="1" t="s">
        <v>35</v>
      </c>
      <c r="M76" s="1" t="s">
        <v>6</v>
      </c>
      <c r="N76" s="1">
        <v>0.2</v>
      </c>
      <c r="O76" s="1" t="s">
        <v>82</v>
      </c>
      <c r="P76" s="1" t="s">
        <v>65</v>
      </c>
    </row>
    <row r="77" spans="1:16" x14ac:dyDescent="0.25">
      <c r="A77" s="1">
        <v>219129106</v>
      </c>
      <c r="B77" s="1" t="s">
        <v>42</v>
      </c>
      <c r="C77" s="1" t="s">
        <v>2</v>
      </c>
      <c r="D77" s="1">
        <v>47752</v>
      </c>
      <c r="E77" s="1">
        <v>1384</v>
      </c>
      <c r="F77" s="1">
        <v>23</v>
      </c>
      <c r="G77" s="13">
        <f>Table[[#This Row],[Return Value]]/Table[[#This Row],[Sell Value]]</f>
        <v>1.6618497109826588E-2</v>
      </c>
      <c r="H77" s="1" t="s">
        <v>3</v>
      </c>
      <c r="I77" s="1">
        <v>32</v>
      </c>
      <c r="J77" s="14">
        <f>Table[[#This Row],[Sell Value]]*Table[[#This Row],[Selling Price]]</f>
        <v>44288</v>
      </c>
      <c r="K77" s="1" t="s">
        <v>4</v>
      </c>
      <c r="L77" s="1" t="s">
        <v>38</v>
      </c>
      <c r="M77" s="1" t="s">
        <v>14</v>
      </c>
      <c r="N77" s="1">
        <v>0.2</v>
      </c>
      <c r="O77" s="1" t="s">
        <v>81</v>
      </c>
      <c r="P77" s="1" t="s">
        <v>49</v>
      </c>
    </row>
    <row r="78" spans="1:16" x14ac:dyDescent="0.25">
      <c r="A78" s="1">
        <v>813589020</v>
      </c>
      <c r="B78" s="1" t="s">
        <v>46</v>
      </c>
      <c r="C78" s="1" t="s">
        <v>2</v>
      </c>
      <c r="D78" s="1">
        <v>48095</v>
      </c>
      <c r="E78" s="1">
        <v>4646</v>
      </c>
      <c r="F78" s="1">
        <v>32</v>
      </c>
      <c r="G78" s="13">
        <f>Table[[#This Row],[Return Value]]/Table[[#This Row],[Sell Value]]</f>
        <v>6.8876452862677573E-3</v>
      </c>
      <c r="H78" s="1" t="s">
        <v>3</v>
      </c>
      <c r="I78" s="1">
        <v>32</v>
      </c>
      <c r="J78" s="14">
        <f>Table[[#This Row],[Sell Value]]*Table[[#This Row],[Selling Price]]</f>
        <v>148672</v>
      </c>
      <c r="K78" s="1" t="s">
        <v>4</v>
      </c>
      <c r="L78" s="1" t="s">
        <v>41</v>
      </c>
      <c r="M78" s="1" t="s">
        <v>10</v>
      </c>
      <c r="N78" s="1">
        <v>0.2</v>
      </c>
      <c r="O78" s="1" t="s">
        <v>82</v>
      </c>
      <c r="P78" s="1" t="s">
        <v>7</v>
      </c>
    </row>
    <row r="79" spans="1:16" x14ac:dyDescent="0.25">
      <c r="A79" s="1">
        <v>114274814</v>
      </c>
      <c r="B79" s="1" t="s">
        <v>50</v>
      </c>
      <c r="C79" s="1" t="s">
        <v>2</v>
      </c>
      <c r="D79" s="1">
        <v>48521</v>
      </c>
      <c r="E79" s="1">
        <v>1631</v>
      </c>
      <c r="F79" s="1">
        <v>29</v>
      </c>
      <c r="G79" s="13">
        <f>Table[[#This Row],[Return Value]]/Table[[#This Row],[Sell Value]]</f>
        <v>1.7780502759043533E-2</v>
      </c>
      <c r="H79" s="1" t="s">
        <v>3</v>
      </c>
      <c r="I79" s="1">
        <v>50</v>
      </c>
      <c r="J79" s="14">
        <f>Table[[#This Row],[Sell Value]]*Table[[#This Row],[Selling Price]]</f>
        <v>81550</v>
      </c>
      <c r="K79" s="1" t="s">
        <v>4</v>
      </c>
      <c r="L79" s="1" t="s">
        <v>43</v>
      </c>
      <c r="M79" s="1" t="s">
        <v>61</v>
      </c>
      <c r="N79" s="1">
        <v>0.2</v>
      </c>
      <c r="O79" s="1" t="s">
        <v>81</v>
      </c>
      <c r="P79" s="1" t="s">
        <v>60</v>
      </c>
    </row>
    <row r="80" spans="1:16" x14ac:dyDescent="0.25">
      <c r="A80" s="1">
        <v>544757938</v>
      </c>
      <c r="B80" s="1" t="s">
        <v>53</v>
      </c>
      <c r="C80" s="1" t="s">
        <v>2</v>
      </c>
      <c r="D80" s="1">
        <v>47913</v>
      </c>
      <c r="E80" s="1">
        <v>1033</v>
      </c>
      <c r="F80" s="1">
        <v>26</v>
      </c>
      <c r="G80" s="13">
        <f>Table[[#This Row],[Return Value]]/Table[[#This Row],[Sell Value]]</f>
        <v>2.516940948693127E-2</v>
      </c>
      <c r="H80" s="1" t="s">
        <v>3</v>
      </c>
      <c r="I80" s="1">
        <v>29</v>
      </c>
      <c r="J80" s="14">
        <f>Table[[#This Row],[Sell Value]]*Table[[#This Row],[Selling Price]]</f>
        <v>29957</v>
      </c>
      <c r="K80" s="1" t="s">
        <v>4</v>
      </c>
      <c r="L80" s="1" t="s">
        <v>47</v>
      </c>
      <c r="M80" s="1" t="s">
        <v>48</v>
      </c>
      <c r="N80" s="1">
        <v>0.2</v>
      </c>
      <c r="O80" s="1" t="s">
        <v>81</v>
      </c>
      <c r="P80" s="1" t="s">
        <v>52</v>
      </c>
    </row>
    <row r="81" spans="1:16" x14ac:dyDescent="0.25">
      <c r="A81" s="1">
        <v>894772978</v>
      </c>
      <c r="B81" s="1" t="s">
        <v>56</v>
      </c>
      <c r="C81" s="1" t="s">
        <v>2</v>
      </c>
      <c r="D81" s="1">
        <v>48313</v>
      </c>
      <c r="E81" s="1">
        <v>4585</v>
      </c>
      <c r="F81" s="1">
        <v>33</v>
      </c>
      <c r="G81" s="13">
        <f>Table[[#This Row],[Return Value]]/Table[[#This Row],[Sell Value]]</f>
        <v>7.1973827699018536E-3</v>
      </c>
      <c r="H81" s="1" t="s">
        <v>3</v>
      </c>
      <c r="I81" s="1">
        <v>20</v>
      </c>
      <c r="J81" s="14">
        <f>Table[[#This Row],[Sell Value]]*Table[[#This Row],[Selling Price]]</f>
        <v>91700</v>
      </c>
      <c r="K81" s="1" t="s">
        <v>4</v>
      </c>
      <c r="L81" s="1" t="s">
        <v>51</v>
      </c>
      <c r="M81" s="1" t="s">
        <v>6</v>
      </c>
      <c r="N81" s="1">
        <v>0.2</v>
      </c>
      <c r="O81" s="1" t="s">
        <v>82</v>
      </c>
      <c r="P81" s="1" t="s">
        <v>55</v>
      </c>
    </row>
    <row r="82" spans="1:16" x14ac:dyDescent="0.25">
      <c r="A82" s="1">
        <v>186781810</v>
      </c>
      <c r="B82" s="1" t="s">
        <v>1</v>
      </c>
      <c r="C82" s="1" t="s">
        <v>2</v>
      </c>
      <c r="D82" s="1">
        <v>48197</v>
      </c>
      <c r="E82" s="1">
        <v>2329</v>
      </c>
      <c r="F82" s="1">
        <v>26</v>
      </c>
      <c r="G82" s="13">
        <f>Table[[#This Row],[Return Value]]/Table[[#This Row],[Sell Value]]</f>
        <v>1.11635895234006E-2</v>
      </c>
      <c r="H82" s="1" t="s">
        <v>3</v>
      </c>
      <c r="I82" s="1">
        <v>20</v>
      </c>
      <c r="J82" s="14">
        <f>Table[[#This Row],[Sell Value]]*Table[[#This Row],[Selling Price]]</f>
        <v>46580</v>
      </c>
      <c r="K82" s="1" t="s">
        <v>4</v>
      </c>
      <c r="L82" s="1" t="s">
        <v>54</v>
      </c>
      <c r="M82" s="1" t="s">
        <v>6</v>
      </c>
      <c r="N82" s="1">
        <v>0.2</v>
      </c>
      <c r="O82" s="1" t="s">
        <v>82</v>
      </c>
      <c r="P82" s="1" t="s">
        <v>55</v>
      </c>
    </row>
    <row r="83" spans="1:16" x14ac:dyDescent="0.25">
      <c r="A83" s="1">
        <v>757217956</v>
      </c>
      <c r="B83" s="1" t="s">
        <v>8</v>
      </c>
      <c r="C83" s="1" t="s">
        <v>2</v>
      </c>
      <c r="D83" s="1">
        <v>47596</v>
      </c>
      <c r="E83" s="1">
        <v>2926</v>
      </c>
      <c r="F83" s="1">
        <v>24</v>
      </c>
      <c r="G83" s="13">
        <f>Table[[#This Row],[Return Value]]/Table[[#This Row],[Sell Value]]</f>
        <v>8.2023239917976762E-3</v>
      </c>
      <c r="H83" s="1" t="s">
        <v>3</v>
      </c>
      <c r="I83" s="1">
        <v>40</v>
      </c>
      <c r="J83" s="14">
        <f>Table[[#This Row],[Sell Value]]*Table[[#This Row],[Selling Price]]</f>
        <v>117040</v>
      </c>
      <c r="K83" s="1" t="s">
        <v>4</v>
      </c>
      <c r="L83" s="1" t="s">
        <v>57</v>
      </c>
      <c r="M83" s="1" t="s">
        <v>61</v>
      </c>
      <c r="N83" s="1">
        <v>0.2</v>
      </c>
      <c r="O83" s="1" t="s">
        <v>81</v>
      </c>
      <c r="P83" s="1" t="s">
        <v>11</v>
      </c>
    </row>
    <row r="84" spans="1:16" x14ac:dyDescent="0.25">
      <c r="A84" s="1">
        <v>417388868</v>
      </c>
      <c r="B84" s="1" t="s">
        <v>12</v>
      </c>
      <c r="C84" s="1" t="s">
        <v>2</v>
      </c>
      <c r="D84" s="1">
        <v>48466</v>
      </c>
      <c r="E84" s="1">
        <v>3450</v>
      </c>
      <c r="F84" s="1">
        <v>48</v>
      </c>
      <c r="G84" s="13">
        <f>Table[[#This Row],[Return Value]]/Table[[#This Row],[Sell Value]]</f>
        <v>1.391304347826087E-2</v>
      </c>
      <c r="H84" s="1" t="s">
        <v>3</v>
      </c>
      <c r="I84" s="1">
        <v>32</v>
      </c>
      <c r="J84" s="14">
        <f>Table[[#This Row],[Sell Value]]*Table[[#This Row],[Selling Price]]</f>
        <v>110400</v>
      </c>
      <c r="K84" s="1" t="s">
        <v>4</v>
      </c>
      <c r="L84" s="1" t="s">
        <v>5</v>
      </c>
      <c r="M84" s="1" t="s">
        <v>10</v>
      </c>
      <c r="N84" s="1">
        <v>0.2</v>
      </c>
      <c r="O84" s="1" t="s">
        <v>81</v>
      </c>
      <c r="P84" s="1" t="s">
        <v>49</v>
      </c>
    </row>
    <row r="85" spans="1:16" x14ac:dyDescent="0.25">
      <c r="A85" s="1">
        <v>2962900</v>
      </c>
      <c r="B85" s="1" t="s">
        <v>16</v>
      </c>
      <c r="C85" s="1" t="s">
        <v>17</v>
      </c>
      <c r="D85" s="1">
        <v>48467</v>
      </c>
      <c r="E85" s="1">
        <v>4205</v>
      </c>
      <c r="F85" s="1">
        <v>11</v>
      </c>
      <c r="G85" s="13">
        <f>Table[[#This Row],[Return Value]]/Table[[#This Row],[Sell Value]]</f>
        <v>2.6159334126040429E-3</v>
      </c>
      <c r="H85" s="1" t="s">
        <v>3</v>
      </c>
      <c r="I85" s="1">
        <v>25</v>
      </c>
      <c r="J85" s="14">
        <f>Table[[#This Row],[Sell Value]]*Table[[#This Row],[Selling Price]]</f>
        <v>105125</v>
      </c>
      <c r="K85" s="1" t="s">
        <v>4</v>
      </c>
      <c r="L85" s="1" t="s">
        <v>9</v>
      </c>
      <c r="M85" s="1" t="s">
        <v>33</v>
      </c>
      <c r="N85" s="1">
        <v>0.2</v>
      </c>
      <c r="O85" s="1" t="s">
        <v>82</v>
      </c>
      <c r="P85" s="1" t="s">
        <v>11</v>
      </c>
    </row>
    <row r="86" spans="1:16" x14ac:dyDescent="0.25">
      <c r="A86" s="1">
        <v>492280716</v>
      </c>
      <c r="B86" s="1" t="s">
        <v>20</v>
      </c>
      <c r="C86" s="1" t="s">
        <v>17</v>
      </c>
      <c r="D86" s="1">
        <v>47542</v>
      </c>
      <c r="E86" s="1">
        <v>4368</v>
      </c>
      <c r="F86" s="1">
        <v>21</v>
      </c>
      <c r="G86" s="13">
        <f>Table[[#This Row],[Return Value]]/Table[[#This Row],[Sell Value]]</f>
        <v>4.807692307692308E-3</v>
      </c>
      <c r="H86" s="1" t="s">
        <v>3</v>
      </c>
      <c r="I86" s="1">
        <v>30</v>
      </c>
      <c r="J86" s="14">
        <f>Table[[#This Row],[Sell Value]]*Table[[#This Row],[Selling Price]]</f>
        <v>131040</v>
      </c>
      <c r="K86" s="1" t="s">
        <v>4</v>
      </c>
      <c r="L86" s="1" t="s">
        <v>13</v>
      </c>
      <c r="M86" s="1" t="s">
        <v>48</v>
      </c>
      <c r="N86" s="1">
        <v>0.2</v>
      </c>
      <c r="O86" s="1" t="s">
        <v>82</v>
      </c>
      <c r="P86" s="1" t="s">
        <v>66</v>
      </c>
    </row>
    <row r="87" spans="1:16" x14ac:dyDescent="0.25">
      <c r="A87" s="1">
        <v>38426657</v>
      </c>
      <c r="B87" s="1" t="s">
        <v>24</v>
      </c>
      <c r="C87" s="1" t="s">
        <v>2</v>
      </c>
      <c r="D87" s="1">
        <v>48030</v>
      </c>
      <c r="E87" s="1">
        <v>4457</v>
      </c>
      <c r="F87" s="1">
        <v>43</v>
      </c>
      <c r="G87" s="13">
        <f>Table[[#This Row],[Return Value]]/Table[[#This Row],[Sell Value]]</f>
        <v>9.6477451200358989E-3</v>
      </c>
      <c r="H87" s="1" t="s">
        <v>3</v>
      </c>
      <c r="I87" s="1">
        <v>30</v>
      </c>
      <c r="J87" s="14">
        <f>Table[[#This Row],[Sell Value]]*Table[[#This Row],[Selling Price]]</f>
        <v>133710</v>
      </c>
      <c r="K87" s="1" t="s">
        <v>4</v>
      </c>
      <c r="L87" s="1" t="s">
        <v>18</v>
      </c>
      <c r="M87" s="1" t="s">
        <v>6</v>
      </c>
      <c r="N87" s="1">
        <v>0.2</v>
      </c>
      <c r="O87" s="1" t="s">
        <v>81</v>
      </c>
      <c r="P87" s="1" t="s">
        <v>52</v>
      </c>
    </row>
    <row r="88" spans="1:16" x14ac:dyDescent="0.25">
      <c r="A88" s="1">
        <v>303867884</v>
      </c>
      <c r="B88" s="1" t="s">
        <v>27</v>
      </c>
      <c r="C88" s="1" t="s">
        <v>2</v>
      </c>
      <c r="D88" s="1">
        <v>48411</v>
      </c>
      <c r="E88" s="1">
        <v>1397</v>
      </c>
      <c r="F88" s="1">
        <v>45</v>
      </c>
      <c r="G88" s="13">
        <f>Table[[#This Row],[Return Value]]/Table[[#This Row],[Sell Value]]</f>
        <v>3.2211882605583393E-2</v>
      </c>
      <c r="H88" s="1" t="s">
        <v>3</v>
      </c>
      <c r="I88" s="1">
        <v>25</v>
      </c>
      <c r="J88" s="14">
        <f>Table[[#This Row],[Sell Value]]*Table[[#This Row],[Selling Price]]</f>
        <v>34925</v>
      </c>
      <c r="K88" s="1" t="s">
        <v>4</v>
      </c>
      <c r="L88" s="1" t="s">
        <v>21</v>
      </c>
      <c r="M88" s="1" t="s">
        <v>6</v>
      </c>
      <c r="N88" s="1">
        <v>0.2</v>
      </c>
      <c r="O88" s="1" t="s">
        <v>82</v>
      </c>
      <c r="P88" s="1" t="s">
        <v>45</v>
      </c>
    </row>
    <row r="89" spans="1:16" x14ac:dyDescent="0.25">
      <c r="A89" s="1">
        <v>477244504</v>
      </c>
      <c r="B89" s="1" t="s">
        <v>32</v>
      </c>
      <c r="C89" s="1" t="s">
        <v>17</v>
      </c>
      <c r="D89" s="1">
        <v>48051</v>
      </c>
      <c r="E89" s="1">
        <v>1814</v>
      </c>
      <c r="F89" s="1">
        <v>23</v>
      </c>
      <c r="G89" s="13">
        <f>Table[[#This Row],[Return Value]]/Table[[#This Row],[Sell Value]]</f>
        <v>1.2679162072767364E-2</v>
      </c>
      <c r="H89" s="1" t="s">
        <v>3</v>
      </c>
      <c r="I89" s="1">
        <v>22</v>
      </c>
      <c r="J89" s="14">
        <f>Table[[#This Row],[Sell Value]]*Table[[#This Row],[Selling Price]]</f>
        <v>39908</v>
      </c>
      <c r="K89" s="1" t="s">
        <v>4</v>
      </c>
      <c r="L89" s="1" t="s">
        <v>25</v>
      </c>
      <c r="M89" s="1" t="s">
        <v>14</v>
      </c>
      <c r="N89" s="1">
        <v>0.2</v>
      </c>
      <c r="O89" s="1" t="s">
        <v>81</v>
      </c>
      <c r="P89" s="1" t="s">
        <v>45</v>
      </c>
    </row>
    <row r="90" spans="1:16" x14ac:dyDescent="0.25">
      <c r="A90" s="1">
        <v>851286247</v>
      </c>
      <c r="B90" s="1" t="s">
        <v>34</v>
      </c>
      <c r="C90" s="1" t="s">
        <v>2</v>
      </c>
      <c r="D90" s="1">
        <v>47902</v>
      </c>
      <c r="E90" s="1">
        <v>1539</v>
      </c>
      <c r="F90" s="1">
        <v>30</v>
      </c>
      <c r="G90" s="13">
        <f>Table[[#This Row],[Return Value]]/Table[[#This Row],[Sell Value]]</f>
        <v>1.9493177387914229E-2</v>
      </c>
      <c r="H90" s="1" t="s">
        <v>3</v>
      </c>
      <c r="I90" s="1">
        <v>32</v>
      </c>
      <c r="J90" s="14">
        <f>Table[[#This Row],[Sell Value]]*Table[[#This Row],[Selling Price]]</f>
        <v>49248</v>
      </c>
      <c r="K90" s="1" t="s">
        <v>4</v>
      </c>
      <c r="L90" s="1" t="s">
        <v>29</v>
      </c>
      <c r="M90" s="1" t="s">
        <v>61</v>
      </c>
      <c r="N90" s="1">
        <v>0.2</v>
      </c>
      <c r="O90" s="1" t="s">
        <v>81</v>
      </c>
      <c r="P90" s="1" t="s">
        <v>60</v>
      </c>
    </row>
    <row r="91" spans="1:16" x14ac:dyDescent="0.25">
      <c r="A91" s="1">
        <v>891725493</v>
      </c>
      <c r="B91" s="1" t="s">
        <v>37</v>
      </c>
      <c r="C91" s="1" t="s">
        <v>17</v>
      </c>
      <c r="D91" s="1">
        <v>47489</v>
      </c>
      <c r="E91" s="1">
        <v>2969</v>
      </c>
      <c r="F91" s="1">
        <v>39</v>
      </c>
      <c r="G91" s="13">
        <f>Table[[#This Row],[Return Value]]/Table[[#This Row],[Sell Value]]</f>
        <v>1.3135735938026272E-2</v>
      </c>
      <c r="H91" s="1" t="s">
        <v>3</v>
      </c>
      <c r="I91" s="1">
        <v>37</v>
      </c>
      <c r="J91" s="14">
        <f>Table[[#This Row],[Sell Value]]*Table[[#This Row],[Selling Price]]</f>
        <v>109853</v>
      </c>
      <c r="K91" s="1" t="s">
        <v>4</v>
      </c>
      <c r="L91" s="1" t="s">
        <v>29</v>
      </c>
      <c r="M91" s="1" t="s">
        <v>10</v>
      </c>
      <c r="N91" s="1">
        <v>0.2</v>
      </c>
      <c r="O91" s="1" t="s">
        <v>82</v>
      </c>
      <c r="P91" s="1" t="s">
        <v>23</v>
      </c>
    </row>
    <row r="92" spans="1:16" x14ac:dyDescent="0.25">
      <c r="A92" s="1">
        <v>8705060</v>
      </c>
      <c r="B92" s="1" t="s">
        <v>40</v>
      </c>
      <c r="C92" s="1" t="s">
        <v>17</v>
      </c>
      <c r="D92" s="1">
        <v>48523</v>
      </c>
      <c r="E92" s="1">
        <v>2999</v>
      </c>
      <c r="F92" s="1">
        <v>42</v>
      </c>
      <c r="G92" s="13">
        <f>Table[[#This Row],[Return Value]]/Table[[#This Row],[Sell Value]]</f>
        <v>1.4004668222740914E-2</v>
      </c>
      <c r="H92" s="1" t="s">
        <v>3</v>
      </c>
      <c r="I92" s="1">
        <v>34</v>
      </c>
      <c r="J92" s="14">
        <f>Table[[#This Row],[Sell Value]]*Table[[#This Row],[Selling Price]]</f>
        <v>101966</v>
      </c>
      <c r="K92" s="1" t="s">
        <v>4</v>
      </c>
      <c r="L92" s="1" t="s">
        <v>35</v>
      </c>
      <c r="M92" s="1" t="s">
        <v>22</v>
      </c>
      <c r="N92" s="1">
        <v>0.2</v>
      </c>
      <c r="O92" s="1" t="s">
        <v>81</v>
      </c>
      <c r="P92" s="1" t="s">
        <v>58</v>
      </c>
    </row>
    <row r="93" spans="1:16" x14ac:dyDescent="0.25">
      <c r="A93" s="1">
        <v>818440994</v>
      </c>
      <c r="B93" s="1" t="s">
        <v>42</v>
      </c>
      <c r="C93" s="1" t="s">
        <v>2</v>
      </c>
      <c r="D93" s="1">
        <v>48141</v>
      </c>
      <c r="E93" s="1">
        <v>3507</v>
      </c>
      <c r="F93" s="1">
        <v>43</v>
      </c>
      <c r="G93" s="13">
        <f>Table[[#This Row],[Return Value]]/Table[[#This Row],[Sell Value]]</f>
        <v>1.2261191901910464E-2</v>
      </c>
      <c r="H93" s="1" t="s">
        <v>3</v>
      </c>
      <c r="I93" s="1">
        <v>29</v>
      </c>
      <c r="J93" s="14">
        <f>Table[[#This Row],[Sell Value]]*Table[[#This Row],[Selling Price]]</f>
        <v>101703</v>
      </c>
      <c r="K93" s="1" t="s">
        <v>4</v>
      </c>
      <c r="L93" s="1" t="s">
        <v>38</v>
      </c>
      <c r="M93" s="1" t="s">
        <v>33</v>
      </c>
      <c r="N93" s="1">
        <v>0.2</v>
      </c>
      <c r="O93" s="1" t="s">
        <v>81</v>
      </c>
      <c r="P93" s="1" t="s">
        <v>19</v>
      </c>
    </row>
    <row r="94" spans="1:16" x14ac:dyDescent="0.25">
      <c r="A94" s="1">
        <v>527390654</v>
      </c>
      <c r="B94" s="1" t="s">
        <v>46</v>
      </c>
      <c r="C94" s="1" t="s">
        <v>2</v>
      </c>
      <c r="D94" s="1">
        <v>47959</v>
      </c>
      <c r="E94" s="1">
        <v>4428</v>
      </c>
      <c r="F94" s="1">
        <v>39</v>
      </c>
      <c r="G94" s="13">
        <f>Table[[#This Row],[Return Value]]/Table[[#This Row],[Sell Value]]</f>
        <v>8.8075880758807581E-3</v>
      </c>
      <c r="H94" s="1" t="s">
        <v>28</v>
      </c>
      <c r="I94" s="1">
        <v>37</v>
      </c>
      <c r="J94" s="14">
        <f>Table[[#This Row],[Sell Value]]*Table[[#This Row],[Selling Price]]</f>
        <v>163836</v>
      </c>
      <c r="K94" s="1" t="s">
        <v>4</v>
      </c>
      <c r="L94" s="1" t="s">
        <v>41</v>
      </c>
      <c r="M94" s="1" t="s">
        <v>14</v>
      </c>
      <c r="N94" s="1">
        <v>0.2</v>
      </c>
      <c r="O94" s="1" t="s">
        <v>81</v>
      </c>
      <c r="P94" s="1" t="s">
        <v>45</v>
      </c>
    </row>
    <row r="95" spans="1:16" x14ac:dyDescent="0.25">
      <c r="A95" s="1">
        <v>696600825</v>
      </c>
      <c r="B95" s="1" t="s">
        <v>12</v>
      </c>
      <c r="C95" s="1" t="s">
        <v>2</v>
      </c>
      <c r="D95" s="1">
        <v>48397</v>
      </c>
      <c r="E95" s="1">
        <v>3742</v>
      </c>
      <c r="F95" s="1">
        <v>39</v>
      </c>
      <c r="G95" s="13">
        <f>Table[[#This Row],[Return Value]]/Table[[#This Row],[Sell Value]]</f>
        <v>1.042223409941208E-2</v>
      </c>
      <c r="H95" s="1" t="s">
        <v>3</v>
      </c>
      <c r="I95" s="1">
        <v>37</v>
      </c>
      <c r="J95" s="14">
        <f>Table[[#This Row],[Sell Value]]*Table[[#This Row],[Selling Price]]</f>
        <v>138454</v>
      </c>
      <c r="K95" s="1" t="s">
        <v>4</v>
      </c>
      <c r="L95" s="1" t="s">
        <v>43</v>
      </c>
      <c r="M95" s="1" t="s">
        <v>6</v>
      </c>
      <c r="N95" s="1">
        <v>0.2</v>
      </c>
      <c r="O95" s="1" t="s">
        <v>81</v>
      </c>
      <c r="P95" s="1" t="s">
        <v>60</v>
      </c>
    </row>
    <row r="96" spans="1:16" x14ac:dyDescent="0.25">
      <c r="A96" s="1">
        <v>887570927</v>
      </c>
      <c r="B96" s="1" t="s">
        <v>16</v>
      </c>
      <c r="C96" s="1" t="s">
        <v>17</v>
      </c>
      <c r="D96" s="1">
        <v>47700</v>
      </c>
      <c r="E96" s="1">
        <v>3367</v>
      </c>
      <c r="F96" s="1">
        <v>22</v>
      </c>
      <c r="G96" s="13">
        <f>Table[[#This Row],[Return Value]]/Table[[#This Row],[Sell Value]]</f>
        <v>6.5340065340065336E-3</v>
      </c>
      <c r="H96" s="1" t="s">
        <v>3</v>
      </c>
      <c r="I96" s="1">
        <v>42</v>
      </c>
      <c r="J96" s="14">
        <f>Table[[#This Row],[Sell Value]]*Table[[#This Row],[Selling Price]]</f>
        <v>141414</v>
      </c>
      <c r="K96" s="1" t="s">
        <v>4</v>
      </c>
      <c r="L96" s="1" t="s">
        <v>47</v>
      </c>
      <c r="M96" s="1" t="s">
        <v>61</v>
      </c>
      <c r="N96" s="1">
        <v>0.2</v>
      </c>
      <c r="O96" s="1" t="s">
        <v>81</v>
      </c>
      <c r="P96" s="1" t="s">
        <v>23</v>
      </c>
    </row>
    <row r="97" spans="1:16" x14ac:dyDescent="0.25">
      <c r="A97" s="1">
        <v>509430066</v>
      </c>
      <c r="B97" s="1" t="s">
        <v>20</v>
      </c>
      <c r="C97" s="1" t="s">
        <v>17</v>
      </c>
      <c r="D97" s="1">
        <v>48193</v>
      </c>
      <c r="E97" s="1">
        <v>4536</v>
      </c>
      <c r="F97" s="1">
        <v>26</v>
      </c>
      <c r="G97" s="13">
        <f>Table[[#This Row],[Return Value]]/Table[[#This Row],[Sell Value]]</f>
        <v>5.7319223985890649E-3</v>
      </c>
      <c r="H97" s="1" t="s">
        <v>3</v>
      </c>
      <c r="I97" s="1">
        <v>29</v>
      </c>
      <c r="J97" s="14">
        <f>Table[[#This Row],[Sell Value]]*Table[[#This Row],[Selling Price]]</f>
        <v>131544</v>
      </c>
      <c r="K97" s="1" t="s">
        <v>4</v>
      </c>
      <c r="L97" s="1" t="s">
        <v>51</v>
      </c>
      <c r="M97" s="1" t="s">
        <v>26</v>
      </c>
      <c r="N97" s="1">
        <v>0.2</v>
      </c>
      <c r="O97" s="1" t="s">
        <v>81</v>
      </c>
      <c r="P97" s="1" t="s">
        <v>67</v>
      </c>
    </row>
    <row r="98" spans="1:16" x14ac:dyDescent="0.25">
      <c r="A98" s="1">
        <v>68254802</v>
      </c>
      <c r="B98" s="1" t="s">
        <v>24</v>
      </c>
      <c r="C98" s="1" t="s">
        <v>2</v>
      </c>
      <c r="D98" s="1">
        <v>48444</v>
      </c>
      <c r="E98" s="1">
        <v>3851</v>
      </c>
      <c r="F98" s="1">
        <v>35</v>
      </c>
      <c r="G98" s="13">
        <f>Table[[#This Row],[Return Value]]/Table[[#This Row],[Sell Value]]</f>
        <v>9.0885484289794857E-3</v>
      </c>
      <c r="H98" s="1" t="s">
        <v>3</v>
      </c>
      <c r="I98" s="1">
        <v>23</v>
      </c>
      <c r="J98" s="14">
        <f>Table[[#This Row],[Sell Value]]*Table[[#This Row],[Selling Price]]</f>
        <v>88573</v>
      </c>
      <c r="K98" s="1" t="s">
        <v>4</v>
      </c>
      <c r="L98" s="1" t="s">
        <v>54</v>
      </c>
      <c r="M98" s="1" t="s">
        <v>10</v>
      </c>
      <c r="N98" s="1">
        <v>0.2</v>
      </c>
      <c r="O98" s="1" t="s">
        <v>82</v>
      </c>
      <c r="P98" s="1" t="s">
        <v>31</v>
      </c>
    </row>
    <row r="99" spans="1:16" x14ac:dyDescent="0.25">
      <c r="A99" s="1">
        <v>719188189</v>
      </c>
      <c r="B99" s="1" t="s">
        <v>27</v>
      </c>
      <c r="C99" s="1" t="s">
        <v>2</v>
      </c>
      <c r="D99" s="1">
        <v>48413</v>
      </c>
      <c r="E99" s="1">
        <v>3865</v>
      </c>
      <c r="F99" s="1">
        <v>40</v>
      </c>
      <c r="G99" s="13">
        <f>Table[[#This Row],[Return Value]]/Table[[#This Row],[Sell Value]]</f>
        <v>1.034928848641656E-2</v>
      </c>
      <c r="H99" s="1" t="s">
        <v>3</v>
      </c>
      <c r="I99" s="1">
        <v>36</v>
      </c>
      <c r="J99" s="14">
        <f>Table[[#This Row],[Sell Value]]*Table[[#This Row],[Selling Price]]</f>
        <v>139140</v>
      </c>
      <c r="K99" s="1" t="s">
        <v>4</v>
      </c>
      <c r="L99" s="1" t="s">
        <v>57</v>
      </c>
      <c r="M99" s="1" t="s">
        <v>48</v>
      </c>
      <c r="N99" s="1">
        <v>0.2</v>
      </c>
      <c r="O99" s="1" t="s">
        <v>81</v>
      </c>
      <c r="P99" s="1" t="s">
        <v>63</v>
      </c>
    </row>
    <row r="100" spans="1:16" x14ac:dyDescent="0.25">
      <c r="A100" s="1">
        <v>998534972</v>
      </c>
      <c r="B100" s="1" t="s">
        <v>32</v>
      </c>
      <c r="C100" s="1" t="s">
        <v>17</v>
      </c>
      <c r="D100" s="1">
        <v>48352</v>
      </c>
      <c r="E100" s="1">
        <v>1665</v>
      </c>
      <c r="F100" s="1">
        <v>25</v>
      </c>
      <c r="G100" s="13">
        <f>Table[[#This Row],[Return Value]]/Table[[#This Row],[Sell Value]]</f>
        <v>1.5015015015015015E-2</v>
      </c>
      <c r="H100" s="1" t="s">
        <v>3</v>
      </c>
      <c r="I100" s="1">
        <v>25</v>
      </c>
      <c r="J100" s="14">
        <f>Table[[#This Row],[Sell Value]]*Table[[#This Row],[Selling Price]]</f>
        <v>41625</v>
      </c>
      <c r="K100" s="1" t="s">
        <v>4</v>
      </c>
      <c r="L100" s="1" t="s">
        <v>5</v>
      </c>
      <c r="M100" s="1" t="s">
        <v>14</v>
      </c>
      <c r="N100" s="1">
        <v>0.2</v>
      </c>
      <c r="O100" s="1" t="s">
        <v>81</v>
      </c>
      <c r="P100" s="1" t="s">
        <v>11</v>
      </c>
    </row>
    <row r="101" spans="1:16" x14ac:dyDescent="0.25">
      <c r="A101" s="1">
        <v>460089503</v>
      </c>
      <c r="B101" s="1" t="s">
        <v>34</v>
      </c>
      <c r="C101" s="1" t="s">
        <v>2</v>
      </c>
      <c r="D101" s="1">
        <v>48154</v>
      </c>
      <c r="E101" s="1">
        <v>4587</v>
      </c>
      <c r="F101" s="1">
        <v>24</v>
      </c>
      <c r="G101" s="13">
        <f>Table[[#This Row],[Return Value]]/Table[[#This Row],[Sell Value]]</f>
        <v>5.232177894048398E-3</v>
      </c>
      <c r="H101" s="1" t="s">
        <v>3</v>
      </c>
      <c r="I101" s="1">
        <v>48</v>
      </c>
      <c r="J101" s="14">
        <f>Table[[#This Row],[Sell Value]]*Table[[#This Row],[Selling Price]]</f>
        <v>220176</v>
      </c>
      <c r="K101" s="1" t="s">
        <v>4</v>
      </c>
      <c r="L101" s="1" t="s">
        <v>9</v>
      </c>
      <c r="M101" s="1" t="s">
        <v>14</v>
      </c>
      <c r="N101" s="1">
        <v>0.2</v>
      </c>
      <c r="O101" s="1" t="s">
        <v>82</v>
      </c>
      <c r="P101" s="1" t="s">
        <v>31</v>
      </c>
    </row>
    <row r="102" spans="1:16" x14ac:dyDescent="0.25">
      <c r="A102" s="1">
        <v>761840246</v>
      </c>
      <c r="B102" s="1" t="s">
        <v>37</v>
      </c>
      <c r="C102" s="1" t="s">
        <v>17</v>
      </c>
      <c r="D102" s="1">
        <v>48122</v>
      </c>
      <c r="E102" s="1">
        <v>4237</v>
      </c>
      <c r="F102" s="1">
        <v>30</v>
      </c>
      <c r="G102" s="13">
        <f>Table[[#This Row],[Return Value]]/Table[[#This Row],[Sell Value]]</f>
        <v>7.0804814727401461E-3</v>
      </c>
      <c r="H102" s="1" t="s">
        <v>3</v>
      </c>
      <c r="I102" s="1">
        <v>44</v>
      </c>
      <c r="J102" s="14">
        <f>Table[[#This Row],[Sell Value]]*Table[[#This Row],[Selling Price]]</f>
        <v>186428</v>
      </c>
      <c r="K102" s="1" t="s">
        <v>4</v>
      </c>
      <c r="L102" s="1" t="s">
        <v>13</v>
      </c>
      <c r="M102" s="1" t="s">
        <v>26</v>
      </c>
      <c r="N102" s="1">
        <v>0.2</v>
      </c>
      <c r="O102" s="1" t="s">
        <v>82</v>
      </c>
      <c r="P102" s="1" t="s">
        <v>60</v>
      </c>
    </row>
    <row r="103" spans="1:16" x14ac:dyDescent="0.25">
      <c r="A103" s="1">
        <v>519647027</v>
      </c>
      <c r="B103" s="1" t="s">
        <v>40</v>
      </c>
      <c r="C103" s="1" t="s">
        <v>17</v>
      </c>
      <c r="D103" s="1">
        <v>47498</v>
      </c>
      <c r="E103" s="1">
        <v>1841</v>
      </c>
      <c r="F103" s="1">
        <v>23</v>
      </c>
      <c r="G103" s="13">
        <f>Table[[#This Row],[Return Value]]/Table[[#This Row],[Sell Value]]</f>
        <v>1.2493210211841391E-2</v>
      </c>
      <c r="H103" s="1" t="s">
        <v>3</v>
      </c>
      <c r="I103" s="1">
        <v>40</v>
      </c>
      <c r="J103" s="14">
        <f>Table[[#This Row],[Sell Value]]*Table[[#This Row],[Selling Price]]</f>
        <v>73640</v>
      </c>
      <c r="K103" s="1" t="s">
        <v>4</v>
      </c>
      <c r="L103" s="1" t="s">
        <v>18</v>
      </c>
      <c r="M103" s="1" t="s">
        <v>61</v>
      </c>
      <c r="N103" s="1">
        <v>0.2</v>
      </c>
      <c r="O103" s="1" t="s">
        <v>82</v>
      </c>
      <c r="P103" s="1" t="s">
        <v>31</v>
      </c>
    </row>
    <row r="104" spans="1:16" x14ac:dyDescent="0.25">
      <c r="A104" s="1">
        <v>864173653</v>
      </c>
      <c r="B104" s="1" t="s">
        <v>42</v>
      </c>
      <c r="C104" s="1" t="s">
        <v>2</v>
      </c>
      <c r="D104" s="1">
        <v>47699</v>
      </c>
      <c r="E104" s="1">
        <v>4451</v>
      </c>
      <c r="F104" s="1">
        <v>34</v>
      </c>
      <c r="G104" s="13">
        <f>Table[[#This Row],[Return Value]]/Table[[#This Row],[Sell Value]]</f>
        <v>7.6387328690181982E-3</v>
      </c>
      <c r="H104" s="1" t="s">
        <v>3</v>
      </c>
      <c r="I104" s="1">
        <v>30</v>
      </c>
      <c r="J104" s="14">
        <f>Table[[#This Row],[Sell Value]]*Table[[#This Row],[Selling Price]]</f>
        <v>133530</v>
      </c>
      <c r="K104" s="1" t="s">
        <v>4</v>
      </c>
      <c r="L104" s="1" t="s">
        <v>21</v>
      </c>
      <c r="M104" s="1" t="s">
        <v>48</v>
      </c>
      <c r="N104" s="1">
        <v>0.2</v>
      </c>
      <c r="O104" s="1" t="s">
        <v>82</v>
      </c>
      <c r="P104" s="1" t="s">
        <v>60</v>
      </c>
    </row>
    <row r="105" spans="1:16" x14ac:dyDescent="0.25">
      <c r="A105" s="1">
        <v>157409899</v>
      </c>
      <c r="B105" s="1" t="s">
        <v>46</v>
      </c>
      <c r="C105" s="1" t="s">
        <v>2</v>
      </c>
      <c r="D105" s="1">
        <v>48123</v>
      </c>
      <c r="E105" s="1">
        <v>3476</v>
      </c>
      <c r="F105" s="1">
        <v>38</v>
      </c>
      <c r="G105" s="13">
        <f>Table[[#This Row],[Return Value]]/Table[[#This Row],[Sell Value]]</f>
        <v>1.0932105868814729E-2</v>
      </c>
      <c r="H105" s="1" t="s">
        <v>3</v>
      </c>
      <c r="I105" s="1">
        <v>48</v>
      </c>
      <c r="J105" s="14">
        <f>Table[[#This Row],[Sell Value]]*Table[[#This Row],[Selling Price]]</f>
        <v>166848</v>
      </c>
      <c r="K105" s="1" t="s">
        <v>4</v>
      </c>
      <c r="L105" s="1" t="s">
        <v>25</v>
      </c>
      <c r="M105" s="1" t="s">
        <v>61</v>
      </c>
      <c r="N105" s="1">
        <v>0.2</v>
      </c>
      <c r="O105" s="1" t="s">
        <v>82</v>
      </c>
      <c r="P105" s="1" t="s">
        <v>39</v>
      </c>
    </row>
    <row r="106" spans="1:16" x14ac:dyDescent="0.25">
      <c r="A106" s="1">
        <v>347605193</v>
      </c>
      <c r="B106" s="1" t="s">
        <v>50</v>
      </c>
      <c r="C106" s="1" t="s">
        <v>2</v>
      </c>
      <c r="D106" s="1">
        <v>47814</v>
      </c>
      <c r="E106" s="1">
        <v>1618</v>
      </c>
      <c r="F106" s="1">
        <v>34</v>
      </c>
      <c r="G106" s="13">
        <f>Table[[#This Row],[Return Value]]/Table[[#This Row],[Sell Value]]</f>
        <v>2.1013597033374538E-2</v>
      </c>
      <c r="H106" s="1" t="s">
        <v>3</v>
      </c>
      <c r="I106" s="1">
        <v>37</v>
      </c>
      <c r="J106" s="14">
        <f>Table[[#This Row],[Sell Value]]*Table[[#This Row],[Selling Price]]</f>
        <v>59866</v>
      </c>
      <c r="K106" s="1" t="s">
        <v>4</v>
      </c>
      <c r="L106" s="1" t="s">
        <v>29</v>
      </c>
      <c r="M106" s="1" t="s">
        <v>6</v>
      </c>
      <c r="N106" s="1">
        <v>0.2</v>
      </c>
      <c r="O106" s="1" t="s">
        <v>82</v>
      </c>
      <c r="P106" s="1" t="s">
        <v>63</v>
      </c>
    </row>
    <row r="107" spans="1:16" x14ac:dyDescent="0.25">
      <c r="A107" s="1">
        <v>678386064</v>
      </c>
      <c r="B107" s="1" t="s">
        <v>53</v>
      </c>
      <c r="C107" s="1" t="s">
        <v>2</v>
      </c>
      <c r="D107" s="1">
        <v>47941</v>
      </c>
      <c r="E107" s="1">
        <v>4073</v>
      </c>
      <c r="F107" s="1">
        <v>28</v>
      </c>
      <c r="G107" s="13">
        <f>Table[[#This Row],[Return Value]]/Table[[#This Row],[Sell Value]]</f>
        <v>6.8745396513626321E-3</v>
      </c>
      <c r="H107" s="1" t="s">
        <v>3</v>
      </c>
      <c r="I107" s="1">
        <v>28</v>
      </c>
      <c r="J107" s="14">
        <f>Table[[#This Row],[Sell Value]]*Table[[#This Row],[Selling Price]]</f>
        <v>114044</v>
      </c>
      <c r="K107" s="1" t="s">
        <v>4</v>
      </c>
      <c r="L107" s="1" t="s">
        <v>29</v>
      </c>
      <c r="M107" s="1" t="s">
        <v>30</v>
      </c>
      <c r="N107" s="1">
        <v>0.2</v>
      </c>
      <c r="O107" s="1" t="s">
        <v>82</v>
      </c>
      <c r="P107" s="1" t="s">
        <v>62</v>
      </c>
    </row>
    <row r="108" spans="1:16" x14ac:dyDescent="0.25">
      <c r="A108" s="1">
        <v>3678366</v>
      </c>
      <c r="B108" s="1" t="s">
        <v>56</v>
      </c>
      <c r="C108" s="1" t="s">
        <v>2</v>
      </c>
      <c r="D108" s="1">
        <v>48281</v>
      </c>
      <c r="E108" s="1">
        <v>1526</v>
      </c>
      <c r="F108" s="1">
        <v>24</v>
      </c>
      <c r="G108" s="13">
        <f>Table[[#This Row],[Return Value]]/Table[[#This Row],[Sell Value]]</f>
        <v>1.5727391874180863E-2</v>
      </c>
      <c r="H108" s="1" t="s">
        <v>3</v>
      </c>
      <c r="I108" s="1">
        <v>28</v>
      </c>
      <c r="J108" s="14">
        <f>Table[[#This Row],[Sell Value]]*Table[[#This Row],[Selling Price]]</f>
        <v>42728</v>
      </c>
      <c r="K108" s="1" t="s">
        <v>4</v>
      </c>
      <c r="L108" s="1" t="s">
        <v>35</v>
      </c>
      <c r="M108" s="1" t="s">
        <v>22</v>
      </c>
      <c r="N108" s="1">
        <v>0.2</v>
      </c>
      <c r="O108" s="1" t="s">
        <v>81</v>
      </c>
      <c r="P108" s="1" t="s">
        <v>63</v>
      </c>
    </row>
    <row r="109" spans="1:16" x14ac:dyDescent="0.25">
      <c r="A109" s="1">
        <v>858071449</v>
      </c>
      <c r="B109" s="1" t="s">
        <v>1</v>
      </c>
      <c r="C109" s="1" t="s">
        <v>2</v>
      </c>
      <c r="D109" s="1">
        <v>47655</v>
      </c>
      <c r="E109" s="1">
        <v>4721</v>
      </c>
      <c r="F109" s="1">
        <v>45</v>
      </c>
      <c r="G109" s="13">
        <f>Table[[#This Row],[Return Value]]/Table[[#This Row],[Sell Value]]</f>
        <v>9.5318788392289768E-3</v>
      </c>
      <c r="H109" s="1" t="s">
        <v>3</v>
      </c>
      <c r="I109" s="1">
        <v>36</v>
      </c>
      <c r="J109" s="14">
        <f>Table[[#This Row],[Sell Value]]*Table[[#This Row],[Selling Price]]</f>
        <v>169956</v>
      </c>
      <c r="K109" s="1" t="s">
        <v>4</v>
      </c>
      <c r="L109" s="1" t="s">
        <v>38</v>
      </c>
      <c r="M109" s="1" t="s">
        <v>61</v>
      </c>
      <c r="N109" s="1">
        <v>0.2</v>
      </c>
      <c r="O109" s="1" t="s">
        <v>81</v>
      </c>
      <c r="P109" s="1" t="s">
        <v>67</v>
      </c>
    </row>
    <row r="110" spans="1:16" x14ac:dyDescent="0.25">
      <c r="A110" s="1">
        <v>912263014</v>
      </c>
      <c r="B110" s="1" t="s">
        <v>8</v>
      </c>
      <c r="C110" s="1" t="s">
        <v>2</v>
      </c>
      <c r="D110" s="1">
        <v>47632</v>
      </c>
      <c r="E110" s="1">
        <v>2069</v>
      </c>
      <c r="F110" s="1">
        <v>31</v>
      </c>
      <c r="G110" s="13">
        <f>Table[[#This Row],[Return Value]]/Table[[#This Row],[Sell Value]]</f>
        <v>1.4983083615273078E-2</v>
      </c>
      <c r="H110" s="1" t="s">
        <v>28</v>
      </c>
      <c r="I110" s="1">
        <v>40</v>
      </c>
      <c r="J110" s="14">
        <f>Table[[#This Row],[Sell Value]]*Table[[#This Row],[Selling Price]]</f>
        <v>82760</v>
      </c>
      <c r="K110" s="1" t="s">
        <v>4</v>
      </c>
      <c r="L110" s="1" t="s">
        <v>41</v>
      </c>
      <c r="M110" s="1" t="s">
        <v>6</v>
      </c>
      <c r="N110" s="1">
        <v>0.2</v>
      </c>
      <c r="O110" s="1" t="s">
        <v>81</v>
      </c>
      <c r="P110" s="1" t="s">
        <v>15</v>
      </c>
    </row>
    <row r="111" spans="1:16" x14ac:dyDescent="0.25">
      <c r="A111" s="1">
        <v>645409990</v>
      </c>
      <c r="B111" s="1" t="s">
        <v>12</v>
      </c>
      <c r="C111" s="1" t="s">
        <v>2</v>
      </c>
      <c r="D111" s="1">
        <v>47724</v>
      </c>
      <c r="E111" s="1">
        <v>3346</v>
      </c>
      <c r="F111" s="1">
        <v>28</v>
      </c>
      <c r="G111" s="13">
        <f>Table[[#This Row],[Return Value]]/Table[[#This Row],[Sell Value]]</f>
        <v>8.368200836820083E-3</v>
      </c>
      <c r="H111" s="1" t="s">
        <v>3</v>
      </c>
      <c r="I111" s="1">
        <v>26</v>
      </c>
      <c r="J111" s="14">
        <f>Table[[#This Row],[Sell Value]]*Table[[#This Row],[Selling Price]]</f>
        <v>86996</v>
      </c>
      <c r="K111" s="1" t="s">
        <v>4</v>
      </c>
      <c r="L111" s="1" t="s">
        <v>43</v>
      </c>
      <c r="M111" s="1" t="s">
        <v>26</v>
      </c>
      <c r="N111" s="1">
        <v>0.2</v>
      </c>
      <c r="O111" s="1" t="s">
        <v>82</v>
      </c>
      <c r="P111" s="1" t="s">
        <v>45</v>
      </c>
    </row>
    <row r="112" spans="1:16" x14ac:dyDescent="0.25">
      <c r="A112" s="1">
        <v>862364127</v>
      </c>
      <c r="B112" s="1" t="s">
        <v>16</v>
      </c>
      <c r="C112" s="1" t="s">
        <v>17</v>
      </c>
      <c r="D112" s="1">
        <v>48368</v>
      </c>
      <c r="E112" s="1">
        <v>3613</v>
      </c>
      <c r="F112" s="1">
        <v>11</v>
      </c>
      <c r="G112" s="13">
        <f>Table[[#This Row],[Return Value]]/Table[[#This Row],[Sell Value]]</f>
        <v>3.0445613063935788E-3</v>
      </c>
      <c r="H112" s="1" t="s">
        <v>3</v>
      </c>
      <c r="I112" s="1">
        <v>44</v>
      </c>
      <c r="J112" s="14">
        <f>Table[[#This Row],[Sell Value]]*Table[[#This Row],[Selling Price]]</f>
        <v>158972</v>
      </c>
      <c r="K112" s="1" t="s">
        <v>4</v>
      </c>
      <c r="L112" s="1" t="s">
        <v>47</v>
      </c>
      <c r="M112" s="1" t="s">
        <v>30</v>
      </c>
      <c r="N112" s="1">
        <v>0.2</v>
      </c>
      <c r="O112" s="1" t="s">
        <v>82</v>
      </c>
      <c r="P112" s="1" t="s">
        <v>39</v>
      </c>
    </row>
    <row r="113" spans="1:16" x14ac:dyDescent="0.25">
      <c r="A113" s="1">
        <v>896962324</v>
      </c>
      <c r="B113" s="1" t="s">
        <v>20</v>
      </c>
      <c r="C113" s="1" t="s">
        <v>17</v>
      </c>
      <c r="D113" s="1">
        <v>47993</v>
      </c>
      <c r="E113" s="1">
        <v>1563</v>
      </c>
      <c r="F113" s="1">
        <v>48</v>
      </c>
      <c r="G113" s="13">
        <f>Table[[#This Row],[Return Value]]/Table[[#This Row],[Sell Value]]</f>
        <v>3.0710172744721688E-2</v>
      </c>
      <c r="H113" s="1" t="s">
        <v>3</v>
      </c>
      <c r="I113" s="1">
        <v>28</v>
      </c>
      <c r="J113" s="14">
        <f>Table[[#This Row],[Sell Value]]*Table[[#This Row],[Selling Price]]</f>
        <v>43764</v>
      </c>
      <c r="K113" s="1" t="s">
        <v>4</v>
      </c>
      <c r="L113" s="1" t="s">
        <v>51</v>
      </c>
      <c r="M113" s="1" t="s">
        <v>61</v>
      </c>
      <c r="N113" s="1">
        <v>0.2</v>
      </c>
      <c r="O113" s="1" t="s">
        <v>82</v>
      </c>
      <c r="P113" s="1" t="s">
        <v>60</v>
      </c>
    </row>
    <row r="114" spans="1:16" x14ac:dyDescent="0.25">
      <c r="A114" s="1">
        <v>504287860</v>
      </c>
      <c r="B114" s="1" t="s">
        <v>24</v>
      </c>
      <c r="C114" s="1" t="s">
        <v>2</v>
      </c>
      <c r="D114" s="1">
        <v>48432</v>
      </c>
      <c r="E114" s="1">
        <v>1567</v>
      </c>
      <c r="F114" s="1">
        <v>11</v>
      </c>
      <c r="G114" s="13">
        <f>Table[[#This Row],[Return Value]]/Table[[#This Row],[Sell Value]]</f>
        <v>7.0197830248883214E-3</v>
      </c>
      <c r="H114" s="1" t="s">
        <v>3</v>
      </c>
      <c r="I114" s="1">
        <v>37</v>
      </c>
      <c r="J114" s="14">
        <f>Table[[#This Row],[Sell Value]]*Table[[#This Row],[Selling Price]]</f>
        <v>57979</v>
      </c>
      <c r="K114" s="1" t="s">
        <v>4</v>
      </c>
      <c r="L114" s="1" t="s">
        <v>54</v>
      </c>
      <c r="M114" s="1" t="s">
        <v>22</v>
      </c>
      <c r="N114" s="1">
        <v>0.2</v>
      </c>
      <c r="O114" s="1" t="s">
        <v>82</v>
      </c>
      <c r="P114" s="1" t="s">
        <v>23</v>
      </c>
    </row>
    <row r="115" spans="1:16" x14ac:dyDescent="0.25">
      <c r="A115" s="1">
        <v>605464755</v>
      </c>
      <c r="B115" s="1" t="s">
        <v>27</v>
      </c>
      <c r="C115" s="1" t="s">
        <v>2</v>
      </c>
      <c r="D115" s="1">
        <v>48253</v>
      </c>
      <c r="E115" s="1">
        <v>1211</v>
      </c>
      <c r="F115" s="1">
        <v>11</v>
      </c>
      <c r="G115" s="13">
        <f>Table[[#This Row],[Return Value]]/Table[[#This Row],[Sell Value]]</f>
        <v>9.0834021469859624E-3</v>
      </c>
      <c r="H115" s="1" t="s">
        <v>3</v>
      </c>
      <c r="I115" s="1">
        <v>47</v>
      </c>
      <c r="J115" s="14">
        <f>Table[[#This Row],[Sell Value]]*Table[[#This Row],[Selling Price]]</f>
        <v>56917</v>
      </c>
      <c r="K115" s="1" t="s">
        <v>4</v>
      </c>
      <c r="L115" s="1" t="s">
        <v>57</v>
      </c>
      <c r="M115" s="1" t="s">
        <v>6</v>
      </c>
      <c r="N115" s="1">
        <v>0.2</v>
      </c>
      <c r="O115" s="1" t="s">
        <v>82</v>
      </c>
      <c r="P115" s="1" t="s">
        <v>67</v>
      </c>
    </row>
    <row r="116" spans="1:16" x14ac:dyDescent="0.25">
      <c r="A116" s="1">
        <v>609813239</v>
      </c>
      <c r="B116" s="1" t="s">
        <v>32</v>
      </c>
      <c r="C116" s="1" t="s">
        <v>17</v>
      </c>
      <c r="D116" s="1">
        <v>47890</v>
      </c>
      <c r="E116" s="1">
        <v>4887</v>
      </c>
      <c r="F116" s="1">
        <v>38</v>
      </c>
      <c r="G116" s="13">
        <f>Table[[#This Row],[Return Value]]/Table[[#This Row],[Sell Value]]</f>
        <v>7.7757315326376104E-3</v>
      </c>
      <c r="H116" s="1" t="s">
        <v>3</v>
      </c>
      <c r="I116" s="1">
        <v>27</v>
      </c>
      <c r="J116" s="14">
        <f>Table[[#This Row],[Sell Value]]*Table[[#This Row],[Selling Price]]</f>
        <v>131949</v>
      </c>
      <c r="K116" s="1" t="s">
        <v>4</v>
      </c>
      <c r="L116" s="1" t="s">
        <v>5</v>
      </c>
      <c r="M116" s="1" t="s">
        <v>33</v>
      </c>
      <c r="N116" s="1">
        <v>0.2</v>
      </c>
      <c r="O116" s="1" t="s">
        <v>81</v>
      </c>
      <c r="P116" s="1" t="s">
        <v>23</v>
      </c>
    </row>
    <row r="117" spans="1:16" x14ac:dyDescent="0.25">
      <c r="A117" s="1">
        <v>186319538</v>
      </c>
      <c r="B117" s="1" t="s">
        <v>34</v>
      </c>
      <c r="C117" s="1" t="s">
        <v>2</v>
      </c>
      <c r="D117" s="1">
        <v>48076</v>
      </c>
      <c r="E117" s="1">
        <v>1025</v>
      </c>
      <c r="F117" s="1">
        <v>20</v>
      </c>
      <c r="G117" s="13">
        <f>Table[[#This Row],[Return Value]]/Table[[#This Row],[Sell Value]]</f>
        <v>1.9512195121951219E-2</v>
      </c>
      <c r="H117" s="1" t="s">
        <v>3</v>
      </c>
      <c r="I117" s="1">
        <v>22</v>
      </c>
      <c r="J117" s="14">
        <f>Table[[#This Row],[Sell Value]]*Table[[#This Row],[Selling Price]]</f>
        <v>22550</v>
      </c>
      <c r="K117" s="1" t="s">
        <v>4</v>
      </c>
      <c r="L117" s="1" t="s">
        <v>9</v>
      </c>
      <c r="M117" s="1" t="s">
        <v>6</v>
      </c>
      <c r="N117" s="1">
        <v>0.2</v>
      </c>
      <c r="O117" s="1" t="s">
        <v>82</v>
      </c>
      <c r="P117" s="1" t="s">
        <v>45</v>
      </c>
    </row>
    <row r="118" spans="1:16" x14ac:dyDescent="0.25">
      <c r="A118" s="1">
        <v>709066745</v>
      </c>
      <c r="B118" s="1" t="s">
        <v>37</v>
      </c>
      <c r="C118" s="1" t="s">
        <v>17</v>
      </c>
      <c r="D118" s="1">
        <v>47693</v>
      </c>
      <c r="E118" s="1">
        <v>4656</v>
      </c>
      <c r="F118" s="1">
        <v>43</v>
      </c>
      <c r="G118" s="13">
        <f>Table[[#This Row],[Return Value]]/Table[[#This Row],[Sell Value]]</f>
        <v>9.2353951890034366E-3</v>
      </c>
      <c r="H118" s="1" t="s">
        <v>3</v>
      </c>
      <c r="I118" s="1">
        <v>26</v>
      </c>
      <c r="J118" s="14">
        <f>Table[[#This Row],[Sell Value]]*Table[[#This Row],[Selling Price]]</f>
        <v>121056</v>
      </c>
      <c r="K118" s="1" t="s">
        <v>4</v>
      </c>
      <c r="L118" s="1" t="s">
        <v>13</v>
      </c>
      <c r="M118" s="1" t="s">
        <v>22</v>
      </c>
      <c r="N118" s="1">
        <v>0.2</v>
      </c>
      <c r="O118" s="1" t="s">
        <v>82</v>
      </c>
      <c r="P118" s="1" t="s">
        <v>60</v>
      </c>
    </row>
    <row r="119" spans="1:16" x14ac:dyDescent="0.25">
      <c r="A119" s="1">
        <v>454190172</v>
      </c>
      <c r="B119" s="1" t="s">
        <v>40</v>
      </c>
      <c r="C119" s="1" t="s">
        <v>17</v>
      </c>
      <c r="D119" s="1">
        <v>47873</v>
      </c>
      <c r="E119" s="1">
        <v>2848</v>
      </c>
      <c r="F119" s="1">
        <v>48</v>
      </c>
      <c r="G119" s="13">
        <f>Table[[#This Row],[Return Value]]/Table[[#This Row],[Sell Value]]</f>
        <v>1.6853932584269662E-2</v>
      </c>
      <c r="H119" s="1" t="s">
        <v>3</v>
      </c>
      <c r="I119" s="1">
        <v>41</v>
      </c>
      <c r="J119" s="14">
        <f>Table[[#This Row],[Sell Value]]*Table[[#This Row],[Selling Price]]</f>
        <v>116768</v>
      </c>
      <c r="K119" s="1" t="s">
        <v>4</v>
      </c>
      <c r="L119" s="1" t="s">
        <v>18</v>
      </c>
      <c r="M119" s="1" t="s">
        <v>44</v>
      </c>
      <c r="N119" s="1">
        <v>0.2</v>
      </c>
      <c r="O119" s="1" t="s">
        <v>81</v>
      </c>
      <c r="P119" s="1" t="s">
        <v>58</v>
      </c>
    </row>
    <row r="120" spans="1:16" x14ac:dyDescent="0.25">
      <c r="A120" s="1">
        <v>972905267</v>
      </c>
      <c r="B120" s="1" t="s">
        <v>42</v>
      </c>
      <c r="C120" s="1" t="s">
        <v>2</v>
      </c>
      <c r="D120" s="1">
        <v>48347</v>
      </c>
      <c r="E120" s="1">
        <v>3435</v>
      </c>
      <c r="F120" s="1">
        <v>12</v>
      </c>
      <c r="G120" s="13">
        <f>Table[[#This Row],[Return Value]]/Table[[#This Row],[Sell Value]]</f>
        <v>3.4934497816593887E-3</v>
      </c>
      <c r="H120" s="1" t="s">
        <v>3</v>
      </c>
      <c r="I120" s="1">
        <v>40</v>
      </c>
      <c r="J120" s="14">
        <f>Table[[#This Row],[Sell Value]]*Table[[#This Row],[Selling Price]]</f>
        <v>137400</v>
      </c>
      <c r="K120" s="1" t="s">
        <v>4</v>
      </c>
      <c r="L120" s="1" t="s">
        <v>21</v>
      </c>
      <c r="M120" s="1" t="s">
        <v>6</v>
      </c>
      <c r="N120" s="1">
        <v>0.2</v>
      </c>
      <c r="O120" s="1" t="s">
        <v>81</v>
      </c>
      <c r="P120" s="1" t="s">
        <v>49</v>
      </c>
    </row>
    <row r="121" spans="1:16" x14ac:dyDescent="0.25">
      <c r="A121" s="1">
        <v>966031957</v>
      </c>
      <c r="B121" s="1" t="s">
        <v>46</v>
      </c>
      <c r="C121" s="1" t="s">
        <v>2</v>
      </c>
      <c r="D121" s="1">
        <v>48129</v>
      </c>
      <c r="E121" s="1">
        <v>3231</v>
      </c>
      <c r="F121" s="1">
        <v>34</v>
      </c>
      <c r="G121" s="13">
        <f>Table[[#This Row],[Return Value]]/Table[[#This Row],[Sell Value]]</f>
        <v>1.0523057876818322E-2</v>
      </c>
      <c r="H121" s="1" t="s">
        <v>68</v>
      </c>
      <c r="I121" s="1">
        <v>20</v>
      </c>
      <c r="J121" s="14">
        <f>Table[[#This Row],[Sell Value]]*Table[[#This Row],[Selling Price]]</f>
        <v>64620</v>
      </c>
      <c r="K121" s="1" t="s">
        <v>69</v>
      </c>
      <c r="L121" s="1" t="s">
        <v>25</v>
      </c>
      <c r="M121" s="1" t="s">
        <v>14</v>
      </c>
      <c r="N121" s="1">
        <v>0.2</v>
      </c>
      <c r="O121" s="1" t="s">
        <v>81</v>
      </c>
      <c r="P121" s="1" t="s">
        <v>67</v>
      </c>
    </row>
    <row r="122" spans="1:16" x14ac:dyDescent="0.25">
      <c r="A122" s="1">
        <v>205495518</v>
      </c>
      <c r="B122" s="1" t="s">
        <v>50</v>
      </c>
      <c r="C122" s="1" t="s">
        <v>2</v>
      </c>
      <c r="D122" s="1">
        <v>47550</v>
      </c>
      <c r="E122" s="1">
        <v>1409</v>
      </c>
      <c r="F122" s="1">
        <v>48</v>
      </c>
      <c r="G122" s="13">
        <f>Table[[#This Row],[Return Value]]/Table[[#This Row],[Sell Value]]</f>
        <v>3.4066713981547196E-2</v>
      </c>
      <c r="H122" s="1" t="s">
        <v>3</v>
      </c>
      <c r="I122" s="1">
        <v>47</v>
      </c>
      <c r="J122" s="14">
        <f>Table[[#This Row],[Sell Value]]*Table[[#This Row],[Selling Price]]</f>
        <v>66223</v>
      </c>
      <c r="K122" s="1" t="s">
        <v>4</v>
      </c>
      <c r="L122" s="1" t="s">
        <v>29</v>
      </c>
      <c r="M122" s="1" t="s">
        <v>61</v>
      </c>
      <c r="N122" s="1">
        <v>0.2</v>
      </c>
      <c r="O122" s="1" t="s">
        <v>81</v>
      </c>
      <c r="P122" s="1" t="s">
        <v>67</v>
      </c>
    </row>
    <row r="123" spans="1:16" x14ac:dyDescent="0.25">
      <c r="A123" s="1">
        <v>53858763</v>
      </c>
      <c r="B123" s="1" t="s">
        <v>53</v>
      </c>
      <c r="C123" s="1" t="s">
        <v>2</v>
      </c>
      <c r="D123" s="1">
        <v>48074</v>
      </c>
      <c r="E123" s="1">
        <v>2238</v>
      </c>
      <c r="F123" s="1">
        <v>13</v>
      </c>
      <c r="G123" s="13">
        <f>Table[[#This Row],[Return Value]]/Table[[#This Row],[Sell Value]]</f>
        <v>5.8087578194816799E-3</v>
      </c>
      <c r="H123" s="1" t="s">
        <v>3</v>
      </c>
      <c r="I123" s="1">
        <v>40</v>
      </c>
      <c r="J123" s="14">
        <f>Table[[#This Row],[Sell Value]]*Table[[#This Row],[Selling Price]]</f>
        <v>89520</v>
      </c>
      <c r="K123" s="1" t="s">
        <v>4</v>
      </c>
      <c r="L123" s="1" t="s">
        <v>29</v>
      </c>
      <c r="M123" s="1" t="s">
        <v>10</v>
      </c>
      <c r="N123" s="1">
        <v>0.2</v>
      </c>
      <c r="O123" s="1" t="s">
        <v>81</v>
      </c>
      <c r="P123" s="1" t="s">
        <v>23</v>
      </c>
    </row>
    <row r="124" spans="1:16" x14ac:dyDescent="0.25">
      <c r="A124" s="1">
        <v>800348229</v>
      </c>
      <c r="B124" s="1" t="s">
        <v>56</v>
      </c>
      <c r="C124" s="1" t="s">
        <v>2</v>
      </c>
      <c r="D124" s="1">
        <v>48459</v>
      </c>
      <c r="E124" s="1">
        <v>1199</v>
      </c>
      <c r="F124" s="1">
        <v>10</v>
      </c>
      <c r="G124" s="13">
        <f>Table[[#This Row],[Return Value]]/Table[[#This Row],[Sell Value]]</f>
        <v>8.3402835696413675E-3</v>
      </c>
      <c r="H124" s="1" t="s">
        <v>3</v>
      </c>
      <c r="I124" s="1">
        <v>23</v>
      </c>
      <c r="J124" s="14">
        <f>Table[[#This Row],[Sell Value]]*Table[[#This Row],[Selling Price]]</f>
        <v>27577</v>
      </c>
      <c r="K124" s="1" t="s">
        <v>4</v>
      </c>
      <c r="L124" s="1" t="s">
        <v>35</v>
      </c>
      <c r="M124" s="1" t="s">
        <v>61</v>
      </c>
      <c r="N124" s="1">
        <v>0.2</v>
      </c>
      <c r="O124" s="1" t="s">
        <v>82</v>
      </c>
      <c r="P124" s="1" t="s">
        <v>11</v>
      </c>
    </row>
    <row r="125" spans="1:16" x14ac:dyDescent="0.25">
      <c r="A125" s="1">
        <v>845934966</v>
      </c>
      <c r="B125" s="1" t="s">
        <v>1</v>
      </c>
      <c r="C125" s="1" t="s">
        <v>2</v>
      </c>
      <c r="D125" s="1">
        <v>47497</v>
      </c>
      <c r="E125" s="1">
        <v>3405</v>
      </c>
      <c r="F125" s="1">
        <v>33</v>
      </c>
      <c r="G125" s="13">
        <f>Table[[#This Row],[Return Value]]/Table[[#This Row],[Sell Value]]</f>
        <v>9.6916299559471359E-3</v>
      </c>
      <c r="H125" s="1" t="s">
        <v>3</v>
      </c>
      <c r="I125" s="1">
        <v>47</v>
      </c>
      <c r="J125" s="14">
        <f>Table[[#This Row],[Sell Value]]*Table[[#This Row],[Selling Price]]</f>
        <v>160035</v>
      </c>
      <c r="K125" s="1" t="s">
        <v>4</v>
      </c>
      <c r="L125" s="1" t="s">
        <v>38</v>
      </c>
      <c r="M125" s="1" t="s">
        <v>48</v>
      </c>
      <c r="N125" s="1">
        <v>0.2</v>
      </c>
      <c r="O125" s="1" t="s">
        <v>81</v>
      </c>
      <c r="P125" s="1" t="s">
        <v>60</v>
      </c>
    </row>
    <row r="126" spans="1:16" x14ac:dyDescent="0.25">
      <c r="A126" s="1">
        <v>194968374</v>
      </c>
      <c r="B126" s="1" t="s">
        <v>8</v>
      </c>
      <c r="C126" s="1" t="s">
        <v>2</v>
      </c>
      <c r="D126" s="1">
        <v>48069</v>
      </c>
      <c r="E126" s="1">
        <v>4101</v>
      </c>
      <c r="F126" s="1">
        <v>31</v>
      </c>
      <c r="G126" s="13">
        <f>Table[[#This Row],[Return Value]]/Table[[#This Row],[Sell Value]]</f>
        <v>7.5591319190441352E-3</v>
      </c>
      <c r="H126" s="1" t="s">
        <v>3</v>
      </c>
      <c r="I126" s="1">
        <v>38</v>
      </c>
      <c r="J126" s="14">
        <f>Table[[#This Row],[Sell Value]]*Table[[#This Row],[Selling Price]]</f>
        <v>155838</v>
      </c>
      <c r="K126" s="1" t="s">
        <v>4</v>
      </c>
      <c r="L126" s="1" t="s">
        <v>41</v>
      </c>
      <c r="M126" s="1" t="s">
        <v>48</v>
      </c>
      <c r="N126" s="1">
        <v>0.2</v>
      </c>
      <c r="O126" s="1" t="s">
        <v>82</v>
      </c>
      <c r="P126" s="1" t="s">
        <v>63</v>
      </c>
    </row>
    <row r="127" spans="1:16" x14ac:dyDescent="0.25">
      <c r="A127" s="1">
        <v>297195918</v>
      </c>
      <c r="B127" s="1" t="s">
        <v>12</v>
      </c>
      <c r="C127" s="1" t="s">
        <v>2</v>
      </c>
      <c r="D127" s="1">
        <v>48002</v>
      </c>
      <c r="E127" s="1">
        <v>3312</v>
      </c>
      <c r="F127" s="1">
        <v>18</v>
      </c>
      <c r="G127" s="13">
        <f>Table[[#This Row],[Return Value]]/Table[[#This Row],[Sell Value]]</f>
        <v>5.434782608695652E-3</v>
      </c>
      <c r="H127" s="1" t="s">
        <v>3</v>
      </c>
      <c r="I127" s="1">
        <v>36</v>
      </c>
      <c r="J127" s="14">
        <f>Table[[#This Row],[Sell Value]]*Table[[#This Row],[Selling Price]]</f>
        <v>119232</v>
      </c>
      <c r="K127" s="1" t="s">
        <v>4</v>
      </c>
      <c r="L127" s="1" t="s">
        <v>43</v>
      </c>
      <c r="M127" s="1" t="s">
        <v>48</v>
      </c>
      <c r="N127" s="1">
        <v>0.2</v>
      </c>
      <c r="O127" s="1" t="s">
        <v>82</v>
      </c>
      <c r="P127" s="1" t="s">
        <v>11</v>
      </c>
    </row>
    <row r="128" spans="1:16" x14ac:dyDescent="0.25">
      <c r="A128" s="1">
        <v>701178266</v>
      </c>
      <c r="B128" s="1" t="s">
        <v>16</v>
      </c>
      <c r="C128" s="1" t="s">
        <v>17</v>
      </c>
      <c r="D128" s="1">
        <v>47987</v>
      </c>
      <c r="E128" s="1">
        <v>4427</v>
      </c>
      <c r="F128" s="1">
        <v>43</v>
      </c>
      <c r="G128" s="13">
        <f>Table[[#This Row],[Return Value]]/Table[[#This Row],[Sell Value]]</f>
        <v>9.7131240117461042E-3</v>
      </c>
      <c r="H128" s="1" t="s">
        <v>3</v>
      </c>
      <c r="I128" s="1">
        <v>39</v>
      </c>
      <c r="J128" s="14">
        <f>Table[[#This Row],[Sell Value]]*Table[[#This Row],[Selling Price]]</f>
        <v>172653</v>
      </c>
      <c r="K128" s="1" t="s">
        <v>4</v>
      </c>
      <c r="L128" s="1" t="s">
        <v>47</v>
      </c>
      <c r="M128" s="1" t="s">
        <v>26</v>
      </c>
      <c r="N128" s="1">
        <v>0.2</v>
      </c>
      <c r="O128" s="1" t="s">
        <v>82</v>
      </c>
      <c r="P128" s="1" t="s">
        <v>62</v>
      </c>
    </row>
    <row r="129" spans="1:16" x14ac:dyDescent="0.25">
      <c r="A129" s="1">
        <v>682379533</v>
      </c>
      <c r="B129" s="1" t="s">
        <v>20</v>
      </c>
      <c r="C129" s="1" t="s">
        <v>17</v>
      </c>
      <c r="D129" s="1">
        <v>47583</v>
      </c>
      <c r="E129" s="1">
        <v>3739</v>
      </c>
      <c r="F129" s="1">
        <v>11</v>
      </c>
      <c r="G129" s="13">
        <f>Table[[#This Row],[Return Value]]/Table[[#This Row],[Sell Value]]</f>
        <v>2.941963091735758E-3</v>
      </c>
      <c r="H129" s="1" t="s">
        <v>3</v>
      </c>
      <c r="I129" s="1">
        <v>46</v>
      </c>
      <c r="J129" s="14">
        <f>Table[[#This Row],[Sell Value]]*Table[[#This Row],[Selling Price]]</f>
        <v>171994</v>
      </c>
      <c r="K129" s="1" t="s">
        <v>4</v>
      </c>
      <c r="L129" s="1" t="s">
        <v>51</v>
      </c>
      <c r="M129" s="1" t="s">
        <v>44</v>
      </c>
      <c r="N129" s="1">
        <v>0.2</v>
      </c>
      <c r="O129" s="1" t="s">
        <v>82</v>
      </c>
      <c r="P129" s="1" t="s">
        <v>65</v>
      </c>
    </row>
    <row r="130" spans="1:16" x14ac:dyDescent="0.25">
      <c r="A130" s="1">
        <v>641633091</v>
      </c>
      <c r="B130" s="1" t="s">
        <v>24</v>
      </c>
      <c r="C130" s="1" t="s">
        <v>2</v>
      </c>
      <c r="D130" s="1">
        <v>48293</v>
      </c>
      <c r="E130" s="1">
        <v>4158</v>
      </c>
      <c r="F130" s="1">
        <v>16</v>
      </c>
      <c r="G130" s="13">
        <f>Table[[#This Row],[Return Value]]/Table[[#This Row],[Sell Value]]</f>
        <v>3.8480038480038481E-3</v>
      </c>
      <c r="H130" s="1" t="s">
        <v>28</v>
      </c>
      <c r="I130" s="1">
        <v>39</v>
      </c>
      <c r="J130" s="14">
        <f>Table[[#This Row],[Sell Value]]*Table[[#This Row],[Selling Price]]</f>
        <v>162162</v>
      </c>
      <c r="K130" s="1" t="s">
        <v>4</v>
      </c>
      <c r="L130" s="1" t="s">
        <v>54</v>
      </c>
      <c r="M130" s="1" t="s">
        <v>22</v>
      </c>
      <c r="N130" s="1">
        <v>0.2</v>
      </c>
      <c r="O130" s="1" t="s">
        <v>81</v>
      </c>
      <c r="P130" s="1" t="s">
        <v>65</v>
      </c>
    </row>
    <row r="131" spans="1:16" x14ac:dyDescent="0.25">
      <c r="A131" s="1">
        <v>271105689</v>
      </c>
      <c r="B131" s="1" t="s">
        <v>27</v>
      </c>
      <c r="C131" s="1" t="s">
        <v>2</v>
      </c>
      <c r="D131" s="1">
        <v>47881</v>
      </c>
      <c r="E131" s="1">
        <v>1288</v>
      </c>
      <c r="F131" s="1">
        <v>46</v>
      </c>
      <c r="G131" s="13">
        <f>Table[[#This Row],[Return Value]]/Table[[#This Row],[Sell Value]]</f>
        <v>3.5714285714285712E-2</v>
      </c>
      <c r="H131" s="1" t="s">
        <v>3</v>
      </c>
      <c r="I131" s="1">
        <v>46</v>
      </c>
      <c r="J131" s="14">
        <f>Table[[#This Row],[Sell Value]]*Table[[#This Row],[Selling Price]]</f>
        <v>59248</v>
      </c>
      <c r="K131" s="1" t="s">
        <v>4</v>
      </c>
      <c r="L131" s="1" t="s">
        <v>57</v>
      </c>
      <c r="M131" s="1" t="s">
        <v>59</v>
      </c>
      <c r="N131" s="1">
        <v>0.2</v>
      </c>
      <c r="O131" s="1" t="s">
        <v>82</v>
      </c>
      <c r="P131" s="1" t="s">
        <v>11</v>
      </c>
    </row>
    <row r="132" spans="1:16" x14ac:dyDescent="0.25">
      <c r="A132" s="1">
        <v>502464557</v>
      </c>
      <c r="B132" s="1" t="s">
        <v>32</v>
      </c>
      <c r="C132" s="1" t="s">
        <v>17</v>
      </c>
      <c r="D132" s="1">
        <v>48010</v>
      </c>
      <c r="E132" s="1">
        <v>4396</v>
      </c>
      <c r="F132" s="1">
        <v>17</v>
      </c>
      <c r="G132" s="13">
        <f>Table[[#This Row],[Return Value]]/Table[[#This Row],[Sell Value]]</f>
        <v>3.8671519563239307E-3</v>
      </c>
      <c r="H132" s="1" t="s">
        <v>3</v>
      </c>
      <c r="I132" s="1">
        <v>43</v>
      </c>
      <c r="J132" s="14">
        <f>Table[[#This Row],[Sell Value]]*Table[[#This Row],[Selling Price]]</f>
        <v>189028</v>
      </c>
      <c r="K132" s="1" t="s">
        <v>4</v>
      </c>
      <c r="L132" s="1" t="s">
        <v>5</v>
      </c>
      <c r="M132" s="1" t="s">
        <v>10</v>
      </c>
      <c r="N132" s="1">
        <v>0.2</v>
      </c>
      <c r="O132" s="1" t="s">
        <v>82</v>
      </c>
      <c r="P132" s="1" t="s">
        <v>66</v>
      </c>
    </row>
    <row r="133" spans="1:16" x14ac:dyDescent="0.25">
      <c r="A133" s="1">
        <v>673071606</v>
      </c>
      <c r="B133" s="1" t="s">
        <v>34</v>
      </c>
      <c r="C133" s="1" t="s">
        <v>2</v>
      </c>
      <c r="D133" s="1">
        <v>48043</v>
      </c>
      <c r="E133" s="1">
        <v>3192</v>
      </c>
      <c r="F133" s="1">
        <v>32</v>
      </c>
      <c r="G133" s="13">
        <f>Table[[#This Row],[Return Value]]/Table[[#This Row],[Sell Value]]</f>
        <v>1.0025062656641603E-2</v>
      </c>
      <c r="H133" s="1" t="s">
        <v>3</v>
      </c>
      <c r="I133" s="1">
        <v>23</v>
      </c>
      <c r="J133" s="14">
        <f>Table[[#This Row],[Sell Value]]*Table[[#This Row],[Selling Price]]</f>
        <v>73416</v>
      </c>
      <c r="K133" s="1" t="s">
        <v>4</v>
      </c>
      <c r="L133" s="1" t="s">
        <v>9</v>
      </c>
      <c r="M133" s="1" t="s">
        <v>61</v>
      </c>
      <c r="N133" s="1">
        <v>0.2</v>
      </c>
      <c r="O133" s="1" t="s">
        <v>82</v>
      </c>
      <c r="P133" s="1" t="s">
        <v>52</v>
      </c>
    </row>
    <row r="134" spans="1:16" x14ac:dyDescent="0.25">
      <c r="A134" s="1">
        <v>589743272</v>
      </c>
      <c r="B134" s="1" t="s">
        <v>37</v>
      </c>
      <c r="C134" s="1" t="s">
        <v>17</v>
      </c>
      <c r="D134" s="1">
        <v>47945</v>
      </c>
      <c r="E134" s="1">
        <v>2809</v>
      </c>
      <c r="F134" s="1">
        <v>14</v>
      </c>
      <c r="G134" s="13">
        <f>Table[[#This Row],[Return Value]]/Table[[#This Row],[Sell Value]]</f>
        <v>4.9839800640797439E-3</v>
      </c>
      <c r="H134" s="1" t="s">
        <v>3</v>
      </c>
      <c r="I134" s="1">
        <v>43</v>
      </c>
      <c r="J134" s="14">
        <f>Table[[#This Row],[Sell Value]]*Table[[#This Row],[Selling Price]]</f>
        <v>120787</v>
      </c>
      <c r="K134" s="1" t="s">
        <v>4</v>
      </c>
      <c r="L134" s="1" t="s">
        <v>13</v>
      </c>
      <c r="M134" s="1" t="s">
        <v>30</v>
      </c>
      <c r="N134" s="1">
        <v>0.2</v>
      </c>
      <c r="O134" s="1" t="s">
        <v>82</v>
      </c>
      <c r="P134" s="1" t="s">
        <v>67</v>
      </c>
    </row>
    <row r="135" spans="1:16" x14ac:dyDescent="0.25">
      <c r="A135" s="1">
        <v>737998492</v>
      </c>
      <c r="B135" s="1" t="s">
        <v>40</v>
      </c>
      <c r="C135" s="1" t="s">
        <v>17</v>
      </c>
      <c r="D135" s="1">
        <v>48235</v>
      </c>
      <c r="E135" s="1">
        <v>4787</v>
      </c>
      <c r="F135" s="1">
        <v>43</v>
      </c>
      <c r="G135" s="13">
        <f>Table[[#This Row],[Return Value]]/Table[[#This Row],[Sell Value]]</f>
        <v>8.9826613745560887E-3</v>
      </c>
      <c r="H135" s="1" t="s">
        <v>3</v>
      </c>
      <c r="I135" s="1">
        <v>33</v>
      </c>
      <c r="J135" s="14">
        <f>Table[[#This Row],[Sell Value]]*Table[[#This Row],[Selling Price]]</f>
        <v>157971</v>
      </c>
      <c r="K135" s="1" t="s">
        <v>4</v>
      </c>
      <c r="L135" s="1" t="s">
        <v>18</v>
      </c>
      <c r="M135" s="1" t="s">
        <v>10</v>
      </c>
      <c r="N135" s="1">
        <v>0.2</v>
      </c>
      <c r="O135" s="1" t="s">
        <v>82</v>
      </c>
      <c r="P135" s="1" t="s">
        <v>45</v>
      </c>
    </row>
    <row r="136" spans="1:16" x14ac:dyDescent="0.25">
      <c r="A136" s="1">
        <v>162148496</v>
      </c>
      <c r="B136" s="1" t="s">
        <v>42</v>
      </c>
      <c r="C136" s="1" t="s">
        <v>2</v>
      </c>
      <c r="D136" s="1">
        <v>48437</v>
      </c>
      <c r="E136" s="1">
        <v>1672</v>
      </c>
      <c r="F136" s="1">
        <v>10</v>
      </c>
      <c r="G136" s="13">
        <f>Table[[#This Row],[Return Value]]/Table[[#This Row],[Sell Value]]</f>
        <v>5.9808612440191387E-3</v>
      </c>
      <c r="H136" s="1" t="s">
        <v>3</v>
      </c>
      <c r="I136" s="1">
        <v>35</v>
      </c>
      <c r="J136" s="14">
        <f>Table[[#This Row],[Sell Value]]*Table[[#This Row],[Selling Price]]</f>
        <v>58520</v>
      </c>
      <c r="K136" s="1" t="s">
        <v>4</v>
      </c>
      <c r="L136" s="1" t="s">
        <v>21</v>
      </c>
      <c r="M136" s="1" t="s">
        <v>61</v>
      </c>
      <c r="N136" s="1">
        <v>0.2</v>
      </c>
      <c r="O136" s="1" t="s">
        <v>81</v>
      </c>
      <c r="P136" s="1" t="s">
        <v>60</v>
      </c>
    </row>
    <row r="137" spans="1:16" x14ac:dyDescent="0.25">
      <c r="A137" s="1">
        <v>35567432</v>
      </c>
      <c r="B137" s="1" t="s">
        <v>46</v>
      </c>
      <c r="C137" s="1" t="s">
        <v>2</v>
      </c>
      <c r="D137" s="1">
        <v>47774</v>
      </c>
      <c r="E137" s="1">
        <v>3318</v>
      </c>
      <c r="F137" s="1">
        <v>43</v>
      </c>
      <c r="G137" s="13">
        <f>Table[[#This Row],[Return Value]]/Table[[#This Row],[Sell Value]]</f>
        <v>1.2959614225437011E-2</v>
      </c>
      <c r="H137" s="1" t="s">
        <v>3</v>
      </c>
      <c r="I137" s="1">
        <v>41</v>
      </c>
      <c r="J137" s="14">
        <f>Table[[#This Row],[Sell Value]]*Table[[#This Row],[Selling Price]]</f>
        <v>136038</v>
      </c>
      <c r="K137" s="1" t="s">
        <v>4</v>
      </c>
      <c r="L137" s="1" t="s">
        <v>25</v>
      </c>
      <c r="M137" s="1" t="s">
        <v>14</v>
      </c>
      <c r="N137" s="1">
        <v>0.2</v>
      </c>
      <c r="O137" s="1" t="s">
        <v>82</v>
      </c>
      <c r="P137" s="1" t="s">
        <v>31</v>
      </c>
    </row>
    <row r="138" spans="1:16" x14ac:dyDescent="0.25">
      <c r="A138" s="1">
        <v>542819433</v>
      </c>
      <c r="B138" s="1" t="s">
        <v>12</v>
      </c>
      <c r="C138" s="1" t="s">
        <v>2</v>
      </c>
      <c r="D138" s="1">
        <v>47822</v>
      </c>
      <c r="E138" s="1">
        <v>4634</v>
      </c>
      <c r="F138" s="1">
        <v>16</v>
      </c>
      <c r="G138" s="13">
        <f>Table[[#This Row],[Return Value]]/Table[[#This Row],[Sell Value]]</f>
        <v>3.4527406128614588E-3</v>
      </c>
      <c r="H138" s="1" t="s">
        <v>3</v>
      </c>
      <c r="I138" s="1">
        <v>45</v>
      </c>
      <c r="J138" s="14">
        <f>Table[[#This Row],[Sell Value]]*Table[[#This Row],[Selling Price]]</f>
        <v>208530</v>
      </c>
      <c r="K138" s="1" t="s">
        <v>4</v>
      </c>
      <c r="L138" s="1" t="s">
        <v>29</v>
      </c>
      <c r="M138" s="1" t="s">
        <v>48</v>
      </c>
      <c r="N138" s="1">
        <v>0.2</v>
      </c>
      <c r="O138" s="1" t="s">
        <v>81</v>
      </c>
      <c r="P138" s="1" t="s">
        <v>45</v>
      </c>
    </row>
    <row r="139" spans="1:16" x14ac:dyDescent="0.25">
      <c r="A139" s="1">
        <v>563539732</v>
      </c>
      <c r="B139" s="1" t="s">
        <v>16</v>
      </c>
      <c r="C139" s="1" t="s">
        <v>17</v>
      </c>
      <c r="D139" s="1">
        <v>47660</v>
      </c>
      <c r="E139" s="1">
        <v>1278</v>
      </c>
      <c r="F139" s="1">
        <v>15</v>
      </c>
      <c r="G139" s="13">
        <f>Table[[#This Row],[Return Value]]/Table[[#This Row],[Sell Value]]</f>
        <v>1.1737089201877934E-2</v>
      </c>
      <c r="H139" s="1" t="s">
        <v>3</v>
      </c>
      <c r="I139" s="1">
        <v>22</v>
      </c>
      <c r="J139" s="14">
        <f>Table[[#This Row],[Sell Value]]*Table[[#This Row],[Selling Price]]</f>
        <v>28116</v>
      </c>
      <c r="K139" s="1" t="s">
        <v>4</v>
      </c>
      <c r="L139" s="1" t="s">
        <v>29</v>
      </c>
      <c r="M139" s="1" t="s">
        <v>30</v>
      </c>
      <c r="N139" s="1">
        <v>0.2</v>
      </c>
      <c r="O139" s="1" t="s">
        <v>82</v>
      </c>
      <c r="P139" s="1" t="s">
        <v>49</v>
      </c>
    </row>
    <row r="140" spans="1:16" x14ac:dyDescent="0.25">
      <c r="A140" s="1">
        <v>863058587</v>
      </c>
      <c r="B140" s="1" t="s">
        <v>20</v>
      </c>
      <c r="C140" s="1" t="s">
        <v>17</v>
      </c>
      <c r="D140" s="1">
        <v>48535</v>
      </c>
      <c r="E140" s="1">
        <v>3288</v>
      </c>
      <c r="F140" s="1">
        <v>50</v>
      </c>
      <c r="G140" s="13">
        <f>Table[[#This Row],[Return Value]]/Table[[#This Row],[Sell Value]]</f>
        <v>1.5206812652068127E-2</v>
      </c>
      <c r="H140" s="1" t="s">
        <v>3</v>
      </c>
      <c r="I140" s="1">
        <v>29</v>
      </c>
      <c r="J140" s="14">
        <f>Table[[#This Row],[Sell Value]]*Table[[#This Row],[Selling Price]]</f>
        <v>95352</v>
      </c>
      <c r="K140" s="1" t="s">
        <v>4</v>
      </c>
      <c r="L140" s="1" t="s">
        <v>35</v>
      </c>
      <c r="M140" s="1" t="s">
        <v>44</v>
      </c>
      <c r="N140" s="1">
        <v>0.2</v>
      </c>
      <c r="O140" s="1" t="s">
        <v>82</v>
      </c>
      <c r="P140" s="1" t="s">
        <v>36</v>
      </c>
    </row>
    <row r="141" spans="1:16" x14ac:dyDescent="0.25">
      <c r="A141" s="1">
        <v>454150223</v>
      </c>
      <c r="B141" s="1" t="s">
        <v>24</v>
      </c>
      <c r="C141" s="1" t="s">
        <v>2</v>
      </c>
      <c r="D141" s="1">
        <v>48513</v>
      </c>
      <c r="E141" s="1">
        <v>3040</v>
      </c>
      <c r="F141" s="1">
        <v>33</v>
      </c>
      <c r="G141" s="13">
        <f>Table[[#This Row],[Return Value]]/Table[[#This Row],[Sell Value]]</f>
        <v>1.0855263157894738E-2</v>
      </c>
      <c r="H141" s="1" t="s">
        <v>3</v>
      </c>
      <c r="I141" s="1">
        <v>38</v>
      </c>
      <c r="J141" s="14">
        <f>Table[[#This Row],[Sell Value]]*Table[[#This Row],[Selling Price]]</f>
        <v>115520</v>
      </c>
      <c r="K141" s="1" t="s">
        <v>4</v>
      </c>
      <c r="L141" s="1" t="s">
        <v>38</v>
      </c>
      <c r="M141" s="1" t="s">
        <v>30</v>
      </c>
      <c r="N141" s="1">
        <v>0.2</v>
      </c>
      <c r="O141" s="1" t="s">
        <v>82</v>
      </c>
      <c r="P141" s="1" t="s">
        <v>55</v>
      </c>
    </row>
    <row r="142" spans="1:16" x14ac:dyDescent="0.25">
      <c r="A142" s="1">
        <v>932233219</v>
      </c>
      <c r="B142" s="1" t="s">
        <v>27</v>
      </c>
      <c r="C142" s="1" t="s">
        <v>2</v>
      </c>
      <c r="D142" s="1">
        <v>48354</v>
      </c>
      <c r="E142" s="1">
        <v>4132</v>
      </c>
      <c r="F142" s="1">
        <v>20</v>
      </c>
      <c r="G142" s="13">
        <f>Table[[#This Row],[Return Value]]/Table[[#This Row],[Sell Value]]</f>
        <v>4.8402710551790898E-3</v>
      </c>
      <c r="H142" s="1" t="s">
        <v>3</v>
      </c>
      <c r="I142" s="1">
        <v>48</v>
      </c>
      <c r="J142" s="14">
        <f>Table[[#This Row],[Sell Value]]*Table[[#This Row],[Selling Price]]</f>
        <v>198336</v>
      </c>
      <c r="K142" s="1" t="s">
        <v>4</v>
      </c>
      <c r="L142" s="1" t="s">
        <v>41</v>
      </c>
      <c r="M142" s="1" t="s">
        <v>22</v>
      </c>
      <c r="N142" s="1">
        <v>0.2</v>
      </c>
      <c r="O142" s="1" t="s">
        <v>82</v>
      </c>
      <c r="P142" s="1" t="s">
        <v>67</v>
      </c>
    </row>
    <row r="143" spans="1:16" x14ac:dyDescent="0.25">
      <c r="A143" s="1">
        <v>866341175</v>
      </c>
      <c r="B143" s="1" t="s">
        <v>32</v>
      </c>
      <c r="C143" s="1" t="s">
        <v>17</v>
      </c>
      <c r="D143" s="1">
        <v>47793</v>
      </c>
      <c r="E143" s="1">
        <v>3043</v>
      </c>
      <c r="F143" s="1">
        <v>13</v>
      </c>
      <c r="G143" s="13">
        <f>Table[[#This Row],[Return Value]]/Table[[#This Row],[Sell Value]]</f>
        <v>4.2720999014130793E-3</v>
      </c>
      <c r="H143" s="1" t="s">
        <v>3</v>
      </c>
      <c r="I143" s="1">
        <v>31</v>
      </c>
      <c r="J143" s="14">
        <f>Table[[#This Row],[Sell Value]]*Table[[#This Row],[Selling Price]]</f>
        <v>94333</v>
      </c>
      <c r="K143" s="1" t="s">
        <v>4</v>
      </c>
      <c r="L143" s="1" t="s">
        <v>43</v>
      </c>
      <c r="M143" s="1" t="s">
        <v>14</v>
      </c>
      <c r="N143" s="1">
        <v>0.2</v>
      </c>
      <c r="O143" s="1" t="s">
        <v>82</v>
      </c>
      <c r="P143" s="1" t="s">
        <v>19</v>
      </c>
    </row>
    <row r="144" spans="1:16" x14ac:dyDescent="0.25">
      <c r="A144" s="1">
        <v>131807667</v>
      </c>
      <c r="B144" s="1" t="s">
        <v>34</v>
      </c>
      <c r="C144" s="1" t="s">
        <v>2</v>
      </c>
      <c r="D144" s="1">
        <v>48151</v>
      </c>
      <c r="E144" s="1">
        <v>4395</v>
      </c>
      <c r="F144" s="1">
        <v>10</v>
      </c>
      <c r="G144" s="13">
        <f>Table[[#This Row],[Return Value]]/Table[[#This Row],[Sell Value]]</f>
        <v>2.2753128555176336E-3</v>
      </c>
      <c r="H144" s="1" t="s">
        <v>3</v>
      </c>
      <c r="I144" s="1">
        <v>21</v>
      </c>
      <c r="J144" s="14">
        <f>Table[[#This Row],[Sell Value]]*Table[[#This Row],[Selling Price]]</f>
        <v>92295</v>
      </c>
      <c r="K144" s="1" t="s">
        <v>4</v>
      </c>
      <c r="L144" s="1" t="s">
        <v>47</v>
      </c>
      <c r="M144" s="1" t="s">
        <v>33</v>
      </c>
      <c r="N144" s="1">
        <v>0.2</v>
      </c>
      <c r="O144" s="1" t="s">
        <v>82</v>
      </c>
      <c r="P144" s="1" t="s">
        <v>67</v>
      </c>
    </row>
    <row r="145" spans="1:16" x14ac:dyDescent="0.25">
      <c r="A145" s="1">
        <v>318023118</v>
      </c>
      <c r="B145" s="1" t="s">
        <v>37</v>
      </c>
      <c r="C145" s="1" t="s">
        <v>17</v>
      </c>
      <c r="D145" s="1">
        <v>48521</v>
      </c>
      <c r="E145" s="1">
        <v>2425</v>
      </c>
      <c r="F145" s="1">
        <v>49</v>
      </c>
      <c r="G145" s="13">
        <f>Table[[#This Row],[Return Value]]/Table[[#This Row],[Sell Value]]</f>
        <v>2.0206185567010308E-2</v>
      </c>
      <c r="H145" s="1" t="s">
        <v>3</v>
      </c>
      <c r="I145" s="1">
        <v>35</v>
      </c>
      <c r="J145" s="14">
        <f>Table[[#This Row],[Sell Value]]*Table[[#This Row],[Selling Price]]</f>
        <v>84875</v>
      </c>
      <c r="K145" s="1" t="s">
        <v>4</v>
      </c>
      <c r="L145" s="1" t="s">
        <v>51</v>
      </c>
      <c r="M145" s="1" t="s">
        <v>59</v>
      </c>
      <c r="N145" s="1">
        <v>0.2</v>
      </c>
      <c r="O145" s="1" t="s">
        <v>82</v>
      </c>
      <c r="P145" s="1" t="s">
        <v>19</v>
      </c>
    </row>
    <row r="146" spans="1:16" x14ac:dyDescent="0.25">
      <c r="A146" s="1">
        <v>303772740</v>
      </c>
      <c r="B146" s="1" t="s">
        <v>40</v>
      </c>
      <c r="C146" s="1" t="s">
        <v>17</v>
      </c>
      <c r="D146" s="1">
        <v>47773</v>
      </c>
      <c r="E146" s="1">
        <v>3327</v>
      </c>
      <c r="F146" s="1">
        <v>13</v>
      </c>
      <c r="G146" s="13">
        <f>Table[[#This Row],[Return Value]]/Table[[#This Row],[Sell Value]]</f>
        <v>3.9074241058010221E-3</v>
      </c>
      <c r="H146" s="1" t="s">
        <v>28</v>
      </c>
      <c r="I146" s="1">
        <v>20</v>
      </c>
      <c r="J146" s="14">
        <f>Table[[#This Row],[Sell Value]]*Table[[#This Row],[Selling Price]]</f>
        <v>66540</v>
      </c>
      <c r="K146" s="1" t="s">
        <v>4</v>
      </c>
      <c r="L146" s="1" t="s">
        <v>54</v>
      </c>
      <c r="M146" s="1" t="s">
        <v>10</v>
      </c>
      <c r="N146" s="1">
        <v>0.2</v>
      </c>
      <c r="O146" s="1" t="s">
        <v>82</v>
      </c>
      <c r="P146" s="1" t="s">
        <v>45</v>
      </c>
    </row>
    <row r="147" spans="1:16" x14ac:dyDescent="0.25">
      <c r="A147" s="1">
        <v>816680854</v>
      </c>
      <c r="B147" s="1" t="s">
        <v>42</v>
      </c>
      <c r="C147" s="1" t="s">
        <v>2</v>
      </c>
      <c r="D147" s="1">
        <v>47720</v>
      </c>
      <c r="E147" s="1">
        <v>1316</v>
      </c>
      <c r="F147" s="1">
        <v>47</v>
      </c>
      <c r="G147" s="13">
        <f>Table[[#This Row],[Return Value]]/Table[[#This Row],[Sell Value]]</f>
        <v>3.5714285714285712E-2</v>
      </c>
      <c r="H147" s="1" t="s">
        <v>3</v>
      </c>
      <c r="I147" s="1">
        <v>27</v>
      </c>
      <c r="J147" s="14">
        <f>Table[[#This Row],[Sell Value]]*Table[[#This Row],[Selling Price]]</f>
        <v>35532</v>
      </c>
      <c r="K147" s="1" t="s">
        <v>4</v>
      </c>
      <c r="L147" s="1" t="s">
        <v>57</v>
      </c>
      <c r="M147" s="1" t="s">
        <v>30</v>
      </c>
      <c r="N147" s="1">
        <v>0.2</v>
      </c>
      <c r="O147" s="1" t="s">
        <v>82</v>
      </c>
      <c r="P147" s="1" t="s">
        <v>31</v>
      </c>
    </row>
    <row r="148" spans="1:16" x14ac:dyDescent="0.25">
      <c r="A148" s="1">
        <v>744557357</v>
      </c>
      <c r="B148" s="1" t="s">
        <v>46</v>
      </c>
      <c r="C148" s="1" t="s">
        <v>2</v>
      </c>
      <c r="D148" s="1">
        <v>48131</v>
      </c>
      <c r="E148" s="1">
        <v>4544</v>
      </c>
      <c r="F148" s="1">
        <v>28</v>
      </c>
      <c r="G148" s="13">
        <f>Table[[#This Row],[Return Value]]/Table[[#This Row],[Sell Value]]</f>
        <v>6.1619718309859151E-3</v>
      </c>
      <c r="H148" s="1" t="s">
        <v>3</v>
      </c>
      <c r="I148" s="1">
        <v>32</v>
      </c>
      <c r="J148" s="14">
        <f>Table[[#This Row],[Sell Value]]*Table[[#This Row],[Selling Price]]</f>
        <v>145408</v>
      </c>
      <c r="K148" s="1" t="s">
        <v>4</v>
      </c>
      <c r="L148" s="1" t="s">
        <v>5</v>
      </c>
      <c r="M148" s="1" t="s">
        <v>33</v>
      </c>
      <c r="N148" s="1">
        <v>0.2</v>
      </c>
      <c r="O148" s="1" t="s">
        <v>82</v>
      </c>
      <c r="P148" s="1" t="s">
        <v>31</v>
      </c>
    </row>
    <row r="149" spans="1:16" x14ac:dyDescent="0.25">
      <c r="A149" s="1">
        <v>433523222</v>
      </c>
      <c r="B149" s="1" t="s">
        <v>50</v>
      </c>
      <c r="C149" s="1" t="s">
        <v>2</v>
      </c>
      <c r="D149" s="1">
        <v>48316</v>
      </c>
      <c r="E149" s="1">
        <v>4309</v>
      </c>
      <c r="F149" s="1">
        <v>16</v>
      </c>
      <c r="G149" s="13">
        <f>Table[[#This Row],[Return Value]]/Table[[#This Row],[Sell Value]]</f>
        <v>3.7131585054537017E-3</v>
      </c>
      <c r="H149" s="1" t="s">
        <v>3</v>
      </c>
      <c r="I149" s="1">
        <v>34</v>
      </c>
      <c r="J149" s="14">
        <f>Table[[#This Row],[Sell Value]]*Table[[#This Row],[Selling Price]]</f>
        <v>146506</v>
      </c>
      <c r="K149" s="1" t="s">
        <v>4</v>
      </c>
      <c r="L149" s="1" t="s">
        <v>9</v>
      </c>
      <c r="M149" s="1" t="s">
        <v>26</v>
      </c>
      <c r="N149" s="1">
        <v>0.2</v>
      </c>
      <c r="O149" s="1" t="s">
        <v>81</v>
      </c>
      <c r="P149" s="1" t="s">
        <v>36</v>
      </c>
    </row>
    <row r="150" spans="1:16" x14ac:dyDescent="0.25">
      <c r="A150" s="1">
        <v>989368696</v>
      </c>
      <c r="B150" s="1" t="s">
        <v>53</v>
      </c>
      <c r="C150" s="1" t="s">
        <v>2</v>
      </c>
      <c r="D150" s="1">
        <v>48346</v>
      </c>
      <c r="E150" s="1">
        <v>1139</v>
      </c>
      <c r="F150" s="1">
        <v>38</v>
      </c>
      <c r="G150" s="13">
        <f>Table[[#This Row],[Return Value]]/Table[[#This Row],[Sell Value]]</f>
        <v>3.3362598770851626E-2</v>
      </c>
      <c r="H150" s="1" t="s">
        <v>3</v>
      </c>
      <c r="I150" s="1">
        <v>22</v>
      </c>
      <c r="J150" s="14">
        <f>Table[[#This Row],[Sell Value]]*Table[[#This Row],[Selling Price]]</f>
        <v>25058</v>
      </c>
      <c r="K150" s="1" t="s">
        <v>4</v>
      </c>
      <c r="L150" s="1" t="s">
        <v>13</v>
      </c>
      <c r="M150" s="1" t="s">
        <v>61</v>
      </c>
      <c r="N150" s="1">
        <v>0.2</v>
      </c>
      <c r="O150" s="1" t="s">
        <v>81</v>
      </c>
      <c r="P150" s="1" t="s">
        <v>49</v>
      </c>
    </row>
    <row r="151" spans="1:16" x14ac:dyDescent="0.25">
      <c r="A151" s="1">
        <v>413811616</v>
      </c>
      <c r="B151" s="1" t="s">
        <v>56</v>
      </c>
      <c r="C151" s="1" t="s">
        <v>2</v>
      </c>
      <c r="D151" s="1">
        <v>47987</v>
      </c>
      <c r="E151" s="1">
        <v>3560</v>
      </c>
      <c r="F151" s="1">
        <v>24</v>
      </c>
      <c r="G151" s="13">
        <f>Table[[#This Row],[Return Value]]/Table[[#This Row],[Sell Value]]</f>
        <v>6.7415730337078653E-3</v>
      </c>
      <c r="H151" s="1" t="s">
        <v>28</v>
      </c>
      <c r="I151" s="1">
        <v>23</v>
      </c>
      <c r="J151" s="14">
        <f>Table[[#This Row],[Sell Value]]*Table[[#This Row],[Selling Price]]</f>
        <v>81880</v>
      </c>
      <c r="K151" s="1" t="s">
        <v>4</v>
      </c>
      <c r="L151" s="1" t="s">
        <v>18</v>
      </c>
      <c r="M151" s="1" t="s">
        <v>6</v>
      </c>
      <c r="N151" s="1">
        <v>0.2</v>
      </c>
      <c r="O151" s="1" t="s">
        <v>82</v>
      </c>
      <c r="P151" s="1" t="s">
        <v>65</v>
      </c>
    </row>
    <row r="152" spans="1:16" x14ac:dyDescent="0.25">
      <c r="A152" s="1">
        <v>865613442</v>
      </c>
      <c r="B152" s="1" t="s">
        <v>1</v>
      </c>
      <c r="C152" s="1" t="s">
        <v>2</v>
      </c>
      <c r="D152" s="1">
        <v>47590</v>
      </c>
      <c r="E152" s="1">
        <v>4809</v>
      </c>
      <c r="F152" s="1">
        <v>43</v>
      </c>
      <c r="G152" s="13">
        <f>Table[[#This Row],[Return Value]]/Table[[#This Row],[Sell Value]]</f>
        <v>8.9415678935329587E-3</v>
      </c>
      <c r="H152" s="1" t="s">
        <v>3</v>
      </c>
      <c r="I152" s="1">
        <v>44</v>
      </c>
      <c r="J152" s="14">
        <f>Table[[#This Row],[Sell Value]]*Table[[#This Row],[Selling Price]]</f>
        <v>211596</v>
      </c>
      <c r="K152" s="1" t="s">
        <v>4</v>
      </c>
      <c r="L152" s="1" t="s">
        <v>21</v>
      </c>
      <c r="M152" s="1" t="s">
        <v>10</v>
      </c>
      <c r="N152" s="1">
        <v>0.2</v>
      </c>
      <c r="O152" s="1" t="s">
        <v>81</v>
      </c>
      <c r="P152" s="1" t="s">
        <v>36</v>
      </c>
    </row>
    <row r="153" spans="1:16" x14ac:dyDescent="0.25">
      <c r="A153" s="1">
        <v>934091813</v>
      </c>
      <c r="B153" s="1" t="s">
        <v>8</v>
      </c>
      <c r="C153" s="1" t="s">
        <v>2</v>
      </c>
      <c r="D153" s="1">
        <v>47984</v>
      </c>
      <c r="E153" s="1">
        <v>4795</v>
      </c>
      <c r="F153" s="1">
        <v>24</v>
      </c>
      <c r="G153" s="13">
        <f>Table[[#This Row],[Return Value]]/Table[[#This Row],[Sell Value]]</f>
        <v>5.0052137643378522E-3</v>
      </c>
      <c r="H153" s="1" t="s">
        <v>3</v>
      </c>
      <c r="I153" s="1">
        <v>48</v>
      </c>
      <c r="J153" s="14">
        <f>Table[[#This Row],[Sell Value]]*Table[[#This Row],[Selling Price]]</f>
        <v>230160</v>
      </c>
      <c r="K153" s="1" t="s">
        <v>4</v>
      </c>
      <c r="L153" s="1" t="s">
        <v>25</v>
      </c>
      <c r="M153" s="1" t="s">
        <v>14</v>
      </c>
      <c r="N153" s="1">
        <v>0.2</v>
      </c>
      <c r="O153" s="1" t="s">
        <v>82</v>
      </c>
      <c r="P153" s="1" t="s">
        <v>7</v>
      </c>
    </row>
    <row r="154" spans="1:16" x14ac:dyDescent="0.25">
      <c r="A154" s="1">
        <v>32932035</v>
      </c>
      <c r="B154" s="1" t="s">
        <v>12</v>
      </c>
      <c r="C154" s="1" t="s">
        <v>2</v>
      </c>
      <c r="D154" s="1">
        <v>48457</v>
      </c>
      <c r="E154" s="1">
        <v>4030</v>
      </c>
      <c r="F154" s="1">
        <v>42</v>
      </c>
      <c r="G154" s="13">
        <f>Table[[#This Row],[Return Value]]/Table[[#This Row],[Sell Value]]</f>
        <v>1.0421836228287842E-2</v>
      </c>
      <c r="H154" s="1" t="s">
        <v>3</v>
      </c>
      <c r="I154" s="1">
        <v>28</v>
      </c>
      <c r="J154" s="14">
        <f>Table[[#This Row],[Sell Value]]*Table[[#This Row],[Selling Price]]</f>
        <v>112840</v>
      </c>
      <c r="K154" s="1" t="s">
        <v>4</v>
      </c>
      <c r="L154" s="1" t="s">
        <v>29</v>
      </c>
      <c r="M154" s="1" t="s">
        <v>14</v>
      </c>
      <c r="N154" s="1">
        <v>0.2</v>
      </c>
      <c r="O154" s="1" t="s">
        <v>81</v>
      </c>
      <c r="P154" s="1" t="s">
        <v>66</v>
      </c>
    </row>
    <row r="155" spans="1:16" x14ac:dyDescent="0.25">
      <c r="A155" s="1">
        <v>499640965</v>
      </c>
      <c r="B155" s="1" t="s">
        <v>16</v>
      </c>
      <c r="C155" s="1" t="s">
        <v>17</v>
      </c>
      <c r="D155" s="1">
        <v>47538</v>
      </c>
      <c r="E155" s="1">
        <v>4193</v>
      </c>
      <c r="F155" s="1">
        <v>44</v>
      </c>
      <c r="G155" s="13">
        <f>Table[[#This Row],[Return Value]]/Table[[#This Row],[Sell Value]]</f>
        <v>1.0493679942761746E-2</v>
      </c>
      <c r="H155" s="1" t="s">
        <v>3</v>
      </c>
      <c r="I155" s="1">
        <v>41</v>
      </c>
      <c r="J155" s="14">
        <f>Table[[#This Row],[Sell Value]]*Table[[#This Row],[Selling Price]]</f>
        <v>171913</v>
      </c>
      <c r="K155" s="1" t="s">
        <v>4</v>
      </c>
      <c r="L155" s="1" t="s">
        <v>29</v>
      </c>
      <c r="M155" s="1" t="s">
        <v>30</v>
      </c>
      <c r="N155" s="1">
        <v>0.2</v>
      </c>
      <c r="O155" s="1" t="s">
        <v>82</v>
      </c>
      <c r="P155" s="1" t="s">
        <v>63</v>
      </c>
    </row>
    <row r="156" spans="1:16" x14ac:dyDescent="0.25">
      <c r="A156" s="1">
        <v>45791235</v>
      </c>
      <c r="B156" s="1" t="s">
        <v>20</v>
      </c>
      <c r="C156" s="1" t="s">
        <v>17</v>
      </c>
      <c r="D156" s="1">
        <v>47664</v>
      </c>
      <c r="E156" s="1">
        <v>2352</v>
      </c>
      <c r="F156" s="1">
        <v>37</v>
      </c>
      <c r="G156" s="13">
        <f>Table[[#This Row],[Return Value]]/Table[[#This Row],[Sell Value]]</f>
        <v>1.5731292517006803E-2</v>
      </c>
      <c r="H156" s="1" t="s">
        <v>3</v>
      </c>
      <c r="I156" s="1">
        <v>22</v>
      </c>
      <c r="J156" s="14">
        <f>Table[[#This Row],[Sell Value]]*Table[[#This Row],[Selling Price]]</f>
        <v>51744</v>
      </c>
      <c r="K156" s="1" t="s">
        <v>4</v>
      </c>
      <c r="L156" s="1" t="s">
        <v>35</v>
      </c>
      <c r="M156" s="1" t="s">
        <v>33</v>
      </c>
      <c r="N156" s="1">
        <v>0.2</v>
      </c>
      <c r="O156" s="1" t="s">
        <v>82</v>
      </c>
      <c r="P156" s="1" t="s">
        <v>62</v>
      </c>
    </row>
    <row r="157" spans="1:16" x14ac:dyDescent="0.25">
      <c r="A157" s="1">
        <v>891240939</v>
      </c>
      <c r="B157" s="1" t="s">
        <v>24</v>
      </c>
      <c r="C157" s="1" t="s">
        <v>2</v>
      </c>
      <c r="D157" s="1">
        <v>48465</v>
      </c>
      <c r="E157" s="1">
        <v>3020</v>
      </c>
      <c r="F157" s="1">
        <v>45</v>
      </c>
      <c r="G157" s="13">
        <f>Table[[#This Row],[Return Value]]/Table[[#This Row],[Sell Value]]</f>
        <v>1.4900662251655629E-2</v>
      </c>
      <c r="H157" s="1" t="s">
        <v>3</v>
      </c>
      <c r="I157" s="1">
        <v>48</v>
      </c>
      <c r="J157" s="14">
        <f>Table[[#This Row],[Sell Value]]*Table[[#This Row],[Selling Price]]</f>
        <v>144960</v>
      </c>
      <c r="K157" s="1" t="s">
        <v>4</v>
      </c>
      <c r="L157" s="1" t="s">
        <v>38</v>
      </c>
      <c r="M157" s="1" t="s">
        <v>14</v>
      </c>
      <c r="N157" s="1">
        <v>0.2</v>
      </c>
      <c r="O157" s="1" t="s">
        <v>82</v>
      </c>
      <c r="P157" s="1" t="s">
        <v>45</v>
      </c>
    </row>
    <row r="158" spans="1:16" x14ac:dyDescent="0.25">
      <c r="A158" s="1">
        <v>292510700</v>
      </c>
      <c r="B158" s="1" t="s">
        <v>27</v>
      </c>
      <c r="C158" s="1" t="s">
        <v>2</v>
      </c>
      <c r="D158" s="1">
        <v>48286</v>
      </c>
      <c r="E158" s="1">
        <v>4569</v>
      </c>
      <c r="F158" s="1">
        <v>42</v>
      </c>
      <c r="G158" s="13">
        <f>Table[[#This Row],[Return Value]]/Table[[#This Row],[Sell Value]]</f>
        <v>9.1923834537097834E-3</v>
      </c>
      <c r="H158" s="1" t="s">
        <v>3</v>
      </c>
      <c r="I158" s="1">
        <v>40</v>
      </c>
      <c r="J158" s="14">
        <f>Table[[#This Row],[Sell Value]]*Table[[#This Row],[Selling Price]]</f>
        <v>182760</v>
      </c>
      <c r="K158" s="1" t="s">
        <v>4</v>
      </c>
      <c r="L158" s="1" t="s">
        <v>41</v>
      </c>
      <c r="M158" s="1" t="s">
        <v>30</v>
      </c>
      <c r="N158" s="1">
        <v>0.2</v>
      </c>
      <c r="O158" s="1" t="s">
        <v>81</v>
      </c>
      <c r="P158" s="1" t="s">
        <v>45</v>
      </c>
    </row>
    <row r="159" spans="1:16" x14ac:dyDescent="0.25">
      <c r="A159" s="1">
        <v>303700032</v>
      </c>
      <c r="B159" s="1" t="s">
        <v>32</v>
      </c>
      <c r="C159" s="1" t="s">
        <v>17</v>
      </c>
      <c r="D159" s="1">
        <v>47848</v>
      </c>
      <c r="E159" s="1">
        <v>2317</v>
      </c>
      <c r="F159" s="1">
        <v>19</v>
      </c>
      <c r="G159" s="13">
        <f>Table[[#This Row],[Return Value]]/Table[[#This Row],[Sell Value]]</f>
        <v>8.2002589555459655E-3</v>
      </c>
      <c r="H159" s="1" t="s">
        <v>3</v>
      </c>
      <c r="I159" s="1">
        <v>41</v>
      </c>
      <c r="J159" s="14">
        <f>Table[[#This Row],[Sell Value]]*Table[[#This Row],[Selling Price]]</f>
        <v>94997</v>
      </c>
      <c r="K159" s="1" t="s">
        <v>4</v>
      </c>
      <c r="L159" s="1" t="s">
        <v>43</v>
      </c>
      <c r="M159" s="1" t="s">
        <v>14</v>
      </c>
      <c r="N159" s="1">
        <v>0.2</v>
      </c>
      <c r="O159" s="1" t="s">
        <v>82</v>
      </c>
      <c r="P159" s="1" t="s">
        <v>55</v>
      </c>
    </row>
    <row r="160" spans="1:16" x14ac:dyDescent="0.25">
      <c r="A160" s="1">
        <v>15818414</v>
      </c>
      <c r="B160" s="1" t="s">
        <v>34</v>
      </c>
      <c r="C160" s="1" t="s">
        <v>2</v>
      </c>
      <c r="D160" s="1">
        <v>48129</v>
      </c>
      <c r="E160" s="1">
        <v>1800</v>
      </c>
      <c r="F160" s="1">
        <v>30</v>
      </c>
      <c r="G160" s="13">
        <f>Table[[#This Row],[Return Value]]/Table[[#This Row],[Sell Value]]</f>
        <v>1.6666666666666666E-2</v>
      </c>
      <c r="H160" s="1" t="s">
        <v>3</v>
      </c>
      <c r="I160" s="1">
        <v>36</v>
      </c>
      <c r="J160" s="14">
        <f>Table[[#This Row],[Sell Value]]*Table[[#This Row],[Selling Price]]</f>
        <v>64800</v>
      </c>
      <c r="K160" s="1" t="s">
        <v>4</v>
      </c>
      <c r="L160" s="1" t="s">
        <v>47</v>
      </c>
      <c r="M160" s="1" t="s">
        <v>30</v>
      </c>
      <c r="N160" s="1">
        <v>0.2</v>
      </c>
      <c r="O160" s="1" t="s">
        <v>82</v>
      </c>
      <c r="P160" s="1" t="s">
        <v>60</v>
      </c>
    </row>
    <row r="161" spans="1:16" x14ac:dyDescent="0.25">
      <c r="A161" s="1">
        <v>588210732</v>
      </c>
      <c r="B161" s="1" t="s">
        <v>37</v>
      </c>
      <c r="C161" s="1" t="s">
        <v>17</v>
      </c>
      <c r="D161" s="1">
        <v>48409</v>
      </c>
      <c r="E161" s="1">
        <v>3301</v>
      </c>
      <c r="F161" s="1">
        <v>15</v>
      </c>
      <c r="G161" s="13">
        <f>Table[[#This Row],[Return Value]]/Table[[#This Row],[Sell Value]]</f>
        <v>4.5440775522568918E-3</v>
      </c>
      <c r="H161" s="1" t="s">
        <v>3</v>
      </c>
      <c r="I161" s="1">
        <v>48</v>
      </c>
      <c r="J161" s="14">
        <f>Table[[#This Row],[Sell Value]]*Table[[#This Row],[Selling Price]]</f>
        <v>158448</v>
      </c>
      <c r="K161" s="1" t="s">
        <v>4</v>
      </c>
      <c r="L161" s="1" t="s">
        <v>51</v>
      </c>
      <c r="M161" s="1" t="s">
        <v>14</v>
      </c>
      <c r="N161" s="1">
        <v>0.2</v>
      </c>
      <c r="O161" s="1" t="s">
        <v>81</v>
      </c>
      <c r="P161" s="1" t="s">
        <v>45</v>
      </c>
    </row>
    <row r="162" spans="1:16" x14ac:dyDescent="0.25">
      <c r="A162" s="1">
        <v>673277260</v>
      </c>
      <c r="B162" s="1" t="s">
        <v>40</v>
      </c>
      <c r="C162" s="1" t="s">
        <v>17</v>
      </c>
      <c r="D162" s="1">
        <v>47621</v>
      </c>
      <c r="E162" s="1">
        <v>3729</v>
      </c>
      <c r="F162" s="1">
        <v>32</v>
      </c>
      <c r="G162" s="13">
        <f>Table[[#This Row],[Return Value]]/Table[[#This Row],[Sell Value]]</f>
        <v>8.5813891123625637E-3</v>
      </c>
      <c r="H162" s="1" t="s">
        <v>3</v>
      </c>
      <c r="I162" s="1">
        <v>37</v>
      </c>
      <c r="J162" s="14">
        <f>Table[[#This Row],[Sell Value]]*Table[[#This Row],[Selling Price]]</f>
        <v>137973</v>
      </c>
      <c r="K162" s="1" t="s">
        <v>4</v>
      </c>
      <c r="L162" s="1" t="s">
        <v>54</v>
      </c>
      <c r="M162" s="1" t="s">
        <v>14</v>
      </c>
      <c r="N162" s="1">
        <v>0.2</v>
      </c>
      <c r="O162" s="1" t="s">
        <v>82</v>
      </c>
      <c r="P162" s="1" t="s">
        <v>65</v>
      </c>
    </row>
    <row r="163" spans="1:16" x14ac:dyDescent="0.25">
      <c r="A163" s="1">
        <v>472668913</v>
      </c>
      <c r="B163" s="1" t="s">
        <v>42</v>
      </c>
      <c r="C163" s="1" t="s">
        <v>2</v>
      </c>
      <c r="D163" s="1">
        <v>48561</v>
      </c>
      <c r="E163" s="1">
        <v>3920</v>
      </c>
      <c r="F163" s="1">
        <v>27</v>
      </c>
      <c r="G163" s="13">
        <f>Table[[#This Row],[Return Value]]/Table[[#This Row],[Sell Value]]</f>
        <v>6.8877551020408165E-3</v>
      </c>
      <c r="H163" s="1" t="s">
        <v>3</v>
      </c>
      <c r="I163" s="1">
        <v>43</v>
      </c>
      <c r="J163" s="14">
        <f>Table[[#This Row],[Sell Value]]*Table[[#This Row],[Selling Price]]</f>
        <v>168560</v>
      </c>
      <c r="K163" s="1" t="s">
        <v>4</v>
      </c>
      <c r="L163" s="1" t="s">
        <v>57</v>
      </c>
      <c r="M163" s="1" t="s">
        <v>22</v>
      </c>
      <c r="N163" s="1">
        <v>0.2</v>
      </c>
      <c r="O163" s="1" t="s">
        <v>82</v>
      </c>
      <c r="P163" s="1" t="s">
        <v>15</v>
      </c>
    </row>
    <row r="164" spans="1:16" x14ac:dyDescent="0.25">
      <c r="A164" s="1">
        <v>875201961</v>
      </c>
      <c r="B164" s="1" t="s">
        <v>46</v>
      </c>
      <c r="C164" s="1" t="s">
        <v>2</v>
      </c>
      <c r="D164" s="1">
        <v>48113</v>
      </c>
      <c r="E164" s="1">
        <v>2718</v>
      </c>
      <c r="F164" s="1">
        <v>22</v>
      </c>
      <c r="G164" s="13">
        <f>Table[[#This Row],[Return Value]]/Table[[#This Row],[Sell Value]]</f>
        <v>8.0941869021339229E-3</v>
      </c>
      <c r="H164" s="1" t="s">
        <v>3</v>
      </c>
      <c r="I164" s="1">
        <v>42</v>
      </c>
      <c r="J164" s="14">
        <f>Table[[#This Row],[Sell Value]]*Table[[#This Row],[Selling Price]]</f>
        <v>114156</v>
      </c>
      <c r="K164" s="1" t="s">
        <v>4</v>
      </c>
      <c r="L164" s="1" t="s">
        <v>5</v>
      </c>
      <c r="M164" s="1" t="s">
        <v>48</v>
      </c>
      <c r="N164" s="1">
        <v>0.2</v>
      </c>
      <c r="O164" s="1" t="s">
        <v>82</v>
      </c>
      <c r="P164" s="1" t="s">
        <v>31</v>
      </c>
    </row>
    <row r="165" spans="1:16" x14ac:dyDescent="0.25">
      <c r="A165" s="1">
        <v>117585161</v>
      </c>
      <c r="B165" s="1" t="s">
        <v>50</v>
      </c>
      <c r="C165" s="1" t="s">
        <v>2</v>
      </c>
      <c r="D165" s="1">
        <v>48458</v>
      </c>
      <c r="E165" s="1">
        <v>2382</v>
      </c>
      <c r="F165" s="1">
        <v>25</v>
      </c>
      <c r="G165" s="13">
        <f>Table[[#This Row],[Return Value]]/Table[[#This Row],[Sell Value]]</f>
        <v>1.0495382031905962E-2</v>
      </c>
      <c r="H165" s="1" t="s">
        <v>3</v>
      </c>
      <c r="I165" s="1">
        <v>42</v>
      </c>
      <c r="J165" s="14">
        <f>Table[[#This Row],[Sell Value]]*Table[[#This Row],[Selling Price]]</f>
        <v>100044</v>
      </c>
      <c r="K165" s="1" t="s">
        <v>4</v>
      </c>
      <c r="L165" s="1" t="s">
        <v>9</v>
      </c>
      <c r="M165" s="1" t="s">
        <v>44</v>
      </c>
      <c r="N165" s="1">
        <v>0.2</v>
      </c>
      <c r="O165" s="1" t="s">
        <v>82</v>
      </c>
      <c r="P165" s="1" t="s">
        <v>31</v>
      </c>
    </row>
    <row r="166" spans="1:16" x14ac:dyDescent="0.25">
      <c r="A166" s="1">
        <v>664280847</v>
      </c>
      <c r="B166" s="1" t="s">
        <v>53</v>
      </c>
      <c r="C166" s="1" t="s">
        <v>2</v>
      </c>
      <c r="D166" s="1">
        <v>47797</v>
      </c>
      <c r="E166" s="1">
        <v>4736</v>
      </c>
      <c r="F166" s="1">
        <v>24</v>
      </c>
      <c r="G166" s="13">
        <f>Table[[#This Row],[Return Value]]/Table[[#This Row],[Sell Value]]</f>
        <v>5.0675675675675678E-3</v>
      </c>
      <c r="H166" s="1" t="s">
        <v>3</v>
      </c>
      <c r="I166" s="1">
        <v>42</v>
      </c>
      <c r="J166" s="14">
        <f>Table[[#This Row],[Sell Value]]*Table[[#This Row],[Selling Price]]</f>
        <v>198912</v>
      </c>
      <c r="K166" s="1" t="s">
        <v>4</v>
      </c>
      <c r="L166" s="1" t="s">
        <v>13</v>
      </c>
      <c r="M166" s="1" t="s">
        <v>48</v>
      </c>
      <c r="N166" s="1">
        <v>0.2</v>
      </c>
      <c r="O166" s="1" t="s">
        <v>82</v>
      </c>
      <c r="P166" s="1" t="s">
        <v>11</v>
      </c>
    </row>
    <row r="167" spans="1:16" x14ac:dyDescent="0.25">
      <c r="A167" s="1">
        <v>897480248</v>
      </c>
      <c r="B167" s="1" t="s">
        <v>56</v>
      </c>
      <c r="C167" s="1" t="s">
        <v>2</v>
      </c>
      <c r="D167" s="1">
        <v>48556</v>
      </c>
      <c r="E167" s="1">
        <v>3961</v>
      </c>
      <c r="F167" s="1">
        <v>14</v>
      </c>
      <c r="G167" s="13">
        <f>Table[[#This Row],[Return Value]]/Table[[#This Row],[Sell Value]]</f>
        <v>3.5344609946983086E-3</v>
      </c>
      <c r="H167" s="1" t="s">
        <v>3</v>
      </c>
      <c r="I167" s="1">
        <v>36</v>
      </c>
      <c r="J167" s="14">
        <f>Table[[#This Row],[Sell Value]]*Table[[#This Row],[Selling Price]]</f>
        <v>142596</v>
      </c>
      <c r="K167" s="1" t="s">
        <v>4</v>
      </c>
      <c r="L167" s="1" t="s">
        <v>18</v>
      </c>
      <c r="M167" s="1" t="s">
        <v>48</v>
      </c>
      <c r="N167" s="1">
        <v>0.2</v>
      </c>
      <c r="O167" s="1" t="s">
        <v>81</v>
      </c>
      <c r="P167" s="1" t="s">
        <v>66</v>
      </c>
    </row>
    <row r="168" spans="1:16" x14ac:dyDescent="0.25">
      <c r="A168" s="1">
        <v>953844275</v>
      </c>
      <c r="B168" s="1" t="s">
        <v>1</v>
      </c>
      <c r="C168" s="1" t="s">
        <v>2</v>
      </c>
      <c r="D168" s="1">
        <v>48151</v>
      </c>
      <c r="E168" s="1">
        <v>1137</v>
      </c>
      <c r="F168" s="1">
        <v>50</v>
      </c>
      <c r="G168" s="13">
        <f>Table[[#This Row],[Return Value]]/Table[[#This Row],[Sell Value]]</f>
        <v>4.3975373790677223E-2</v>
      </c>
      <c r="H168" s="1" t="s">
        <v>3</v>
      </c>
      <c r="I168" s="1">
        <v>30</v>
      </c>
      <c r="J168" s="14">
        <f>Table[[#This Row],[Sell Value]]*Table[[#This Row],[Selling Price]]</f>
        <v>34110</v>
      </c>
      <c r="K168" s="1" t="s">
        <v>4</v>
      </c>
      <c r="L168" s="1" t="s">
        <v>21</v>
      </c>
      <c r="M168" s="1" t="s">
        <v>14</v>
      </c>
      <c r="N168" s="1">
        <v>0.2</v>
      </c>
      <c r="O168" s="1" t="s">
        <v>81</v>
      </c>
      <c r="P168" s="1" t="s">
        <v>58</v>
      </c>
    </row>
    <row r="169" spans="1:16" x14ac:dyDescent="0.25">
      <c r="A169" s="1">
        <v>363689534</v>
      </c>
      <c r="B169" s="1" t="s">
        <v>8</v>
      </c>
      <c r="C169" s="1" t="s">
        <v>2</v>
      </c>
      <c r="D169" s="1">
        <v>47953</v>
      </c>
      <c r="E169" s="1">
        <v>3661</v>
      </c>
      <c r="F169" s="1">
        <v>16</v>
      </c>
      <c r="G169" s="13">
        <f>Table[[#This Row],[Return Value]]/Table[[#This Row],[Sell Value]]</f>
        <v>4.3703906036602017E-3</v>
      </c>
      <c r="H169" s="1" t="s">
        <v>3</v>
      </c>
      <c r="I169" s="1">
        <v>43</v>
      </c>
      <c r="J169" s="14">
        <f>Table[[#This Row],[Sell Value]]*Table[[#This Row],[Selling Price]]</f>
        <v>157423</v>
      </c>
      <c r="K169" s="1" t="s">
        <v>4</v>
      </c>
      <c r="L169" s="1" t="s">
        <v>25</v>
      </c>
      <c r="M169" s="1" t="s">
        <v>44</v>
      </c>
      <c r="N169" s="1">
        <v>0.2</v>
      </c>
      <c r="O169" s="1" t="s">
        <v>81</v>
      </c>
      <c r="P169" s="1" t="s">
        <v>49</v>
      </c>
    </row>
    <row r="170" spans="1:16" x14ac:dyDescent="0.25">
      <c r="A170" s="1">
        <v>938486606</v>
      </c>
      <c r="B170" s="1" t="s">
        <v>12</v>
      </c>
      <c r="C170" s="1" t="s">
        <v>2</v>
      </c>
      <c r="D170" s="1">
        <v>48312</v>
      </c>
      <c r="E170" s="1">
        <v>3914</v>
      </c>
      <c r="F170" s="1">
        <v>24</v>
      </c>
      <c r="G170" s="13">
        <f>Table[[#This Row],[Return Value]]/Table[[#This Row],[Sell Value]]</f>
        <v>6.1318344404701075E-3</v>
      </c>
      <c r="H170" s="1" t="s">
        <v>3</v>
      </c>
      <c r="I170" s="1">
        <v>27</v>
      </c>
      <c r="J170" s="14">
        <f>Table[[#This Row],[Sell Value]]*Table[[#This Row],[Selling Price]]</f>
        <v>105678</v>
      </c>
      <c r="K170" s="1" t="s">
        <v>4</v>
      </c>
      <c r="L170" s="1" t="s">
        <v>29</v>
      </c>
      <c r="M170" s="1" t="s">
        <v>33</v>
      </c>
      <c r="N170" s="1">
        <v>0.2</v>
      </c>
      <c r="O170" s="1" t="s">
        <v>81</v>
      </c>
      <c r="P170" s="1" t="s">
        <v>11</v>
      </c>
    </row>
    <row r="171" spans="1:16" x14ac:dyDescent="0.25">
      <c r="A171" s="1">
        <v>571170312</v>
      </c>
      <c r="B171" s="1" t="s">
        <v>16</v>
      </c>
      <c r="C171" s="1" t="s">
        <v>17</v>
      </c>
      <c r="D171" s="1">
        <v>47677</v>
      </c>
      <c r="E171" s="1">
        <v>1733</v>
      </c>
      <c r="F171" s="1">
        <v>38</v>
      </c>
      <c r="G171" s="13">
        <f>Table[[#This Row],[Return Value]]/Table[[#This Row],[Sell Value]]</f>
        <v>2.1927293710328911E-2</v>
      </c>
      <c r="H171" s="1" t="s">
        <v>64</v>
      </c>
      <c r="I171" s="1">
        <v>39</v>
      </c>
      <c r="J171" s="14">
        <f>Table[[#This Row],[Sell Value]]*Table[[#This Row],[Selling Price]]</f>
        <v>67587</v>
      </c>
      <c r="K171" s="1" t="s">
        <v>4</v>
      </c>
      <c r="L171" s="1" t="s">
        <v>29</v>
      </c>
      <c r="M171" s="1" t="s">
        <v>33</v>
      </c>
      <c r="N171" s="1">
        <v>0.2</v>
      </c>
      <c r="O171" s="1" t="s">
        <v>81</v>
      </c>
      <c r="P171" s="1" t="s">
        <v>60</v>
      </c>
    </row>
    <row r="172" spans="1:16" x14ac:dyDescent="0.25">
      <c r="A172" s="1">
        <v>386593835</v>
      </c>
      <c r="B172" s="1" t="s">
        <v>20</v>
      </c>
      <c r="C172" s="1" t="s">
        <v>17</v>
      </c>
      <c r="D172" s="1">
        <v>48525</v>
      </c>
      <c r="E172" s="1">
        <v>4426</v>
      </c>
      <c r="F172" s="1">
        <v>41</v>
      </c>
      <c r="G172" s="13">
        <f>Table[[#This Row],[Return Value]]/Table[[#This Row],[Sell Value]]</f>
        <v>9.2634432896520555E-3</v>
      </c>
      <c r="H172" s="1" t="s">
        <v>3</v>
      </c>
      <c r="I172" s="1">
        <v>38</v>
      </c>
      <c r="J172" s="14">
        <f>Table[[#This Row],[Sell Value]]*Table[[#This Row],[Selling Price]]</f>
        <v>168188</v>
      </c>
      <c r="K172" s="1" t="s">
        <v>4</v>
      </c>
      <c r="L172" s="1" t="s">
        <v>35</v>
      </c>
      <c r="M172" s="1" t="s">
        <v>33</v>
      </c>
      <c r="N172" s="1">
        <v>0.2</v>
      </c>
      <c r="O172" s="1" t="s">
        <v>81</v>
      </c>
      <c r="P172" s="1" t="s">
        <v>63</v>
      </c>
    </row>
    <row r="173" spans="1:16" x14ac:dyDescent="0.25">
      <c r="A173" s="1">
        <v>791096474</v>
      </c>
      <c r="B173" s="1" t="s">
        <v>24</v>
      </c>
      <c r="C173" s="1" t="s">
        <v>2</v>
      </c>
      <c r="D173" s="1">
        <v>48156</v>
      </c>
      <c r="E173" s="1">
        <v>4493</v>
      </c>
      <c r="F173" s="1">
        <v>34</v>
      </c>
      <c r="G173" s="13">
        <f>Table[[#This Row],[Return Value]]/Table[[#This Row],[Sell Value]]</f>
        <v>7.5673269530380591E-3</v>
      </c>
      <c r="H173" s="1" t="s">
        <v>28</v>
      </c>
      <c r="I173" s="1">
        <v>49</v>
      </c>
      <c r="J173" s="14">
        <f>Table[[#This Row],[Sell Value]]*Table[[#This Row],[Selling Price]]</f>
        <v>220157</v>
      </c>
      <c r="K173" s="1" t="s">
        <v>4</v>
      </c>
      <c r="L173" s="1" t="s">
        <v>38</v>
      </c>
      <c r="M173" s="1" t="s">
        <v>30</v>
      </c>
      <c r="N173" s="1">
        <v>0.2</v>
      </c>
      <c r="O173" s="1" t="s">
        <v>81</v>
      </c>
      <c r="P173" s="1" t="s">
        <v>49</v>
      </c>
    </row>
    <row r="174" spans="1:16" x14ac:dyDescent="0.25">
      <c r="A174" s="1">
        <v>207791251</v>
      </c>
      <c r="B174" s="1" t="s">
        <v>27</v>
      </c>
      <c r="C174" s="1" t="s">
        <v>2</v>
      </c>
      <c r="D174" s="1">
        <v>48312</v>
      </c>
      <c r="E174" s="1">
        <v>3370</v>
      </c>
      <c r="F174" s="1">
        <v>27</v>
      </c>
      <c r="G174" s="13">
        <f>Table[[#This Row],[Return Value]]/Table[[#This Row],[Sell Value]]</f>
        <v>8.0118694362017809E-3</v>
      </c>
      <c r="H174" s="1" t="s">
        <v>3</v>
      </c>
      <c r="I174" s="1">
        <v>45</v>
      </c>
      <c r="J174" s="14">
        <f>Table[[#This Row],[Sell Value]]*Table[[#This Row],[Selling Price]]</f>
        <v>151650</v>
      </c>
      <c r="K174" s="1" t="s">
        <v>4</v>
      </c>
      <c r="L174" s="1" t="s">
        <v>41</v>
      </c>
      <c r="M174" s="1" t="s">
        <v>14</v>
      </c>
      <c r="N174" s="1">
        <v>0.2</v>
      </c>
      <c r="O174" s="1" t="s">
        <v>81</v>
      </c>
      <c r="P174" s="1" t="s">
        <v>15</v>
      </c>
    </row>
    <row r="175" spans="1:16" x14ac:dyDescent="0.25">
      <c r="A175" s="1">
        <v>349853614</v>
      </c>
      <c r="B175" s="1" t="s">
        <v>32</v>
      </c>
      <c r="C175" s="1" t="s">
        <v>17</v>
      </c>
      <c r="D175" s="1">
        <v>47734</v>
      </c>
      <c r="E175" s="1">
        <v>3697</v>
      </c>
      <c r="F175" s="1">
        <v>33</v>
      </c>
      <c r="G175" s="13">
        <f>Table[[#This Row],[Return Value]]/Table[[#This Row],[Sell Value]]</f>
        <v>8.9261563429807959E-3</v>
      </c>
      <c r="H175" s="1" t="s">
        <v>3</v>
      </c>
      <c r="I175" s="1">
        <v>35</v>
      </c>
      <c r="J175" s="14">
        <f>Table[[#This Row],[Sell Value]]*Table[[#This Row],[Selling Price]]</f>
        <v>129395</v>
      </c>
      <c r="K175" s="1" t="s">
        <v>4</v>
      </c>
      <c r="L175" s="1" t="s">
        <v>43</v>
      </c>
      <c r="M175" s="1" t="s">
        <v>59</v>
      </c>
      <c r="N175" s="1">
        <v>0.2</v>
      </c>
      <c r="O175" s="1" t="s">
        <v>81</v>
      </c>
      <c r="P175" s="1" t="s">
        <v>58</v>
      </c>
    </row>
    <row r="176" spans="1:16" x14ac:dyDescent="0.25">
      <c r="A176" s="1">
        <v>854351783</v>
      </c>
      <c r="B176" s="1" t="s">
        <v>34</v>
      </c>
      <c r="C176" s="1" t="s">
        <v>2</v>
      </c>
      <c r="D176" s="1">
        <v>48282</v>
      </c>
      <c r="E176" s="1">
        <v>2879</v>
      </c>
      <c r="F176" s="1">
        <v>30</v>
      </c>
      <c r="G176" s="13">
        <f>Table[[#This Row],[Return Value]]/Table[[#This Row],[Sell Value]]</f>
        <v>1.0420284821118444E-2</v>
      </c>
      <c r="H176" s="1" t="s">
        <v>3</v>
      </c>
      <c r="I176" s="1">
        <v>41</v>
      </c>
      <c r="J176" s="14">
        <f>Table[[#This Row],[Sell Value]]*Table[[#This Row],[Selling Price]]</f>
        <v>118039</v>
      </c>
      <c r="K176" s="1" t="s">
        <v>4</v>
      </c>
      <c r="L176" s="1" t="s">
        <v>47</v>
      </c>
      <c r="M176" s="1" t="s">
        <v>26</v>
      </c>
      <c r="N176" s="1">
        <v>0.2</v>
      </c>
      <c r="O176" s="1" t="s">
        <v>81</v>
      </c>
      <c r="P176" s="1" t="s">
        <v>23</v>
      </c>
    </row>
    <row r="177" spans="1:16" x14ac:dyDescent="0.25">
      <c r="A177" s="1">
        <v>10357555</v>
      </c>
      <c r="B177" s="1" t="s">
        <v>37</v>
      </c>
      <c r="C177" s="1" t="s">
        <v>17</v>
      </c>
      <c r="D177" s="1">
        <v>47903</v>
      </c>
      <c r="E177" s="1">
        <v>3675</v>
      </c>
      <c r="F177" s="1">
        <v>11</v>
      </c>
      <c r="G177" s="13">
        <f>Table[[#This Row],[Return Value]]/Table[[#This Row],[Sell Value]]</f>
        <v>2.9931972789115648E-3</v>
      </c>
      <c r="H177" s="1" t="s">
        <v>3</v>
      </c>
      <c r="I177" s="1">
        <v>40</v>
      </c>
      <c r="J177" s="14">
        <f>Table[[#This Row],[Sell Value]]*Table[[#This Row],[Selling Price]]</f>
        <v>147000</v>
      </c>
      <c r="K177" s="1" t="s">
        <v>4</v>
      </c>
      <c r="L177" s="1" t="s">
        <v>51</v>
      </c>
      <c r="M177" s="1" t="s">
        <v>61</v>
      </c>
      <c r="N177" s="1">
        <v>0.2</v>
      </c>
      <c r="O177" s="1" t="s">
        <v>82</v>
      </c>
      <c r="P177" s="1" t="s">
        <v>65</v>
      </c>
    </row>
    <row r="178" spans="1:16" x14ac:dyDescent="0.25">
      <c r="A178" s="1">
        <v>302779479</v>
      </c>
      <c r="B178" s="1" t="s">
        <v>40</v>
      </c>
      <c r="C178" s="1" t="s">
        <v>17</v>
      </c>
      <c r="D178" s="1">
        <v>48083</v>
      </c>
      <c r="E178" s="1">
        <v>1905</v>
      </c>
      <c r="F178" s="1">
        <v>47</v>
      </c>
      <c r="G178" s="13">
        <f>Table[[#This Row],[Return Value]]/Table[[#This Row],[Sell Value]]</f>
        <v>2.4671916010498687E-2</v>
      </c>
      <c r="H178" s="1" t="s">
        <v>3</v>
      </c>
      <c r="I178" s="1">
        <v>24</v>
      </c>
      <c r="J178" s="14">
        <f>Table[[#This Row],[Sell Value]]*Table[[#This Row],[Selling Price]]</f>
        <v>45720</v>
      </c>
      <c r="K178" s="1" t="s">
        <v>4</v>
      </c>
      <c r="L178" s="1" t="s">
        <v>54</v>
      </c>
      <c r="M178" s="1" t="s">
        <v>33</v>
      </c>
      <c r="N178" s="1">
        <v>0.2</v>
      </c>
      <c r="O178" s="1" t="s">
        <v>81</v>
      </c>
      <c r="P178" s="1" t="s">
        <v>65</v>
      </c>
    </row>
    <row r="179" spans="1:16" x14ac:dyDescent="0.25">
      <c r="A179" s="1">
        <v>496987638</v>
      </c>
      <c r="B179" s="1" t="s">
        <v>42</v>
      </c>
      <c r="C179" s="1" t="s">
        <v>2</v>
      </c>
      <c r="D179" s="1">
        <v>47687</v>
      </c>
      <c r="E179" s="1">
        <v>1820</v>
      </c>
      <c r="F179" s="1">
        <v>13</v>
      </c>
      <c r="G179" s="13">
        <f>Table[[#This Row],[Return Value]]/Table[[#This Row],[Sell Value]]</f>
        <v>7.1428571428571426E-3</v>
      </c>
      <c r="H179" s="1" t="s">
        <v>3</v>
      </c>
      <c r="I179" s="1">
        <v>32</v>
      </c>
      <c r="J179" s="14">
        <f>Table[[#This Row],[Sell Value]]*Table[[#This Row],[Selling Price]]</f>
        <v>58240</v>
      </c>
      <c r="K179" s="1" t="s">
        <v>4</v>
      </c>
      <c r="L179" s="1" t="s">
        <v>57</v>
      </c>
      <c r="M179" s="1" t="s">
        <v>59</v>
      </c>
      <c r="N179" s="1">
        <v>0.2</v>
      </c>
      <c r="O179" s="1" t="s">
        <v>81</v>
      </c>
      <c r="P179" s="1" t="s">
        <v>31</v>
      </c>
    </row>
    <row r="180" spans="1:16" x14ac:dyDescent="0.25">
      <c r="A180" s="1">
        <v>833608993</v>
      </c>
      <c r="B180" s="1" t="s">
        <v>46</v>
      </c>
      <c r="C180" s="1" t="s">
        <v>2</v>
      </c>
      <c r="D180" s="1">
        <v>47718</v>
      </c>
      <c r="E180" s="1">
        <v>3619</v>
      </c>
      <c r="F180" s="1">
        <v>35</v>
      </c>
      <c r="G180" s="13">
        <f>Table[[#This Row],[Return Value]]/Table[[#This Row],[Sell Value]]</f>
        <v>9.6711798839458421E-3</v>
      </c>
      <c r="H180" s="1" t="s">
        <v>3</v>
      </c>
      <c r="I180" s="1">
        <v>23</v>
      </c>
      <c r="J180" s="14">
        <f>Table[[#This Row],[Sell Value]]*Table[[#This Row],[Selling Price]]</f>
        <v>83237</v>
      </c>
      <c r="K180" s="1" t="s">
        <v>4</v>
      </c>
      <c r="L180" s="1" t="s">
        <v>5</v>
      </c>
      <c r="M180" s="1" t="s">
        <v>14</v>
      </c>
      <c r="N180" s="1">
        <v>0.2</v>
      </c>
      <c r="O180" s="1" t="s">
        <v>82</v>
      </c>
      <c r="P180" s="1" t="s">
        <v>15</v>
      </c>
    </row>
    <row r="181" spans="1:16" x14ac:dyDescent="0.25">
      <c r="A181" s="1">
        <v>370066516</v>
      </c>
      <c r="B181" s="1" t="s">
        <v>12</v>
      </c>
      <c r="C181" s="1" t="s">
        <v>2</v>
      </c>
      <c r="D181" s="1">
        <v>47723</v>
      </c>
      <c r="E181" s="1">
        <v>2963</v>
      </c>
      <c r="F181" s="1">
        <v>21</v>
      </c>
      <c r="G181" s="13">
        <f>Table[[#This Row],[Return Value]]/Table[[#This Row],[Sell Value]]</f>
        <v>7.0874114073574083E-3</v>
      </c>
      <c r="H181" s="1" t="s">
        <v>3</v>
      </c>
      <c r="I181" s="1">
        <v>41</v>
      </c>
      <c r="J181" s="14">
        <f>Table[[#This Row],[Sell Value]]*Table[[#This Row],[Selling Price]]</f>
        <v>121483</v>
      </c>
      <c r="K181" s="1" t="s">
        <v>4</v>
      </c>
      <c r="L181" s="1" t="s">
        <v>9</v>
      </c>
      <c r="M181" s="1" t="s">
        <v>30</v>
      </c>
      <c r="N181" s="1">
        <v>0.2</v>
      </c>
      <c r="O181" s="1" t="s">
        <v>82</v>
      </c>
      <c r="P181" s="1" t="s">
        <v>62</v>
      </c>
    </row>
    <row r="182" spans="1:16" x14ac:dyDescent="0.25">
      <c r="A182" s="1">
        <v>76058008</v>
      </c>
      <c r="B182" s="1" t="s">
        <v>16</v>
      </c>
      <c r="C182" s="1" t="s">
        <v>17</v>
      </c>
      <c r="D182" s="1">
        <v>47881</v>
      </c>
      <c r="E182" s="1">
        <v>4495</v>
      </c>
      <c r="F182" s="1">
        <v>13</v>
      </c>
      <c r="G182" s="13">
        <f>Table[[#This Row],[Return Value]]/Table[[#This Row],[Sell Value]]</f>
        <v>2.8921023359288096E-3</v>
      </c>
      <c r="H182" s="1" t="s">
        <v>3</v>
      </c>
      <c r="I182" s="1">
        <v>34</v>
      </c>
      <c r="J182" s="14">
        <f>Table[[#This Row],[Sell Value]]*Table[[#This Row],[Selling Price]]</f>
        <v>152830</v>
      </c>
      <c r="K182" s="1" t="s">
        <v>4</v>
      </c>
      <c r="L182" s="1" t="s">
        <v>13</v>
      </c>
      <c r="M182" s="1" t="s">
        <v>10</v>
      </c>
      <c r="N182" s="1">
        <v>0.2</v>
      </c>
      <c r="O182" s="1" t="s">
        <v>81</v>
      </c>
      <c r="P182" s="1" t="s">
        <v>55</v>
      </c>
    </row>
    <row r="183" spans="1:16" x14ac:dyDescent="0.25">
      <c r="A183" s="1">
        <v>94287276</v>
      </c>
      <c r="B183" s="1" t="s">
        <v>20</v>
      </c>
      <c r="C183" s="1" t="s">
        <v>17</v>
      </c>
      <c r="D183" s="1">
        <v>47960</v>
      </c>
      <c r="E183" s="1">
        <v>1314</v>
      </c>
      <c r="F183" s="1">
        <v>26</v>
      </c>
      <c r="G183" s="13">
        <f>Table[[#This Row],[Return Value]]/Table[[#This Row],[Sell Value]]</f>
        <v>1.9786910197869101E-2</v>
      </c>
      <c r="H183" s="1" t="s">
        <v>3</v>
      </c>
      <c r="I183" s="1">
        <v>27</v>
      </c>
      <c r="J183" s="14">
        <f>Table[[#This Row],[Sell Value]]*Table[[#This Row],[Selling Price]]</f>
        <v>35478</v>
      </c>
      <c r="K183" s="1" t="s">
        <v>4</v>
      </c>
      <c r="L183" s="1" t="s">
        <v>18</v>
      </c>
      <c r="M183" s="1" t="s">
        <v>44</v>
      </c>
      <c r="N183" s="1">
        <v>0.2</v>
      </c>
      <c r="O183" s="1" t="s">
        <v>82</v>
      </c>
      <c r="P183" s="1" t="s">
        <v>49</v>
      </c>
    </row>
    <row r="184" spans="1:16" x14ac:dyDescent="0.25">
      <c r="A184" s="1">
        <v>93572022</v>
      </c>
      <c r="B184" s="1" t="s">
        <v>24</v>
      </c>
      <c r="C184" s="1" t="s">
        <v>2</v>
      </c>
      <c r="D184" s="1">
        <v>47564</v>
      </c>
      <c r="E184" s="1">
        <v>2613</v>
      </c>
      <c r="F184" s="1">
        <v>44</v>
      </c>
      <c r="G184" s="13">
        <f>Table[[#This Row],[Return Value]]/Table[[#This Row],[Sell Value]]</f>
        <v>1.6838882510524303E-2</v>
      </c>
      <c r="H184" s="1" t="s">
        <v>3</v>
      </c>
      <c r="I184" s="1">
        <v>31</v>
      </c>
      <c r="J184" s="14">
        <f>Table[[#This Row],[Sell Value]]*Table[[#This Row],[Selling Price]]</f>
        <v>81003</v>
      </c>
      <c r="K184" s="1" t="s">
        <v>4</v>
      </c>
      <c r="L184" s="1" t="s">
        <v>21</v>
      </c>
      <c r="M184" s="1" t="s">
        <v>30</v>
      </c>
      <c r="N184" s="1">
        <v>0.2</v>
      </c>
      <c r="O184" s="1" t="s">
        <v>81</v>
      </c>
      <c r="P184" s="1" t="s">
        <v>58</v>
      </c>
    </row>
    <row r="185" spans="1:16" x14ac:dyDescent="0.25">
      <c r="A185" s="1">
        <v>404765669</v>
      </c>
      <c r="B185" s="1" t="s">
        <v>27</v>
      </c>
      <c r="C185" s="1" t="s">
        <v>2</v>
      </c>
      <c r="D185" s="1">
        <v>48336</v>
      </c>
      <c r="E185" s="1">
        <v>3798</v>
      </c>
      <c r="F185" s="1">
        <v>35</v>
      </c>
      <c r="G185" s="13">
        <f>Table[[#This Row],[Return Value]]/Table[[#This Row],[Sell Value]]</f>
        <v>9.2153765139547129E-3</v>
      </c>
      <c r="H185" s="1" t="s">
        <v>3</v>
      </c>
      <c r="I185" s="1">
        <v>23</v>
      </c>
      <c r="J185" s="14">
        <f>Table[[#This Row],[Sell Value]]*Table[[#This Row],[Selling Price]]</f>
        <v>87354</v>
      </c>
      <c r="K185" s="1" t="s">
        <v>4</v>
      </c>
      <c r="L185" s="1" t="s">
        <v>25</v>
      </c>
      <c r="M185" s="1" t="s">
        <v>61</v>
      </c>
      <c r="N185" s="1">
        <v>0.2</v>
      </c>
      <c r="O185" s="1" t="s">
        <v>82</v>
      </c>
      <c r="P185" s="1" t="s">
        <v>49</v>
      </c>
    </row>
    <row r="186" spans="1:16" x14ac:dyDescent="0.25">
      <c r="A186" s="1">
        <v>976323545</v>
      </c>
      <c r="B186" s="1" t="s">
        <v>32</v>
      </c>
      <c r="C186" s="1" t="s">
        <v>17</v>
      </c>
      <c r="D186" s="1">
        <v>48191</v>
      </c>
      <c r="E186" s="1">
        <v>3663</v>
      </c>
      <c r="F186" s="1">
        <v>19</v>
      </c>
      <c r="G186" s="13">
        <f>Table[[#This Row],[Return Value]]/Table[[#This Row],[Sell Value]]</f>
        <v>5.1870051870051871E-3</v>
      </c>
      <c r="H186" s="1" t="s">
        <v>3</v>
      </c>
      <c r="I186" s="1">
        <v>33</v>
      </c>
      <c r="J186" s="14">
        <f>Table[[#This Row],[Sell Value]]*Table[[#This Row],[Selling Price]]</f>
        <v>120879</v>
      </c>
      <c r="K186" s="1" t="s">
        <v>4</v>
      </c>
      <c r="L186" s="1" t="s">
        <v>29</v>
      </c>
      <c r="M186" s="1" t="s">
        <v>61</v>
      </c>
      <c r="N186" s="1">
        <v>0.2</v>
      </c>
      <c r="O186" s="1" t="s">
        <v>81</v>
      </c>
      <c r="P186" s="1" t="s">
        <v>19</v>
      </c>
    </row>
    <row r="187" spans="1:16" x14ac:dyDescent="0.25">
      <c r="A187" s="1">
        <v>114481413</v>
      </c>
      <c r="B187" s="1" t="s">
        <v>34</v>
      </c>
      <c r="C187" s="1" t="s">
        <v>2</v>
      </c>
      <c r="D187" s="1">
        <v>47542</v>
      </c>
      <c r="E187" s="1">
        <v>2254</v>
      </c>
      <c r="F187" s="1">
        <v>17</v>
      </c>
      <c r="G187" s="13">
        <f>Table[[#This Row],[Return Value]]/Table[[#This Row],[Sell Value]]</f>
        <v>7.5421472937000885E-3</v>
      </c>
      <c r="H187" s="1" t="s">
        <v>3</v>
      </c>
      <c r="I187" s="1">
        <v>30</v>
      </c>
      <c r="J187" s="14">
        <f>Table[[#This Row],[Sell Value]]*Table[[#This Row],[Selling Price]]</f>
        <v>67620</v>
      </c>
      <c r="K187" s="1" t="s">
        <v>4</v>
      </c>
      <c r="L187" s="1" t="s">
        <v>29</v>
      </c>
      <c r="M187" s="1" t="s">
        <v>10</v>
      </c>
      <c r="N187" s="1">
        <v>0.2</v>
      </c>
      <c r="O187" s="1" t="s">
        <v>81</v>
      </c>
      <c r="P187" s="1" t="s">
        <v>60</v>
      </c>
    </row>
    <row r="188" spans="1:16" x14ac:dyDescent="0.25">
      <c r="A188" s="1">
        <v>761229323</v>
      </c>
      <c r="B188" s="1" t="s">
        <v>37</v>
      </c>
      <c r="C188" s="1" t="s">
        <v>17</v>
      </c>
      <c r="D188" s="1">
        <v>48441</v>
      </c>
      <c r="E188" s="1">
        <v>4609</v>
      </c>
      <c r="F188" s="1">
        <v>34</v>
      </c>
      <c r="G188" s="13">
        <f>Table[[#This Row],[Return Value]]/Table[[#This Row],[Sell Value]]</f>
        <v>7.3768713386851816E-3</v>
      </c>
      <c r="H188" s="1" t="s">
        <v>3</v>
      </c>
      <c r="I188" s="1">
        <v>36</v>
      </c>
      <c r="J188" s="14">
        <f>Table[[#This Row],[Sell Value]]*Table[[#This Row],[Selling Price]]</f>
        <v>165924</v>
      </c>
      <c r="K188" s="1" t="s">
        <v>4</v>
      </c>
      <c r="L188" s="1" t="s">
        <v>35</v>
      </c>
      <c r="M188" s="1" t="s">
        <v>6</v>
      </c>
      <c r="N188" s="1">
        <v>0.2</v>
      </c>
      <c r="O188" s="1" t="s">
        <v>81</v>
      </c>
      <c r="P188" s="1" t="s">
        <v>62</v>
      </c>
    </row>
    <row r="189" spans="1:16" x14ac:dyDescent="0.25">
      <c r="A189" s="1">
        <v>240481122</v>
      </c>
      <c r="B189" s="1" t="s">
        <v>40</v>
      </c>
      <c r="C189" s="1" t="s">
        <v>17</v>
      </c>
      <c r="D189" s="1">
        <v>48125</v>
      </c>
      <c r="E189" s="1">
        <v>1255</v>
      </c>
      <c r="F189" s="1">
        <v>49</v>
      </c>
      <c r="G189" s="13">
        <f>Table[[#This Row],[Return Value]]/Table[[#This Row],[Sell Value]]</f>
        <v>3.9043824701195218E-2</v>
      </c>
      <c r="H189" s="1" t="s">
        <v>28</v>
      </c>
      <c r="I189" s="1">
        <v>45</v>
      </c>
      <c r="J189" s="14">
        <f>Table[[#This Row],[Sell Value]]*Table[[#This Row],[Selling Price]]</f>
        <v>56475</v>
      </c>
      <c r="K189" s="1" t="s">
        <v>4</v>
      </c>
      <c r="L189" s="1" t="s">
        <v>38</v>
      </c>
      <c r="M189" s="1" t="s">
        <v>33</v>
      </c>
      <c r="N189" s="1">
        <v>0.2</v>
      </c>
      <c r="O189" s="1" t="s">
        <v>81</v>
      </c>
      <c r="P189" s="1" t="s">
        <v>58</v>
      </c>
    </row>
    <row r="190" spans="1:16" x14ac:dyDescent="0.25">
      <c r="A190" s="1">
        <v>130130162</v>
      </c>
      <c r="B190" s="1" t="s">
        <v>42</v>
      </c>
      <c r="C190" s="1" t="s">
        <v>2</v>
      </c>
      <c r="D190" s="1">
        <v>48487</v>
      </c>
      <c r="E190" s="1">
        <v>1346</v>
      </c>
      <c r="F190" s="1">
        <v>44</v>
      </c>
      <c r="G190" s="13">
        <f>Table[[#This Row],[Return Value]]/Table[[#This Row],[Sell Value]]</f>
        <v>3.2689450222882617E-2</v>
      </c>
      <c r="H190" s="1" t="s">
        <v>3</v>
      </c>
      <c r="I190" s="1">
        <v>24</v>
      </c>
      <c r="J190" s="14">
        <f>Table[[#This Row],[Sell Value]]*Table[[#This Row],[Selling Price]]</f>
        <v>32304</v>
      </c>
      <c r="K190" s="1" t="s">
        <v>4</v>
      </c>
      <c r="L190" s="1" t="s">
        <v>41</v>
      </c>
      <c r="M190" s="1" t="s">
        <v>44</v>
      </c>
      <c r="N190" s="1">
        <v>0.2</v>
      </c>
      <c r="O190" s="1" t="s">
        <v>81</v>
      </c>
      <c r="P190" s="1" t="s">
        <v>45</v>
      </c>
    </row>
    <row r="191" spans="1:16" x14ac:dyDescent="0.25">
      <c r="A191" s="1">
        <v>199544196</v>
      </c>
      <c r="B191" s="1" t="s">
        <v>46</v>
      </c>
      <c r="C191" s="1" t="s">
        <v>2</v>
      </c>
      <c r="D191" s="1">
        <v>48378</v>
      </c>
      <c r="E191" s="1">
        <v>1528</v>
      </c>
      <c r="F191" s="1">
        <v>36</v>
      </c>
      <c r="G191" s="13">
        <f>Table[[#This Row],[Return Value]]/Table[[#This Row],[Sell Value]]</f>
        <v>2.356020942408377E-2</v>
      </c>
      <c r="H191" s="1" t="s">
        <v>3</v>
      </c>
      <c r="I191" s="1">
        <v>39</v>
      </c>
      <c r="J191" s="14">
        <f>Table[[#This Row],[Sell Value]]*Table[[#This Row],[Selling Price]]</f>
        <v>59592</v>
      </c>
      <c r="K191" s="1" t="s">
        <v>4</v>
      </c>
      <c r="L191" s="1" t="s">
        <v>43</v>
      </c>
      <c r="M191" s="1" t="s">
        <v>26</v>
      </c>
      <c r="N191" s="1">
        <v>0.2</v>
      </c>
      <c r="O191" s="1" t="s">
        <v>81</v>
      </c>
      <c r="P191" s="1" t="s">
        <v>7</v>
      </c>
    </row>
    <row r="192" spans="1:16" x14ac:dyDescent="0.25">
      <c r="A192" s="1">
        <v>427939159</v>
      </c>
      <c r="B192" s="1" t="s">
        <v>50</v>
      </c>
      <c r="C192" s="1" t="s">
        <v>2</v>
      </c>
      <c r="D192" s="1">
        <v>48218</v>
      </c>
      <c r="E192" s="1">
        <v>2388</v>
      </c>
      <c r="F192" s="1">
        <v>43</v>
      </c>
      <c r="G192" s="13">
        <f>Table[[#This Row],[Return Value]]/Table[[#This Row],[Sell Value]]</f>
        <v>1.8006700167504188E-2</v>
      </c>
      <c r="H192" s="1" t="s">
        <v>3</v>
      </c>
      <c r="I192" s="1">
        <v>43</v>
      </c>
      <c r="J192" s="14">
        <f>Table[[#This Row],[Sell Value]]*Table[[#This Row],[Selling Price]]</f>
        <v>102684</v>
      </c>
      <c r="K192" s="1" t="s">
        <v>4</v>
      </c>
      <c r="L192" s="1" t="s">
        <v>47</v>
      </c>
      <c r="M192" s="1" t="s">
        <v>48</v>
      </c>
      <c r="N192" s="1">
        <v>0.2</v>
      </c>
      <c r="O192" s="1" t="s">
        <v>82</v>
      </c>
      <c r="P192" s="1" t="s">
        <v>66</v>
      </c>
    </row>
    <row r="193" spans="1:16" x14ac:dyDescent="0.25">
      <c r="A193" s="1">
        <v>259380121</v>
      </c>
      <c r="B193" s="1" t="s">
        <v>53</v>
      </c>
      <c r="C193" s="1" t="s">
        <v>2</v>
      </c>
      <c r="D193" s="1">
        <v>47768</v>
      </c>
      <c r="E193" s="1">
        <v>4014</v>
      </c>
      <c r="F193" s="1">
        <v>18</v>
      </c>
      <c r="G193" s="13">
        <f>Table[[#This Row],[Return Value]]/Table[[#This Row],[Sell Value]]</f>
        <v>4.4843049327354259E-3</v>
      </c>
      <c r="H193" s="1" t="s">
        <v>3</v>
      </c>
      <c r="I193" s="1">
        <v>22</v>
      </c>
      <c r="J193" s="14">
        <f>Table[[#This Row],[Sell Value]]*Table[[#This Row],[Selling Price]]</f>
        <v>88308</v>
      </c>
      <c r="K193" s="1" t="s">
        <v>4</v>
      </c>
      <c r="L193" s="1" t="s">
        <v>51</v>
      </c>
      <c r="M193" s="1" t="s">
        <v>26</v>
      </c>
      <c r="N193" s="1">
        <v>0.2</v>
      </c>
      <c r="O193" s="1" t="s">
        <v>82</v>
      </c>
      <c r="P193" s="1" t="s">
        <v>52</v>
      </c>
    </row>
    <row r="194" spans="1:16" x14ac:dyDescent="0.25">
      <c r="A194" s="1">
        <v>581267588</v>
      </c>
      <c r="B194" s="1" t="s">
        <v>56</v>
      </c>
      <c r="C194" s="1" t="s">
        <v>2</v>
      </c>
      <c r="D194" s="1">
        <v>48524</v>
      </c>
      <c r="E194" s="1">
        <v>3891</v>
      </c>
      <c r="F194" s="1">
        <v>47</v>
      </c>
      <c r="G194" s="13">
        <f>Table[[#This Row],[Return Value]]/Table[[#This Row],[Sell Value]]</f>
        <v>1.2079157029041377E-2</v>
      </c>
      <c r="H194" s="1" t="s">
        <v>3</v>
      </c>
      <c r="I194" s="1">
        <v>48</v>
      </c>
      <c r="J194" s="14">
        <f>Table[[#This Row],[Sell Value]]*Table[[#This Row],[Selling Price]]</f>
        <v>186768</v>
      </c>
      <c r="K194" s="1" t="s">
        <v>4</v>
      </c>
      <c r="L194" s="1" t="s">
        <v>54</v>
      </c>
      <c r="M194" s="1" t="s">
        <v>14</v>
      </c>
      <c r="N194" s="1">
        <v>0.2</v>
      </c>
      <c r="O194" s="1" t="s">
        <v>81</v>
      </c>
      <c r="P194" s="1" t="s">
        <v>58</v>
      </c>
    </row>
    <row r="195" spans="1:16" x14ac:dyDescent="0.25">
      <c r="A195" s="1">
        <v>287188357</v>
      </c>
      <c r="B195" s="1" t="s">
        <v>1</v>
      </c>
      <c r="C195" s="1" t="s">
        <v>2</v>
      </c>
      <c r="D195" s="1">
        <v>47712</v>
      </c>
      <c r="E195" s="1">
        <v>4471</v>
      </c>
      <c r="F195" s="1">
        <v>38</v>
      </c>
      <c r="G195" s="13">
        <f>Table[[#This Row],[Return Value]]/Table[[#This Row],[Sell Value]]</f>
        <v>8.4992171773652422E-3</v>
      </c>
      <c r="H195" s="1" t="s">
        <v>3</v>
      </c>
      <c r="I195" s="1">
        <v>34</v>
      </c>
      <c r="J195" s="14">
        <f>Table[[#This Row],[Sell Value]]*Table[[#This Row],[Selling Price]]</f>
        <v>152014</v>
      </c>
      <c r="K195" s="1" t="s">
        <v>4</v>
      </c>
      <c r="L195" s="1" t="s">
        <v>57</v>
      </c>
      <c r="M195" s="1" t="s">
        <v>44</v>
      </c>
      <c r="N195" s="1">
        <v>0.2</v>
      </c>
      <c r="O195" s="1" t="s">
        <v>81</v>
      </c>
      <c r="P195" s="1" t="s">
        <v>11</v>
      </c>
    </row>
    <row r="196" spans="1:16" x14ac:dyDescent="0.25">
      <c r="A196" s="1">
        <v>199261152</v>
      </c>
      <c r="B196" s="1" t="s">
        <v>8</v>
      </c>
      <c r="C196" s="1" t="s">
        <v>2</v>
      </c>
      <c r="D196" s="1">
        <v>47583</v>
      </c>
      <c r="E196" s="1">
        <v>1513</v>
      </c>
      <c r="F196" s="1">
        <v>14</v>
      </c>
      <c r="G196" s="13">
        <f>Table[[#This Row],[Return Value]]/Table[[#This Row],[Sell Value]]</f>
        <v>9.253139458030404E-3</v>
      </c>
      <c r="H196" s="1" t="s">
        <v>3</v>
      </c>
      <c r="I196" s="1">
        <v>22</v>
      </c>
      <c r="J196" s="14">
        <f>Table[[#This Row],[Sell Value]]*Table[[#This Row],[Selling Price]]</f>
        <v>33286</v>
      </c>
      <c r="K196" s="1" t="s">
        <v>4</v>
      </c>
      <c r="L196" s="1" t="s">
        <v>5</v>
      </c>
      <c r="M196" s="1" t="s">
        <v>22</v>
      </c>
      <c r="N196" s="1">
        <v>0.2</v>
      </c>
      <c r="O196" s="1" t="s">
        <v>81</v>
      </c>
      <c r="P196" s="1" t="s">
        <v>67</v>
      </c>
    </row>
    <row r="197" spans="1:16" x14ac:dyDescent="0.25">
      <c r="A197" s="1">
        <v>339035875</v>
      </c>
      <c r="B197" s="1" t="s">
        <v>12</v>
      </c>
      <c r="C197" s="1" t="s">
        <v>2</v>
      </c>
      <c r="D197" s="1">
        <v>48286</v>
      </c>
      <c r="E197" s="1">
        <v>2109</v>
      </c>
      <c r="F197" s="1">
        <v>18</v>
      </c>
      <c r="G197" s="13">
        <f>Table[[#This Row],[Return Value]]/Table[[#This Row],[Sell Value]]</f>
        <v>8.5348506401137988E-3</v>
      </c>
      <c r="H197" s="1" t="s">
        <v>3</v>
      </c>
      <c r="I197" s="1">
        <v>27</v>
      </c>
      <c r="J197" s="14">
        <f>Table[[#This Row],[Sell Value]]*Table[[#This Row],[Selling Price]]</f>
        <v>56943</v>
      </c>
      <c r="K197" s="1" t="s">
        <v>4</v>
      </c>
      <c r="L197" s="1" t="s">
        <v>9</v>
      </c>
      <c r="M197" s="1" t="s">
        <v>22</v>
      </c>
      <c r="N197" s="1">
        <v>0.2</v>
      </c>
      <c r="O197" s="1" t="s">
        <v>81</v>
      </c>
      <c r="P197" s="1" t="s">
        <v>65</v>
      </c>
    </row>
    <row r="198" spans="1:16" x14ac:dyDescent="0.25">
      <c r="A198" s="1">
        <v>870214267</v>
      </c>
      <c r="B198" s="1" t="s">
        <v>16</v>
      </c>
      <c r="C198" s="1" t="s">
        <v>17</v>
      </c>
      <c r="D198" s="1">
        <v>48176</v>
      </c>
      <c r="E198" s="1">
        <v>4609</v>
      </c>
      <c r="F198" s="1">
        <v>14</v>
      </c>
      <c r="G198" s="13">
        <f>Table[[#This Row],[Return Value]]/Table[[#This Row],[Sell Value]]</f>
        <v>3.0375352571056628E-3</v>
      </c>
      <c r="H198" s="1" t="s">
        <v>3</v>
      </c>
      <c r="I198" s="1">
        <v>22</v>
      </c>
      <c r="J198" s="14">
        <f>Table[[#This Row],[Sell Value]]*Table[[#This Row],[Selling Price]]</f>
        <v>101398</v>
      </c>
      <c r="K198" s="1" t="s">
        <v>4</v>
      </c>
      <c r="L198" s="1" t="s">
        <v>13</v>
      </c>
      <c r="M198" s="1" t="s">
        <v>61</v>
      </c>
      <c r="N198" s="1">
        <v>0.2</v>
      </c>
      <c r="O198" s="1" t="s">
        <v>82</v>
      </c>
      <c r="P198" s="1" t="s">
        <v>31</v>
      </c>
    </row>
    <row r="199" spans="1:16" x14ac:dyDescent="0.25">
      <c r="A199" s="1">
        <v>896070755</v>
      </c>
      <c r="B199" s="1" t="s">
        <v>20</v>
      </c>
      <c r="C199" s="1" t="s">
        <v>17</v>
      </c>
      <c r="D199" s="1">
        <v>47581</v>
      </c>
      <c r="E199" s="1">
        <v>2185</v>
      </c>
      <c r="F199" s="1">
        <v>33</v>
      </c>
      <c r="G199" s="13">
        <f>Table[[#This Row],[Return Value]]/Table[[#This Row],[Sell Value]]</f>
        <v>1.5102974828375287E-2</v>
      </c>
      <c r="H199" s="1" t="s">
        <v>3</v>
      </c>
      <c r="I199" s="1">
        <v>48</v>
      </c>
      <c r="J199" s="14">
        <f>Table[[#This Row],[Sell Value]]*Table[[#This Row],[Selling Price]]</f>
        <v>104880</v>
      </c>
      <c r="K199" s="1" t="s">
        <v>4</v>
      </c>
      <c r="L199" s="1" t="s">
        <v>18</v>
      </c>
      <c r="M199" s="1" t="s">
        <v>61</v>
      </c>
      <c r="N199" s="1">
        <v>0.2</v>
      </c>
      <c r="O199" s="1" t="s">
        <v>82</v>
      </c>
      <c r="P199" s="1" t="s">
        <v>65</v>
      </c>
    </row>
    <row r="200" spans="1:16" x14ac:dyDescent="0.25">
      <c r="A200" s="1">
        <v>46912151</v>
      </c>
      <c r="B200" s="1" t="s">
        <v>24</v>
      </c>
      <c r="C200" s="1" t="s">
        <v>2</v>
      </c>
      <c r="D200" s="1">
        <v>47620</v>
      </c>
      <c r="E200" s="1">
        <v>4674</v>
      </c>
      <c r="F200" s="1">
        <v>50</v>
      </c>
      <c r="G200" s="13">
        <f>Table[[#This Row],[Return Value]]/Table[[#This Row],[Sell Value]]</f>
        <v>1.069747539580659E-2</v>
      </c>
      <c r="H200" s="1" t="s">
        <v>3</v>
      </c>
      <c r="I200" s="1">
        <v>31</v>
      </c>
      <c r="J200" s="14">
        <f>Table[[#This Row],[Sell Value]]*Table[[#This Row],[Selling Price]]</f>
        <v>144894</v>
      </c>
      <c r="K200" s="1" t="s">
        <v>4</v>
      </c>
      <c r="L200" s="1" t="s">
        <v>21</v>
      </c>
      <c r="M200" s="1" t="s">
        <v>61</v>
      </c>
      <c r="N200" s="1">
        <v>0.2</v>
      </c>
      <c r="O200" s="1" t="s">
        <v>81</v>
      </c>
      <c r="P200" s="1" t="s">
        <v>65</v>
      </c>
    </row>
    <row r="201" spans="1:16" x14ac:dyDescent="0.25">
      <c r="A201" s="1">
        <v>489021096</v>
      </c>
      <c r="B201" s="1" t="s">
        <v>27</v>
      </c>
      <c r="C201" s="1" t="s">
        <v>2</v>
      </c>
      <c r="D201" s="1">
        <v>48472</v>
      </c>
      <c r="E201" s="1">
        <v>1650</v>
      </c>
      <c r="F201" s="1">
        <v>37</v>
      </c>
      <c r="G201" s="13">
        <f>Table[[#This Row],[Return Value]]/Table[[#This Row],[Sell Value]]</f>
        <v>2.2424242424242423E-2</v>
      </c>
      <c r="H201" s="1" t="s">
        <v>3</v>
      </c>
      <c r="I201" s="1">
        <v>29</v>
      </c>
      <c r="J201" s="14">
        <f>Table[[#This Row],[Sell Value]]*Table[[#This Row],[Selling Price]]</f>
        <v>47850</v>
      </c>
      <c r="K201" s="1" t="s">
        <v>4</v>
      </c>
      <c r="L201" s="1" t="s">
        <v>25</v>
      </c>
      <c r="M201" s="1" t="s">
        <v>44</v>
      </c>
      <c r="N201" s="1">
        <v>0.2</v>
      </c>
      <c r="O201" s="1" t="s">
        <v>82</v>
      </c>
      <c r="P201" s="1" t="s">
        <v>66</v>
      </c>
    </row>
    <row r="202" spans="1:16" x14ac:dyDescent="0.25">
      <c r="A202" s="1">
        <v>449012743</v>
      </c>
      <c r="B202" s="1" t="s">
        <v>32</v>
      </c>
      <c r="C202" s="1" t="s">
        <v>17</v>
      </c>
      <c r="D202" s="1">
        <v>48162</v>
      </c>
      <c r="E202" s="1">
        <v>3109</v>
      </c>
      <c r="F202" s="1">
        <v>39</v>
      </c>
      <c r="G202" s="13">
        <f>Table[[#This Row],[Return Value]]/Table[[#This Row],[Sell Value]]</f>
        <v>1.2544226439369572E-2</v>
      </c>
      <c r="H202" s="1" t="s">
        <v>3</v>
      </c>
      <c r="I202" s="1">
        <v>39</v>
      </c>
      <c r="J202" s="14">
        <f>Table[[#This Row],[Sell Value]]*Table[[#This Row],[Selling Price]]</f>
        <v>121251</v>
      </c>
      <c r="K202" s="1" t="s">
        <v>4</v>
      </c>
      <c r="L202" s="1" t="s">
        <v>29</v>
      </c>
      <c r="M202" s="1" t="s">
        <v>59</v>
      </c>
      <c r="N202" s="1">
        <v>0.2</v>
      </c>
      <c r="O202" s="1" t="s">
        <v>82</v>
      </c>
      <c r="P202" s="1" t="s">
        <v>62</v>
      </c>
    </row>
    <row r="203" spans="1:16" x14ac:dyDescent="0.25">
      <c r="A203" s="1">
        <v>514710715</v>
      </c>
      <c r="B203" s="1" t="s">
        <v>34</v>
      </c>
      <c r="C203" s="1" t="s">
        <v>2</v>
      </c>
      <c r="D203" s="1">
        <v>48116</v>
      </c>
      <c r="E203" s="1">
        <v>2377</v>
      </c>
      <c r="F203" s="1">
        <v>46</v>
      </c>
      <c r="G203" s="13">
        <f>Table[[#This Row],[Return Value]]/Table[[#This Row],[Sell Value]]</f>
        <v>1.9352124526714348E-2</v>
      </c>
      <c r="H203" s="1" t="s">
        <v>3</v>
      </c>
      <c r="I203" s="1">
        <v>32</v>
      </c>
      <c r="J203" s="14">
        <f>Table[[#This Row],[Sell Value]]*Table[[#This Row],[Selling Price]]</f>
        <v>76064</v>
      </c>
      <c r="K203" s="1" t="s">
        <v>4</v>
      </c>
      <c r="L203" s="1" t="s">
        <v>29</v>
      </c>
      <c r="M203" s="1" t="s">
        <v>48</v>
      </c>
      <c r="N203" s="1">
        <v>0.2</v>
      </c>
      <c r="O203" s="1" t="s">
        <v>81</v>
      </c>
      <c r="P203" s="1" t="s">
        <v>63</v>
      </c>
    </row>
    <row r="204" spans="1:16" x14ac:dyDescent="0.25">
      <c r="A204" s="1">
        <v>623067664</v>
      </c>
      <c r="B204" s="1" t="s">
        <v>37</v>
      </c>
      <c r="C204" s="1" t="s">
        <v>17</v>
      </c>
      <c r="D204" s="1">
        <v>48120</v>
      </c>
      <c r="E204" s="1">
        <v>2154</v>
      </c>
      <c r="F204" s="1">
        <v>14</v>
      </c>
      <c r="G204" s="13">
        <f>Table[[#This Row],[Return Value]]/Table[[#This Row],[Sell Value]]</f>
        <v>6.4995357474466105E-3</v>
      </c>
      <c r="H204" s="1" t="s">
        <v>3</v>
      </c>
      <c r="I204" s="1">
        <v>29</v>
      </c>
      <c r="J204" s="14">
        <f>Table[[#This Row],[Sell Value]]*Table[[#This Row],[Selling Price]]</f>
        <v>62466</v>
      </c>
      <c r="K204" s="1" t="s">
        <v>4</v>
      </c>
      <c r="L204" s="1" t="s">
        <v>35</v>
      </c>
      <c r="M204" s="1" t="s">
        <v>30</v>
      </c>
      <c r="N204" s="1">
        <v>0.2</v>
      </c>
      <c r="O204" s="1" t="s">
        <v>82</v>
      </c>
      <c r="P204" s="1" t="s">
        <v>39</v>
      </c>
    </row>
    <row r="205" spans="1:16" x14ac:dyDescent="0.25">
      <c r="A205" s="1">
        <v>6352290</v>
      </c>
      <c r="B205" s="1" t="s">
        <v>40</v>
      </c>
      <c r="C205" s="1" t="s">
        <v>17</v>
      </c>
      <c r="D205" s="1">
        <v>47598</v>
      </c>
      <c r="E205" s="1">
        <v>4480</v>
      </c>
      <c r="F205" s="1">
        <v>46</v>
      </c>
      <c r="G205" s="13">
        <f>Table[[#This Row],[Return Value]]/Table[[#This Row],[Sell Value]]</f>
        <v>1.0267857142857143E-2</v>
      </c>
      <c r="H205" s="1" t="s">
        <v>3</v>
      </c>
      <c r="I205" s="1">
        <v>32</v>
      </c>
      <c r="J205" s="14">
        <f>Table[[#This Row],[Sell Value]]*Table[[#This Row],[Selling Price]]</f>
        <v>143360</v>
      </c>
      <c r="K205" s="1" t="s">
        <v>4</v>
      </c>
      <c r="L205" s="1" t="s">
        <v>38</v>
      </c>
      <c r="M205" s="1" t="s">
        <v>33</v>
      </c>
      <c r="N205" s="1">
        <v>0.2</v>
      </c>
      <c r="O205" s="1" t="s">
        <v>81</v>
      </c>
      <c r="P205" s="1" t="s">
        <v>66</v>
      </c>
    </row>
    <row r="206" spans="1:16" x14ac:dyDescent="0.25">
      <c r="A206" s="1">
        <v>391720483</v>
      </c>
      <c r="B206" s="1" t="s">
        <v>42</v>
      </c>
      <c r="C206" s="1" t="s">
        <v>2</v>
      </c>
      <c r="D206" s="1">
        <v>47700</v>
      </c>
      <c r="E206" s="1">
        <v>4111</v>
      </c>
      <c r="F206" s="1">
        <v>23</v>
      </c>
      <c r="G206" s="13">
        <f>Table[[#This Row],[Return Value]]/Table[[#This Row],[Sell Value]]</f>
        <v>5.5947458039406466E-3</v>
      </c>
      <c r="H206" s="1" t="s">
        <v>3</v>
      </c>
      <c r="I206" s="1">
        <v>20</v>
      </c>
      <c r="J206" s="14">
        <f>Table[[#This Row],[Sell Value]]*Table[[#This Row],[Selling Price]]</f>
        <v>82220</v>
      </c>
      <c r="K206" s="1" t="s">
        <v>4</v>
      </c>
      <c r="L206" s="1" t="s">
        <v>41</v>
      </c>
      <c r="M206" s="1" t="s">
        <v>22</v>
      </c>
      <c r="N206" s="1">
        <v>0.2</v>
      </c>
      <c r="O206" s="1" t="s">
        <v>82</v>
      </c>
      <c r="P206" s="1" t="s">
        <v>49</v>
      </c>
    </row>
    <row r="207" spans="1:16" x14ac:dyDescent="0.25">
      <c r="A207" s="1">
        <v>122717259</v>
      </c>
      <c r="B207" s="1" t="s">
        <v>46</v>
      </c>
      <c r="C207" s="1" t="s">
        <v>2</v>
      </c>
      <c r="D207" s="1">
        <v>47602</v>
      </c>
      <c r="E207" s="1">
        <v>4160</v>
      </c>
      <c r="F207" s="1">
        <v>47</v>
      </c>
      <c r="G207" s="13">
        <f>Table[[#This Row],[Return Value]]/Table[[#This Row],[Sell Value]]</f>
        <v>1.1298076923076923E-2</v>
      </c>
      <c r="H207" s="1" t="s">
        <v>3</v>
      </c>
      <c r="I207" s="1">
        <v>25</v>
      </c>
      <c r="J207" s="14">
        <f>Table[[#This Row],[Sell Value]]*Table[[#This Row],[Selling Price]]</f>
        <v>104000</v>
      </c>
      <c r="K207" s="1" t="s">
        <v>4</v>
      </c>
      <c r="L207" s="1" t="s">
        <v>43</v>
      </c>
      <c r="M207" s="1" t="s">
        <v>14</v>
      </c>
      <c r="N207" s="1">
        <v>0.2</v>
      </c>
      <c r="O207" s="1" t="s">
        <v>82</v>
      </c>
      <c r="P207" s="1" t="s">
        <v>66</v>
      </c>
    </row>
    <row r="208" spans="1:16" x14ac:dyDescent="0.25">
      <c r="A208" s="1">
        <v>816960991</v>
      </c>
      <c r="B208" s="1" t="s">
        <v>50</v>
      </c>
      <c r="C208" s="1" t="s">
        <v>2</v>
      </c>
      <c r="D208" s="1">
        <v>47629</v>
      </c>
      <c r="E208" s="1">
        <v>4162</v>
      </c>
      <c r="F208" s="1">
        <v>22</v>
      </c>
      <c r="G208" s="13">
        <f>Table[[#This Row],[Return Value]]/Table[[#This Row],[Sell Value]]</f>
        <v>5.2859202306583374E-3</v>
      </c>
      <c r="H208" s="1" t="s">
        <v>3</v>
      </c>
      <c r="I208" s="1">
        <v>49</v>
      </c>
      <c r="J208" s="14">
        <f>Table[[#This Row],[Sell Value]]*Table[[#This Row],[Selling Price]]</f>
        <v>203938</v>
      </c>
      <c r="K208" s="1" t="s">
        <v>4</v>
      </c>
      <c r="L208" s="1" t="s">
        <v>47</v>
      </c>
      <c r="M208" s="1" t="s">
        <v>6</v>
      </c>
      <c r="N208" s="1">
        <v>0.2</v>
      </c>
      <c r="O208" s="1" t="s">
        <v>81</v>
      </c>
      <c r="P208" s="1" t="s">
        <v>65</v>
      </c>
    </row>
    <row r="209" spans="1:16" x14ac:dyDescent="0.25">
      <c r="A209" s="1">
        <v>429407385</v>
      </c>
      <c r="B209" s="1" t="s">
        <v>53</v>
      </c>
      <c r="C209" s="1" t="s">
        <v>2</v>
      </c>
      <c r="D209" s="1">
        <v>47915</v>
      </c>
      <c r="E209" s="1">
        <v>4466</v>
      </c>
      <c r="F209" s="1">
        <v>28</v>
      </c>
      <c r="G209" s="13">
        <f>Table[[#This Row],[Return Value]]/Table[[#This Row],[Sell Value]]</f>
        <v>6.269592476489028E-3</v>
      </c>
      <c r="H209" s="1" t="s">
        <v>3</v>
      </c>
      <c r="I209" s="1">
        <v>40</v>
      </c>
      <c r="J209" s="14">
        <f>Table[[#This Row],[Sell Value]]*Table[[#This Row],[Selling Price]]</f>
        <v>178640</v>
      </c>
      <c r="K209" s="1" t="s">
        <v>4</v>
      </c>
      <c r="L209" s="1" t="s">
        <v>51</v>
      </c>
      <c r="M209" s="1" t="s">
        <v>10</v>
      </c>
      <c r="N209" s="1">
        <v>0.2</v>
      </c>
      <c r="O209" s="1" t="s">
        <v>81</v>
      </c>
      <c r="P209" s="1" t="s">
        <v>67</v>
      </c>
    </row>
    <row r="210" spans="1:16" x14ac:dyDescent="0.25">
      <c r="A210" s="1">
        <v>989830365</v>
      </c>
      <c r="B210" s="1" t="s">
        <v>56</v>
      </c>
      <c r="C210" s="1" t="s">
        <v>2</v>
      </c>
      <c r="D210" s="1">
        <v>47986</v>
      </c>
      <c r="E210" s="1">
        <v>1220</v>
      </c>
      <c r="F210" s="1">
        <v>10</v>
      </c>
      <c r="G210" s="13">
        <f>Table[[#This Row],[Return Value]]/Table[[#This Row],[Sell Value]]</f>
        <v>8.1967213114754103E-3</v>
      </c>
      <c r="H210" s="1" t="s">
        <v>3</v>
      </c>
      <c r="I210" s="1">
        <v>49</v>
      </c>
      <c r="J210" s="14">
        <f>Table[[#This Row],[Sell Value]]*Table[[#This Row],[Selling Price]]</f>
        <v>59780</v>
      </c>
      <c r="K210" s="1" t="s">
        <v>4</v>
      </c>
      <c r="L210" s="1" t="s">
        <v>54</v>
      </c>
      <c r="M210" s="1" t="s">
        <v>14</v>
      </c>
      <c r="N210" s="1">
        <v>0.2</v>
      </c>
      <c r="O210" s="1" t="s">
        <v>81</v>
      </c>
      <c r="P210" s="1" t="s">
        <v>67</v>
      </c>
    </row>
    <row r="211" spans="1:16" x14ac:dyDescent="0.25">
      <c r="A211" s="1">
        <v>142136793</v>
      </c>
      <c r="B211" s="1" t="s">
        <v>1</v>
      </c>
      <c r="C211" s="1" t="s">
        <v>2</v>
      </c>
      <c r="D211" s="1">
        <v>47876</v>
      </c>
      <c r="E211" s="1">
        <v>3544</v>
      </c>
      <c r="F211" s="1">
        <v>30</v>
      </c>
      <c r="G211" s="13">
        <f>Table[[#This Row],[Return Value]]/Table[[#This Row],[Sell Value]]</f>
        <v>8.4650112866817163E-3</v>
      </c>
      <c r="H211" s="1" t="s">
        <v>3</v>
      </c>
      <c r="I211" s="1">
        <v>46</v>
      </c>
      <c r="J211" s="14">
        <f>Table[[#This Row],[Sell Value]]*Table[[#This Row],[Selling Price]]</f>
        <v>163024</v>
      </c>
      <c r="K211" s="1" t="s">
        <v>4</v>
      </c>
      <c r="L211" s="1" t="s">
        <v>57</v>
      </c>
      <c r="M211" s="1" t="s">
        <v>10</v>
      </c>
      <c r="N211" s="1">
        <v>0.2</v>
      </c>
      <c r="O211" s="1" t="s">
        <v>81</v>
      </c>
      <c r="P211" s="1" t="s">
        <v>60</v>
      </c>
    </row>
    <row r="212" spans="1:16" x14ac:dyDescent="0.25">
      <c r="A212" s="1">
        <v>810311764</v>
      </c>
      <c r="B212" s="1" t="s">
        <v>8</v>
      </c>
      <c r="C212" s="1" t="s">
        <v>2</v>
      </c>
      <c r="D212" s="1">
        <v>47630</v>
      </c>
      <c r="E212" s="1">
        <v>3030</v>
      </c>
      <c r="F212" s="1">
        <v>21</v>
      </c>
      <c r="G212" s="13">
        <f>Table[[#This Row],[Return Value]]/Table[[#This Row],[Sell Value]]</f>
        <v>6.9306930693069308E-3</v>
      </c>
      <c r="H212" s="1" t="s">
        <v>28</v>
      </c>
      <c r="I212" s="1">
        <v>31</v>
      </c>
      <c r="J212" s="14">
        <f>Table[[#This Row],[Sell Value]]*Table[[#This Row],[Selling Price]]</f>
        <v>93930</v>
      </c>
      <c r="K212" s="1" t="s">
        <v>4</v>
      </c>
      <c r="L212" s="1" t="s">
        <v>5</v>
      </c>
      <c r="M212" s="1" t="s">
        <v>59</v>
      </c>
      <c r="N212" s="1">
        <v>0.2</v>
      </c>
      <c r="O212" s="1" t="s">
        <v>81</v>
      </c>
      <c r="P212" s="1" t="s">
        <v>36</v>
      </c>
    </row>
    <row r="213" spans="1:16" x14ac:dyDescent="0.25">
      <c r="A213" s="1">
        <v>105671652</v>
      </c>
      <c r="B213" s="1" t="s">
        <v>12</v>
      </c>
      <c r="C213" s="1" t="s">
        <v>2</v>
      </c>
      <c r="D213" s="1">
        <v>47580</v>
      </c>
      <c r="E213" s="1">
        <v>4159</v>
      </c>
      <c r="F213" s="1">
        <v>38</v>
      </c>
      <c r="G213" s="13">
        <f>Table[[#This Row],[Return Value]]/Table[[#This Row],[Sell Value]]</f>
        <v>9.1368117335898051E-3</v>
      </c>
      <c r="H213" s="1" t="s">
        <v>3</v>
      </c>
      <c r="I213" s="1">
        <v>46</v>
      </c>
      <c r="J213" s="14">
        <f>Table[[#This Row],[Sell Value]]*Table[[#This Row],[Selling Price]]</f>
        <v>191314</v>
      </c>
      <c r="K213" s="1" t="s">
        <v>4</v>
      </c>
      <c r="L213" s="1" t="s">
        <v>9</v>
      </c>
      <c r="M213" s="1" t="s">
        <v>44</v>
      </c>
      <c r="N213" s="1">
        <v>0.2</v>
      </c>
      <c r="O213" s="1" t="s">
        <v>82</v>
      </c>
      <c r="P213" s="1" t="s">
        <v>52</v>
      </c>
    </row>
    <row r="214" spans="1:16" x14ac:dyDescent="0.25">
      <c r="A214" s="1">
        <v>551212865</v>
      </c>
      <c r="B214" s="1" t="s">
        <v>16</v>
      </c>
      <c r="C214" s="1" t="s">
        <v>17</v>
      </c>
      <c r="D214" s="1">
        <v>48571</v>
      </c>
      <c r="E214" s="1">
        <v>1000</v>
      </c>
      <c r="F214" s="1">
        <v>11</v>
      </c>
      <c r="G214" s="13">
        <f>Table[[#This Row],[Return Value]]/Table[[#This Row],[Sell Value]]</f>
        <v>1.0999999999999999E-2</v>
      </c>
      <c r="H214" s="1" t="s">
        <v>3</v>
      </c>
      <c r="I214" s="1">
        <v>34</v>
      </c>
      <c r="J214" s="14">
        <f>Table[[#This Row],[Sell Value]]*Table[[#This Row],[Selling Price]]</f>
        <v>34000</v>
      </c>
      <c r="K214" s="1" t="s">
        <v>4</v>
      </c>
      <c r="L214" s="1" t="s">
        <v>13</v>
      </c>
      <c r="M214" s="1" t="s">
        <v>33</v>
      </c>
      <c r="N214" s="1">
        <v>0.2</v>
      </c>
      <c r="O214" s="1" t="s">
        <v>82</v>
      </c>
      <c r="P214" s="1" t="s">
        <v>66</v>
      </c>
    </row>
    <row r="215" spans="1:16" x14ac:dyDescent="0.25">
      <c r="A215" s="1">
        <v>794964429</v>
      </c>
      <c r="B215" s="1" t="s">
        <v>20</v>
      </c>
      <c r="C215" s="1" t="s">
        <v>17</v>
      </c>
      <c r="D215" s="1">
        <v>47637</v>
      </c>
      <c r="E215" s="1">
        <v>3786</v>
      </c>
      <c r="F215" s="1">
        <v>48</v>
      </c>
      <c r="G215" s="13">
        <f>Table[[#This Row],[Return Value]]/Table[[#This Row],[Sell Value]]</f>
        <v>1.2678288431061807E-2</v>
      </c>
      <c r="H215" s="1" t="s">
        <v>3</v>
      </c>
      <c r="I215" s="1">
        <v>24</v>
      </c>
      <c r="J215" s="14">
        <f>Table[[#This Row],[Sell Value]]*Table[[#This Row],[Selling Price]]</f>
        <v>90864</v>
      </c>
      <c r="K215" s="1" t="s">
        <v>4</v>
      </c>
      <c r="L215" s="1" t="s">
        <v>18</v>
      </c>
      <c r="M215" s="1" t="s">
        <v>30</v>
      </c>
      <c r="N215" s="1">
        <v>0.2</v>
      </c>
      <c r="O215" s="1" t="s">
        <v>82</v>
      </c>
      <c r="P215" s="1" t="s">
        <v>7</v>
      </c>
    </row>
    <row r="216" spans="1:16" x14ac:dyDescent="0.25">
      <c r="A216" s="1">
        <v>902392592</v>
      </c>
      <c r="B216" s="1" t="s">
        <v>24</v>
      </c>
      <c r="C216" s="1" t="s">
        <v>2</v>
      </c>
      <c r="D216" s="1">
        <v>47717</v>
      </c>
      <c r="E216" s="1">
        <v>2824</v>
      </c>
      <c r="F216" s="1">
        <v>17</v>
      </c>
      <c r="G216" s="13">
        <f>Table[[#This Row],[Return Value]]/Table[[#This Row],[Sell Value]]</f>
        <v>6.0198300283286115E-3</v>
      </c>
      <c r="H216" s="1" t="s">
        <v>3</v>
      </c>
      <c r="I216" s="1">
        <v>32</v>
      </c>
      <c r="J216" s="14">
        <f>Table[[#This Row],[Sell Value]]*Table[[#This Row],[Selling Price]]</f>
        <v>90368</v>
      </c>
      <c r="K216" s="1" t="s">
        <v>4</v>
      </c>
      <c r="L216" s="1" t="s">
        <v>21</v>
      </c>
      <c r="M216" s="1" t="s">
        <v>44</v>
      </c>
      <c r="N216" s="1">
        <v>0.2</v>
      </c>
      <c r="O216" s="1" t="s">
        <v>82</v>
      </c>
      <c r="P216" s="1" t="s">
        <v>31</v>
      </c>
    </row>
    <row r="217" spans="1:16" x14ac:dyDescent="0.25">
      <c r="A217" s="1">
        <v>488894497</v>
      </c>
      <c r="B217" s="1" t="s">
        <v>27</v>
      </c>
      <c r="C217" s="1" t="s">
        <v>2</v>
      </c>
      <c r="D217" s="1">
        <v>48452</v>
      </c>
      <c r="E217" s="1">
        <v>2173</v>
      </c>
      <c r="F217" s="1">
        <v>39</v>
      </c>
      <c r="G217" s="13">
        <f>Table[[#This Row],[Return Value]]/Table[[#This Row],[Sell Value]]</f>
        <v>1.7947537965945698E-2</v>
      </c>
      <c r="H217" s="1" t="s">
        <v>3</v>
      </c>
      <c r="I217" s="1">
        <v>37</v>
      </c>
      <c r="J217" s="14">
        <f>Table[[#This Row],[Sell Value]]*Table[[#This Row],[Selling Price]]</f>
        <v>80401</v>
      </c>
      <c r="K217" s="1" t="s">
        <v>4</v>
      </c>
      <c r="L217" s="1" t="s">
        <v>25</v>
      </c>
      <c r="M217" s="1" t="s">
        <v>59</v>
      </c>
      <c r="N217" s="1">
        <v>0.2</v>
      </c>
      <c r="O217" s="1" t="s">
        <v>81</v>
      </c>
      <c r="P217" s="1" t="s">
        <v>31</v>
      </c>
    </row>
    <row r="218" spans="1:16" x14ac:dyDescent="0.25">
      <c r="A218" s="1">
        <v>449767153</v>
      </c>
      <c r="B218" s="1" t="s">
        <v>32</v>
      </c>
      <c r="C218" s="1" t="s">
        <v>17</v>
      </c>
      <c r="D218" s="1">
        <v>47635</v>
      </c>
      <c r="E218" s="1">
        <v>2940</v>
      </c>
      <c r="F218" s="1">
        <v>35</v>
      </c>
      <c r="G218" s="13">
        <f>Table[[#This Row],[Return Value]]/Table[[#This Row],[Sell Value]]</f>
        <v>1.1904761904761904E-2</v>
      </c>
      <c r="H218" s="1" t="s">
        <v>3</v>
      </c>
      <c r="I218" s="1">
        <v>31</v>
      </c>
      <c r="J218" s="14">
        <f>Table[[#This Row],[Sell Value]]*Table[[#This Row],[Selling Price]]</f>
        <v>91140</v>
      </c>
      <c r="K218" s="1" t="s">
        <v>4</v>
      </c>
      <c r="L218" s="1" t="s">
        <v>29</v>
      </c>
      <c r="M218" s="1" t="s">
        <v>14</v>
      </c>
      <c r="N218" s="1">
        <v>0.2</v>
      </c>
      <c r="O218" s="1" t="s">
        <v>81</v>
      </c>
      <c r="P218" s="1" t="s">
        <v>60</v>
      </c>
    </row>
    <row r="219" spans="1:16" x14ac:dyDescent="0.25">
      <c r="A219" s="1">
        <v>244672945</v>
      </c>
      <c r="B219" s="1" t="s">
        <v>34</v>
      </c>
      <c r="C219" s="1" t="s">
        <v>2</v>
      </c>
      <c r="D219" s="1">
        <v>47841</v>
      </c>
      <c r="E219" s="1">
        <v>1952</v>
      </c>
      <c r="F219" s="1">
        <v>12</v>
      </c>
      <c r="G219" s="13">
        <f>Table[[#This Row],[Return Value]]/Table[[#This Row],[Sell Value]]</f>
        <v>6.1475409836065573E-3</v>
      </c>
      <c r="H219" s="1" t="s">
        <v>3</v>
      </c>
      <c r="I219" s="1">
        <v>22</v>
      </c>
      <c r="J219" s="14">
        <f>Table[[#This Row],[Sell Value]]*Table[[#This Row],[Selling Price]]</f>
        <v>42944</v>
      </c>
      <c r="K219" s="1" t="s">
        <v>4</v>
      </c>
      <c r="L219" s="1" t="s">
        <v>29</v>
      </c>
      <c r="M219" s="1" t="s">
        <v>26</v>
      </c>
      <c r="N219" s="1">
        <v>0.2</v>
      </c>
      <c r="O219" s="1" t="s">
        <v>82</v>
      </c>
      <c r="P219" s="1" t="s">
        <v>45</v>
      </c>
    </row>
    <row r="220" spans="1:16" x14ac:dyDescent="0.25">
      <c r="A220" s="1">
        <v>543840471</v>
      </c>
      <c r="B220" s="1" t="s">
        <v>37</v>
      </c>
      <c r="C220" s="1" t="s">
        <v>17</v>
      </c>
      <c r="D220" s="1">
        <v>48553</v>
      </c>
      <c r="E220" s="1">
        <v>2212</v>
      </c>
      <c r="F220" s="1">
        <v>16</v>
      </c>
      <c r="G220" s="13">
        <f>Table[[#This Row],[Return Value]]/Table[[#This Row],[Sell Value]]</f>
        <v>7.2332730560578659E-3</v>
      </c>
      <c r="H220" s="1" t="s">
        <v>3</v>
      </c>
      <c r="I220" s="1">
        <v>34</v>
      </c>
      <c r="J220" s="14">
        <f>Table[[#This Row],[Sell Value]]*Table[[#This Row],[Selling Price]]</f>
        <v>75208</v>
      </c>
      <c r="K220" s="1" t="s">
        <v>4</v>
      </c>
      <c r="L220" s="1" t="s">
        <v>35</v>
      </c>
      <c r="M220" s="1" t="s">
        <v>33</v>
      </c>
      <c r="N220" s="1">
        <v>0.2</v>
      </c>
      <c r="O220" s="1" t="s">
        <v>82</v>
      </c>
      <c r="P220" s="1" t="s">
        <v>15</v>
      </c>
    </row>
    <row r="221" spans="1:16" x14ac:dyDescent="0.25">
      <c r="A221" s="1">
        <v>201257872</v>
      </c>
      <c r="B221" s="1" t="s">
        <v>40</v>
      </c>
      <c r="C221" s="1" t="s">
        <v>17</v>
      </c>
      <c r="D221" s="1">
        <v>47611</v>
      </c>
      <c r="E221" s="1">
        <v>3361</v>
      </c>
      <c r="F221" s="1">
        <v>37</v>
      </c>
      <c r="G221" s="13">
        <f>Table[[#This Row],[Return Value]]/Table[[#This Row],[Sell Value]]</f>
        <v>1.1008628384409401E-2</v>
      </c>
      <c r="H221" s="1" t="s">
        <v>3</v>
      </c>
      <c r="I221" s="1">
        <v>37</v>
      </c>
      <c r="J221" s="14">
        <f>Table[[#This Row],[Sell Value]]*Table[[#This Row],[Selling Price]]</f>
        <v>124357</v>
      </c>
      <c r="K221" s="1" t="s">
        <v>4</v>
      </c>
      <c r="L221" s="1" t="s">
        <v>38</v>
      </c>
      <c r="M221" s="1" t="s">
        <v>59</v>
      </c>
      <c r="N221" s="1">
        <v>0.2</v>
      </c>
      <c r="O221" s="1" t="s">
        <v>82</v>
      </c>
      <c r="P221" s="1" t="s">
        <v>58</v>
      </c>
    </row>
    <row r="222" spans="1:16" x14ac:dyDescent="0.25">
      <c r="A222" s="1">
        <v>810895889</v>
      </c>
      <c r="B222" s="1" t="s">
        <v>42</v>
      </c>
      <c r="C222" s="1" t="s">
        <v>2</v>
      </c>
      <c r="D222" s="1">
        <v>47530</v>
      </c>
      <c r="E222" s="1">
        <v>2359</v>
      </c>
      <c r="F222" s="1">
        <v>33</v>
      </c>
      <c r="G222" s="13">
        <f>Table[[#This Row],[Return Value]]/Table[[#This Row],[Sell Value]]</f>
        <v>1.3988978380669776E-2</v>
      </c>
      <c r="H222" s="1" t="s">
        <v>3</v>
      </c>
      <c r="I222" s="1">
        <v>46</v>
      </c>
      <c r="J222" s="14">
        <f>Table[[#This Row],[Sell Value]]*Table[[#This Row],[Selling Price]]</f>
        <v>108514</v>
      </c>
      <c r="K222" s="1" t="s">
        <v>4</v>
      </c>
      <c r="L222" s="1" t="s">
        <v>41</v>
      </c>
      <c r="M222" s="1" t="s">
        <v>44</v>
      </c>
      <c r="N222" s="1">
        <v>0.2</v>
      </c>
      <c r="O222" s="1" t="s">
        <v>82</v>
      </c>
      <c r="P222" s="1" t="s">
        <v>52</v>
      </c>
    </row>
    <row r="223" spans="1:16" x14ac:dyDescent="0.25">
      <c r="A223" s="1">
        <v>900057510</v>
      </c>
      <c r="B223" s="1" t="s">
        <v>46</v>
      </c>
      <c r="C223" s="1" t="s">
        <v>2</v>
      </c>
      <c r="D223" s="1">
        <v>47959</v>
      </c>
      <c r="E223" s="1">
        <v>1957</v>
      </c>
      <c r="F223" s="1">
        <v>34</v>
      </c>
      <c r="G223" s="13">
        <f>Table[[#This Row],[Return Value]]/Table[[#This Row],[Sell Value]]</f>
        <v>1.7373530914665303E-2</v>
      </c>
      <c r="H223" s="1" t="s">
        <v>3</v>
      </c>
      <c r="I223" s="1">
        <v>37</v>
      </c>
      <c r="J223" s="14">
        <f>Table[[#This Row],[Sell Value]]*Table[[#This Row],[Selling Price]]</f>
        <v>72409</v>
      </c>
      <c r="K223" s="1" t="s">
        <v>4</v>
      </c>
      <c r="L223" s="1" t="s">
        <v>43</v>
      </c>
      <c r="M223" s="1" t="s">
        <v>14</v>
      </c>
      <c r="N223" s="1">
        <v>0.2</v>
      </c>
      <c r="O223" s="1" t="s">
        <v>81</v>
      </c>
      <c r="P223" s="1" t="s">
        <v>55</v>
      </c>
    </row>
    <row r="224" spans="1:16" x14ac:dyDescent="0.25">
      <c r="A224" s="1">
        <v>708473039</v>
      </c>
      <c r="B224" s="1" t="s">
        <v>12</v>
      </c>
      <c r="C224" s="1" t="s">
        <v>2</v>
      </c>
      <c r="D224" s="1">
        <v>48185</v>
      </c>
      <c r="E224" s="1">
        <v>1611</v>
      </c>
      <c r="F224" s="1">
        <v>45</v>
      </c>
      <c r="G224" s="13">
        <f>Table[[#This Row],[Return Value]]/Table[[#This Row],[Sell Value]]</f>
        <v>2.7932960893854747E-2</v>
      </c>
      <c r="H224" s="1" t="s">
        <v>3</v>
      </c>
      <c r="I224" s="1">
        <v>33</v>
      </c>
      <c r="J224" s="14">
        <f>Table[[#This Row],[Sell Value]]*Table[[#This Row],[Selling Price]]</f>
        <v>53163</v>
      </c>
      <c r="K224" s="1" t="s">
        <v>4</v>
      </c>
      <c r="L224" s="1" t="s">
        <v>47</v>
      </c>
      <c r="M224" s="1" t="s">
        <v>30</v>
      </c>
      <c r="N224" s="1">
        <v>0.2</v>
      </c>
      <c r="O224" s="1" t="s">
        <v>81</v>
      </c>
      <c r="P224" s="1" t="s">
        <v>23</v>
      </c>
    </row>
    <row r="225" spans="1:16" x14ac:dyDescent="0.25">
      <c r="A225" s="1">
        <v>658121266</v>
      </c>
      <c r="B225" s="1" t="s">
        <v>16</v>
      </c>
      <c r="C225" s="1" t="s">
        <v>17</v>
      </c>
      <c r="D225" s="1">
        <v>47846</v>
      </c>
      <c r="E225" s="1">
        <v>2197</v>
      </c>
      <c r="F225" s="1">
        <v>41</v>
      </c>
      <c r="G225" s="13">
        <f>Table[[#This Row],[Return Value]]/Table[[#This Row],[Sell Value]]</f>
        <v>1.8661811561219845E-2</v>
      </c>
      <c r="H225" s="1" t="s">
        <v>3</v>
      </c>
      <c r="I225" s="1">
        <v>40</v>
      </c>
      <c r="J225" s="14">
        <f>Table[[#This Row],[Sell Value]]*Table[[#This Row],[Selling Price]]</f>
        <v>87880</v>
      </c>
      <c r="K225" s="1" t="s">
        <v>4</v>
      </c>
      <c r="L225" s="1" t="s">
        <v>51</v>
      </c>
      <c r="M225" s="1" t="s">
        <v>59</v>
      </c>
      <c r="N225" s="1">
        <v>0.2</v>
      </c>
      <c r="O225" s="1" t="s">
        <v>82</v>
      </c>
      <c r="P225" s="1" t="s">
        <v>67</v>
      </c>
    </row>
    <row r="226" spans="1:16" x14ac:dyDescent="0.25">
      <c r="A226" s="1">
        <v>106533270</v>
      </c>
      <c r="B226" s="1" t="s">
        <v>20</v>
      </c>
      <c r="C226" s="1" t="s">
        <v>17</v>
      </c>
      <c r="D226" s="1">
        <v>47534</v>
      </c>
      <c r="E226" s="1">
        <v>1111</v>
      </c>
      <c r="F226" s="1">
        <v>45</v>
      </c>
      <c r="G226" s="13">
        <f>Table[[#This Row],[Return Value]]/Table[[#This Row],[Sell Value]]</f>
        <v>4.0504050405040501E-2</v>
      </c>
      <c r="H226" s="1" t="s">
        <v>28</v>
      </c>
      <c r="I226" s="1">
        <v>48</v>
      </c>
      <c r="J226" s="14">
        <f>Table[[#This Row],[Sell Value]]*Table[[#This Row],[Selling Price]]</f>
        <v>53328</v>
      </c>
      <c r="K226" s="1" t="s">
        <v>4</v>
      </c>
      <c r="L226" s="1" t="s">
        <v>54</v>
      </c>
      <c r="M226" s="1" t="s">
        <v>33</v>
      </c>
      <c r="N226" s="1">
        <v>0.2</v>
      </c>
      <c r="O226" s="1" t="s">
        <v>82</v>
      </c>
      <c r="P226" s="1" t="s">
        <v>67</v>
      </c>
    </row>
    <row r="227" spans="1:16" x14ac:dyDescent="0.25">
      <c r="A227" s="1">
        <v>588105298</v>
      </c>
      <c r="B227" s="1" t="s">
        <v>24</v>
      </c>
      <c r="C227" s="1" t="s">
        <v>2</v>
      </c>
      <c r="D227" s="1">
        <v>47998</v>
      </c>
      <c r="E227" s="1">
        <v>1486</v>
      </c>
      <c r="F227" s="1">
        <v>32</v>
      </c>
      <c r="G227" s="13">
        <f>Table[[#This Row],[Return Value]]/Table[[#This Row],[Sell Value]]</f>
        <v>2.1534320323014805E-2</v>
      </c>
      <c r="H227" s="1" t="s">
        <v>3</v>
      </c>
      <c r="I227" s="1">
        <v>35</v>
      </c>
      <c r="J227" s="14">
        <f>Table[[#This Row],[Sell Value]]*Table[[#This Row],[Selling Price]]</f>
        <v>52010</v>
      </c>
      <c r="K227" s="1" t="s">
        <v>4</v>
      </c>
      <c r="L227" s="1" t="s">
        <v>57</v>
      </c>
      <c r="M227" s="1" t="s">
        <v>61</v>
      </c>
      <c r="N227" s="1">
        <v>0.2</v>
      </c>
      <c r="O227" s="1" t="s">
        <v>81</v>
      </c>
      <c r="P227" s="1" t="s">
        <v>65</v>
      </c>
    </row>
    <row r="228" spans="1:16" x14ac:dyDescent="0.25">
      <c r="A228" s="1">
        <v>855925986</v>
      </c>
      <c r="B228" s="1" t="s">
        <v>27</v>
      </c>
      <c r="C228" s="1" t="s">
        <v>2</v>
      </c>
      <c r="D228" s="1">
        <v>48023</v>
      </c>
      <c r="E228" s="1">
        <v>3703</v>
      </c>
      <c r="F228" s="1">
        <v>12</v>
      </c>
      <c r="G228" s="13">
        <f>Table[[#This Row],[Return Value]]/Table[[#This Row],[Sell Value]]</f>
        <v>3.2406157169862274E-3</v>
      </c>
      <c r="H228" s="1" t="s">
        <v>3</v>
      </c>
      <c r="I228" s="1">
        <v>29</v>
      </c>
      <c r="J228" s="14">
        <f>Table[[#This Row],[Sell Value]]*Table[[#This Row],[Selling Price]]</f>
        <v>107387</v>
      </c>
      <c r="K228" s="1" t="s">
        <v>4</v>
      </c>
      <c r="L228" s="1" t="s">
        <v>5</v>
      </c>
      <c r="M228" s="1" t="s">
        <v>33</v>
      </c>
      <c r="N228" s="1">
        <v>0.2</v>
      </c>
      <c r="O228" s="1" t="s">
        <v>81</v>
      </c>
      <c r="P228" s="1" t="s">
        <v>45</v>
      </c>
    </row>
    <row r="229" spans="1:16" x14ac:dyDescent="0.25">
      <c r="A229" s="1">
        <v>650802858</v>
      </c>
      <c r="B229" s="1" t="s">
        <v>32</v>
      </c>
      <c r="C229" s="1" t="s">
        <v>17</v>
      </c>
      <c r="D229" s="1">
        <v>47854</v>
      </c>
      <c r="E229" s="1">
        <v>3289</v>
      </c>
      <c r="F229" s="1">
        <v>33</v>
      </c>
      <c r="G229" s="13">
        <f>Table[[#This Row],[Return Value]]/Table[[#This Row],[Sell Value]]</f>
        <v>1.0033444816053512E-2</v>
      </c>
      <c r="H229" s="1" t="s">
        <v>3</v>
      </c>
      <c r="I229" s="1">
        <v>20</v>
      </c>
      <c r="J229" s="14">
        <f>Table[[#This Row],[Sell Value]]*Table[[#This Row],[Selling Price]]</f>
        <v>65780</v>
      </c>
      <c r="K229" s="1" t="s">
        <v>4</v>
      </c>
      <c r="L229" s="1" t="s">
        <v>9</v>
      </c>
      <c r="M229" s="1" t="s">
        <v>44</v>
      </c>
      <c r="N229" s="1">
        <v>0.2</v>
      </c>
      <c r="O229" s="1" t="s">
        <v>81</v>
      </c>
      <c r="P229" s="1" t="s">
        <v>39</v>
      </c>
    </row>
    <row r="230" spans="1:16" x14ac:dyDescent="0.25">
      <c r="A230" s="1">
        <v>2915337</v>
      </c>
      <c r="B230" s="1" t="s">
        <v>34</v>
      </c>
      <c r="C230" s="1" t="s">
        <v>2</v>
      </c>
      <c r="D230" s="1">
        <v>47939</v>
      </c>
      <c r="E230" s="1">
        <v>1818</v>
      </c>
      <c r="F230" s="1">
        <v>49</v>
      </c>
      <c r="G230" s="13">
        <f>Table[[#This Row],[Return Value]]/Table[[#This Row],[Sell Value]]</f>
        <v>2.6952695269526952E-2</v>
      </c>
      <c r="H230" s="1" t="s">
        <v>3</v>
      </c>
      <c r="I230" s="1">
        <v>38</v>
      </c>
      <c r="J230" s="14">
        <f>Table[[#This Row],[Sell Value]]*Table[[#This Row],[Selling Price]]</f>
        <v>69084</v>
      </c>
      <c r="K230" s="1" t="s">
        <v>4</v>
      </c>
      <c r="L230" s="1" t="s">
        <v>13</v>
      </c>
      <c r="M230" s="1" t="s">
        <v>48</v>
      </c>
      <c r="N230" s="1">
        <v>0.2</v>
      </c>
      <c r="O230" s="1" t="s">
        <v>82</v>
      </c>
      <c r="P230" s="1" t="s">
        <v>45</v>
      </c>
    </row>
    <row r="231" spans="1:16" x14ac:dyDescent="0.25">
      <c r="A231" s="1">
        <v>63645222</v>
      </c>
      <c r="B231" s="1" t="s">
        <v>37</v>
      </c>
      <c r="C231" s="1" t="s">
        <v>17</v>
      </c>
      <c r="D231" s="1">
        <v>48188</v>
      </c>
      <c r="E231" s="1">
        <v>3058</v>
      </c>
      <c r="F231" s="1">
        <v>17</v>
      </c>
      <c r="G231" s="13">
        <f>Table[[#This Row],[Return Value]]/Table[[#This Row],[Sell Value]]</f>
        <v>5.5591890124264227E-3</v>
      </c>
      <c r="H231" s="1" t="s">
        <v>3</v>
      </c>
      <c r="I231" s="1">
        <v>22</v>
      </c>
      <c r="J231" s="14">
        <f>Table[[#This Row],[Sell Value]]*Table[[#This Row],[Selling Price]]</f>
        <v>67276</v>
      </c>
      <c r="K231" s="1" t="s">
        <v>4</v>
      </c>
      <c r="L231" s="1" t="s">
        <v>18</v>
      </c>
      <c r="M231" s="1" t="s">
        <v>6</v>
      </c>
      <c r="N231" s="1">
        <v>0.2</v>
      </c>
      <c r="O231" s="1" t="s">
        <v>81</v>
      </c>
      <c r="P231" s="1" t="s">
        <v>66</v>
      </c>
    </row>
    <row r="232" spans="1:16" x14ac:dyDescent="0.25">
      <c r="A232" s="1">
        <v>462585648</v>
      </c>
      <c r="B232" s="1" t="s">
        <v>40</v>
      </c>
      <c r="C232" s="1" t="s">
        <v>17</v>
      </c>
      <c r="D232" s="1">
        <v>47860</v>
      </c>
      <c r="E232" s="1">
        <v>4383</v>
      </c>
      <c r="F232" s="1">
        <v>16</v>
      </c>
      <c r="G232" s="13">
        <f>Table[[#This Row],[Return Value]]/Table[[#This Row],[Sell Value]]</f>
        <v>3.650467716176135E-3</v>
      </c>
      <c r="H232" s="1" t="s">
        <v>3</v>
      </c>
      <c r="I232" s="1">
        <v>42</v>
      </c>
      <c r="J232" s="14">
        <f>Table[[#This Row],[Sell Value]]*Table[[#This Row],[Selling Price]]</f>
        <v>184086</v>
      </c>
      <c r="K232" s="1" t="s">
        <v>4</v>
      </c>
      <c r="L232" s="1" t="s">
        <v>21</v>
      </c>
      <c r="M232" s="1" t="s">
        <v>26</v>
      </c>
      <c r="N232" s="1">
        <v>0.2</v>
      </c>
      <c r="O232" s="1" t="s">
        <v>82</v>
      </c>
      <c r="P232" s="1" t="s">
        <v>65</v>
      </c>
    </row>
    <row r="233" spans="1:16" x14ac:dyDescent="0.25">
      <c r="A233" s="1">
        <v>676608987</v>
      </c>
      <c r="B233" s="1" t="s">
        <v>42</v>
      </c>
      <c r="C233" s="1" t="s">
        <v>2</v>
      </c>
      <c r="D233" s="1">
        <v>48292</v>
      </c>
      <c r="E233" s="1">
        <v>1018</v>
      </c>
      <c r="F233" s="1">
        <v>40</v>
      </c>
      <c r="G233" s="13">
        <f>Table[[#This Row],[Return Value]]/Table[[#This Row],[Sell Value]]</f>
        <v>3.9292730844793712E-2</v>
      </c>
      <c r="H233" s="1" t="s">
        <v>28</v>
      </c>
      <c r="I233" s="1">
        <v>30</v>
      </c>
      <c r="J233" s="14">
        <f>Table[[#This Row],[Sell Value]]*Table[[#This Row],[Selling Price]]</f>
        <v>30540</v>
      </c>
      <c r="K233" s="1" t="s">
        <v>4</v>
      </c>
      <c r="L233" s="1" t="s">
        <v>25</v>
      </c>
      <c r="M233" s="1" t="s">
        <v>6</v>
      </c>
      <c r="N233" s="1">
        <v>0.2</v>
      </c>
      <c r="O233" s="1" t="s">
        <v>81</v>
      </c>
      <c r="P233" s="1" t="s">
        <v>11</v>
      </c>
    </row>
    <row r="234" spans="1:16" x14ac:dyDescent="0.25">
      <c r="A234" s="1">
        <v>770830751</v>
      </c>
      <c r="B234" s="1" t="s">
        <v>46</v>
      </c>
      <c r="C234" s="1" t="s">
        <v>2</v>
      </c>
      <c r="D234" s="1">
        <v>48058</v>
      </c>
      <c r="E234" s="1">
        <v>1537</v>
      </c>
      <c r="F234" s="1">
        <v>19</v>
      </c>
      <c r="G234" s="13">
        <f>Table[[#This Row],[Return Value]]/Table[[#This Row],[Sell Value]]</f>
        <v>1.2361743656473649E-2</v>
      </c>
      <c r="H234" s="1" t="s">
        <v>3</v>
      </c>
      <c r="I234" s="1">
        <v>27</v>
      </c>
      <c r="J234" s="14">
        <f>Table[[#This Row],[Sell Value]]*Table[[#This Row],[Selling Price]]</f>
        <v>41499</v>
      </c>
      <c r="K234" s="1" t="s">
        <v>4</v>
      </c>
      <c r="L234" s="1" t="s">
        <v>29</v>
      </c>
      <c r="M234" s="1" t="s">
        <v>59</v>
      </c>
      <c r="N234" s="1">
        <v>0.2</v>
      </c>
      <c r="O234" s="1" t="s">
        <v>82</v>
      </c>
      <c r="P234" s="1" t="s">
        <v>63</v>
      </c>
    </row>
    <row r="235" spans="1:16" x14ac:dyDescent="0.25">
      <c r="A235" s="1">
        <v>569049042</v>
      </c>
      <c r="B235" s="1" t="s">
        <v>50</v>
      </c>
      <c r="C235" s="1" t="s">
        <v>2</v>
      </c>
      <c r="D235" s="1">
        <v>48357</v>
      </c>
      <c r="E235" s="1">
        <v>3096</v>
      </c>
      <c r="F235" s="1">
        <v>40</v>
      </c>
      <c r="G235" s="13">
        <f>Table[[#This Row],[Return Value]]/Table[[#This Row],[Sell Value]]</f>
        <v>1.2919896640826873E-2</v>
      </c>
      <c r="H235" s="1" t="s">
        <v>3</v>
      </c>
      <c r="I235" s="1">
        <v>42</v>
      </c>
      <c r="J235" s="14">
        <f>Table[[#This Row],[Sell Value]]*Table[[#This Row],[Selling Price]]</f>
        <v>130032</v>
      </c>
      <c r="K235" s="1" t="s">
        <v>4</v>
      </c>
      <c r="L235" s="1" t="s">
        <v>29</v>
      </c>
      <c r="M235" s="1" t="s">
        <v>14</v>
      </c>
      <c r="N235" s="1">
        <v>0.2</v>
      </c>
      <c r="O235" s="1" t="s">
        <v>81</v>
      </c>
      <c r="P235" s="1" t="s">
        <v>65</v>
      </c>
    </row>
    <row r="236" spans="1:16" x14ac:dyDescent="0.25">
      <c r="A236" s="1">
        <v>703796796</v>
      </c>
      <c r="B236" s="1" t="s">
        <v>53</v>
      </c>
      <c r="C236" s="1" t="s">
        <v>2</v>
      </c>
      <c r="D236" s="1">
        <v>48392</v>
      </c>
      <c r="E236" s="1">
        <v>1438</v>
      </c>
      <c r="F236" s="1">
        <v>35</v>
      </c>
      <c r="G236" s="13">
        <f>Table[[#This Row],[Return Value]]/Table[[#This Row],[Sell Value]]</f>
        <v>2.4339360222531293E-2</v>
      </c>
      <c r="H236" s="1" t="s">
        <v>3</v>
      </c>
      <c r="I236" s="1">
        <v>31</v>
      </c>
      <c r="J236" s="14">
        <f>Table[[#This Row],[Sell Value]]*Table[[#This Row],[Selling Price]]</f>
        <v>44578</v>
      </c>
      <c r="K236" s="1" t="s">
        <v>4</v>
      </c>
      <c r="L236" s="1" t="s">
        <v>35</v>
      </c>
      <c r="M236" s="1" t="s">
        <v>59</v>
      </c>
      <c r="N236" s="1">
        <v>0.2</v>
      </c>
      <c r="O236" s="1" t="s">
        <v>81</v>
      </c>
      <c r="P236" s="1" t="s">
        <v>60</v>
      </c>
    </row>
    <row r="237" spans="1:16" x14ac:dyDescent="0.25">
      <c r="A237" s="1">
        <v>593484970</v>
      </c>
      <c r="B237" s="1" t="s">
        <v>56</v>
      </c>
      <c r="C237" s="1" t="s">
        <v>2</v>
      </c>
      <c r="D237" s="1">
        <v>47589</v>
      </c>
      <c r="E237" s="1">
        <v>2172</v>
      </c>
      <c r="F237" s="1">
        <v>10</v>
      </c>
      <c r="G237" s="13">
        <f>Table[[#This Row],[Return Value]]/Table[[#This Row],[Sell Value]]</f>
        <v>4.6040515653775326E-3</v>
      </c>
      <c r="H237" s="1" t="s">
        <v>3</v>
      </c>
      <c r="I237" s="1">
        <v>42</v>
      </c>
      <c r="J237" s="14">
        <f>Table[[#This Row],[Sell Value]]*Table[[#This Row],[Selling Price]]</f>
        <v>91224</v>
      </c>
      <c r="K237" s="1" t="s">
        <v>4</v>
      </c>
      <c r="L237" s="1" t="s">
        <v>38</v>
      </c>
      <c r="M237" s="1" t="s">
        <v>48</v>
      </c>
      <c r="N237" s="1">
        <v>0.2</v>
      </c>
      <c r="O237" s="1" t="s">
        <v>81</v>
      </c>
      <c r="P237" s="1" t="s">
        <v>19</v>
      </c>
    </row>
    <row r="238" spans="1:16" x14ac:dyDescent="0.25">
      <c r="A238" s="1">
        <v>893453145</v>
      </c>
      <c r="B238" s="1" t="s">
        <v>1</v>
      </c>
      <c r="C238" s="1" t="s">
        <v>2</v>
      </c>
      <c r="D238" s="1">
        <v>47741</v>
      </c>
      <c r="E238" s="1">
        <v>3090</v>
      </c>
      <c r="F238" s="1">
        <v>46</v>
      </c>
      <c r="G238" s="13">
        <f>Table[[#This Row],[Return Value]]/Table[[#This Row],[Sell Value]]</f>
        <v>1.4886731391585761E-2</v>
      </c>
      <c r="H238" s="1" t="s">
        <v>3</v>
      </c>
      <c r="I238" s="1">
        <v>31</v>
      </c>
      <c r="J238" s="14">
        <f>Table[[#This Row],[Sell Value]]*Table[[#This Row],[Selling Price]]</f>
        <v>95790</v>
      </c>
      <c r="K238" s="1" t="s">
        <v>4</v>
      </c>
      <c r="L238" s="1" t="s">
        <v>41</v>
      </c>
      <c r="M238" s="1" t="s">
        <v>22</v>
      </c>
      <c r="N238" s="1">
        <v>0.2</v>
      </c>
      <c r="O238" s="1" t="s">
        <v>82</v>
      </c>
      <c r="P238" s="1" t="s">
        <v>58</v>
      </c>
    </row>
    <row r="239" spans="1:16" x14ac:dyDescent="0.25">
      <c r="A239" s="1">
        <v>304099768</v>
      </c>
      <c r="B239" s="1" t="s">
        <v>8</v>
      </c>
      <c r="C239" s="1" t="s">
        <v>2</v>
      </c>
      <c r="D239" s="1">
        <v>48380</v>
      </c>
      <c r="E239" s="1">
        <v>4041</v>
      </c>
      <c r="F239" s="1">
        <v>25</v>
      </c>
      <c r="G239" s="13">
        <f>Table[[#This Row],[Return Value]]/Table[[#This Row],[Sell Value]]</f>
        <v>6.186587478346944E-3</v>
      </c>
      <c r="H239" s="1" t="s">
        <v>3</v>
      </c>
      <c r="I239" s="1">
        <v>21</v>
      </c>
      <c r="J239" s="14">
        <f>Table[[#This Row],[Sell Value]]*Table[[#This Row],[Selling Price]]</f>
        <v>84861</v>
      </c>
      <c r="K239" s="1" t="s">
        <v>4</v>
      </c>
      <c r="L239" s="1" t="s">
        <v>43</v>
      </c>
      <c r="M239" s="1" t="s">
        <v>33</v>
      </c>
      <c r="N239" s="1">
        <v>0.2</v>
      </c>
      <c r="O239" s="1" t="s">
        <v>82</v>
      </c>
      <c r="P239" s="1" t="s">
        <v>63</v>
      </c>
    </row>
    <row r="240" spans="1:16" x14ac:dyDescent="0.25">
      <c r="A240" s="1">
        <v>869759082</v>
      </c>
      <c r="B240" s="1" t="s">
        <v>12</v>
      </c>
      <c r="C240" s="1" t="s">
        <v>2</v>
      </c>
      <c r="D240" s="1">
        <v>47996</v>
      </c>
      <c r="E240" s="1">
        <v>4066</v>
      </c>
      <c r="F240" s="1">
        <v>49</v>
      </c>
      <c r="G240" s="13">
        <f>Table[[#This Row],[Return Value]]/Table[[#This Row],[Sell Value]]</f>
        <v>1.2051155927201181E-2</v>
      </c>
      <c r="H240" s="1" t="s">
        <v>3</v>
      </c>
      <c r="I240" s="1">
        <v>50</v>
      </c>
      <c r="J240" s="14">
        <f>Table[[#This Row],[Sell Value]]*Table[[#This Row],[Selling Price]]</f>
        <v>203300</v>
      </c>
      <c r="K240" s="1" t="s">
        <v>4</v>
      </c>
      <c r="L240" s="1" t="s">
        <v>47</v>
      </c>
      <c r="M240" s="1" t="s">
        <v>59</v>
      </c>
      <c r="N240" s="1">
        <v>0.2</v>
      </c>
      <c r="O240" s="1" t="s">
        <v>81</v>
      </c>
      <c r="P240" s="1" t="s">
        <v>39</v>
      </c>
    </row>
    <row r="241" spans="1:16" x14ac:dyDescent="0.25">
      <c r="A241" s="1">
        <v>922042266</v>
      </c>
      <c r="B241" s="1" t="s">
        <v>16</v>
      </c>
      <c r="C241" s="1" t="s">
        <v>17</v>
      </c>
      <c r="D241" s="1">
        <v>48322</v>
      </c>
      <c r="E241" s="1">
        <v>1019</v>
      </c>
      <c r="F241" s="1">
        <v>24</v>
      </c>
      <c r="G241" s="13">
        <f>Table[[#This Row],[Return Value]]/Table[[#This Row],[Sell Value]]</f>
        <v>2.3552502453385672E-2</v>
      </c>
      <c r="H241" s="1" t="s">
        <v>3</v>
      </c>
      <c r="I241" s="1">
        <v>26</v>
      </c>
      <c r="J241" s="14">
        <f>Table[[#This Row],[Sell Value]]*Table[[#This Row],[Selling Price]]</f>
        <v>26494</v>
      </c>
      <c r="K241" s="1" t="s">
        <v>4</v>
      </c>
      <c r="L241" s="1" t="s">
        <v>51</v>
      </c>
      <c r="M241" s="1" t="s">
        <v>33</v>
      </c>
      <c r="N241" s="1">
        <v>0.2</v>
      </c>
      <c r="O241" s="1" t="s">
        <v>81</v>
      </c>
      <c r="P241" s="1" t="s">
        <v>63</v>
      </c>
    </row>
    <row r="242" spans="1:16" x14ac:dyDescent="0.25">
      <c r="A242" s="1">
        <v>30027623</v>
      </c>
      <c r="B242" s="1" t="s">
        <v>20</v>
      </c>
      <c r="C242" s="1" t="s">
        <v>17</v>
      </c>
      <c r="D242" s="1">
        <v>47747</v>
      </c>
      <c r="E242" s="1">
        <v>1193</v>
      </c>
      <c r="F242" s="1">
        <v>10</v>
      </c>
      <c r="G242" s="13">
        <f>Table[[#This Row],[Return Value]]/Table[[#This Row],[Sell Value]]</f>
        <v>8.3822296730930428E-3</v>
      </c>
      <c r="H242" s="1" t="s">
        <v>28</v>
      </c>
      <c r="I242" s="1">
        <v>28</v>
      </c>
      <c r="J242" s="14">
        <f>Table[[#This Row],[Sell Value]]*Table[[#This Row],[Selling Price]]</f>
        <v>33404</v>
      </c>
      <c r="K242" s="1" t="s">
        <v>4</v>
      </c>
      <c r="L242" s="1" t="s">
        <v>54</v>
      </c>
      <c r="M242" s="1" t="s">
        <v>14</v>
      </c>
      <c r="N242" s="1">
        <v>0.2</v>
      </c>
      <c r="O242" s="1" t="s">
        <v>81</v>
      </c>
      <c r="P242" s="1" t="s">
        <v>60</v>
      </c>
    </row>
    <row r="243" spans="1:16" x14ac:dyDescent="0.25">
      <c r="A243" s="1">
        <v>129880244</v>
      </c>
      <c r="B243" s="1" t="s">
        <v>24</v>
      </c>
      <c r="C243" s="1" t="s">
        <v>2</v>
      </c>
      <c r="D243" s="1">
        <v>48572</v>
      </c>
      <c r="E243" s="1">
        <v>1352</v>
      </c>
      <c r="F243" s="1">
        <v>47</v>
      </c>
      <c r="G243" s="13">
        <f>Table[[#This Row],[Return Value]]/Table[[#This Row],[Sell Value]]</f>
        <v>3.4763313609467453E-2</v>
      </c>
      <c r="H243" s="1" t="s">
        <v>28</v>
      </c>
      <c r="I243" s="1">
        <v>23</v>
      </c>
      <c r="J243" s="14">
        <f>Table[[#This Row],[Sell Value]]*Table[[#This Row],[Selling Price]]</f>
        <v>31096</v>
      </c>
      <c r="K243" s="1" t="s">
        <v>4</v>
      </c>
      <c r="L243" s="1" t="s">
        <v>57</v>
      </c>
      <c r="M243" s="1" t="s">
        <v>14</v>
      </c>
      <c r="N243" s="1">
        <v>0.2</v>
      </c>
      <c r="O243" s="1" t="s">
        <v>82</v>
      </c>
      <c r="P243" s="1" t="s">
        <v>66</v>
      </c>
    </row>
    <row r="244" spans="1:16" x14ac:dyDescent="0.25">
      <c r="A244" s="1">
        <v>91527841</v>
      </c>
      <c r="B244" s="1" t="s">
        <v>27</v>
      </c>
      <c r="C244" s="1" t="s">
        <v>2</v>
      </c>
      <c r="D244" s="1">
        <v>47840</v>
      </c>
      <c r="E244" s="1">
        <v>1354</v>
      </c>
      <c r="F244" s="1">
        <v>20</v>
      </c>
      <c r="G244" s="13">
        <f>Table[[#This Row],[Return Value]]/Table[[#This Row],[Sell Value]]</f>
        <v>1.4771048744460856E-2</v>
      </c>
      <c r="H244" s="1" t="s">
        <v>3</v>
      </c>
      <c r="I244" s="1">
        <v>48</v>
      </c>
      <c r="J244" s="14">
        <f>Table[[#This Row],[Sell Value]]*Table[[#This Row],[Selling Price]]</f>
        <v>64992</v>
      </c>
      <c r="K244" s="1" t="s">
        <v>4</v>
      </c>
      <c r="L244" s="1" t="s">
        <v>5</v>
      </c>
      <c r="M244" s="1" t="s">
        <v>26</v>
      </c>
      <c r="N244" s="1">
        <v>0.2</v>
      </c>
      <c r="O244" s="1" t="s">
        <v>82</v>
      </c>
      <c r="P244" s="1" t="s">
        <v>36</v>
      </c>
    </row>
    <row r="245" spans="1:16" x14ac:dyDescent="0.25">
      <c r="A245" s="1">
        <v>628527609</v>
      </c>
      <c r="B245" s="1" t="s">
        <v>32</v>
      </c>
      <c r="C245" s="1" t="s">
        <v>17</v>
      </c>
      <c r="D245" s="1">
        <v>47690</v>
      </c>
      <c r="E245" s="1">
        <v>3520</v>
      </c>
      <c r="F245" s="1">
        <v>33</v>
      </c>
      <c r="G245" s="13">
        <f>Table[[#This Row],[Return Value]]/Table[[#This Row],[Sell Value]]</f>
        <v>9.3749999999999997E-3</v>
      </c>
      <c r="H245" s="1" t="s">
        <v>3</v>
      </c>
      <c r="I245" s="1">
        <v>22</v>
      </c>
      <c r="J245" s="14">
        <f>Table[[#This Row],[Sell Value]]*Table[[#This Row],[Selling Price]]</f>
        <v>77440</v>
      </c>
      <c r="K245" s="1" t="s">
        <v>4</v>
      </c>
      <c r="L245" s="1" t="s">
        <v>9</v>
      </c>
      <c r="M245" s="1" t="s">
        <v>33</v>
      </c>
      <c r="N245" s="1">
        <v>0.2</v>
      </c>
      <c r="O245" s="1" t="s">
        <v>82</v>
      </c>
      <c r="P245" s="1" t="s">
        <v>55</v>
      </c>
    </row>
    <row r="246" spans="1:16" x14ac:dyDescent="0.25">
      <c r="A246" s="1">
        <v>287509539</v>
      </c>
      <c r="B246" s="1" t="s">
        <v>34</v>
      </c>
      <c r="C246" s="1" t="s">
        <v>2</v>
      </c>
      <c r="D246" s="1">
        <v>48380</v>
      </c>
      <c r="E246" s="1">
        <v>3805</v>
      </c>
      <c r="F246" s="1">
        <v>49</v>
      </c>
      <c r="G246" s="13">
        <f>Table[[#This Row],[Return Value]]/Table[[#This Row],[Sell Value]]</f>
        <v>1.2877792378449408E-2</v>
      </c>
      <c r="H246" s="1" t="s">
        <v>3</v>
      </c>
      <c r="I246" s="1">
        <v>20</v>
      </c>
      <c r="J246" s="14">
        <f>Table[[#This Row],[Sell Value]]*Table[[#This Row],[Selling Price]]</f>
        <v>76100</v>
      </c>
      <c r="K246" s="1" t="s">
        <v>4</v>
      </c>
      <c r="L246" s="1" t="s">
        <v>13</v>
      </c>
      <c r="M246" s="1" t="s">
        <v>26</v>
      </c>
      <c r="N246" s="1">
        <v>0.2</v>
      </c>
      <c r="O246" s="1" t="s">
        <v>81</v>
      </c>
      <c r="P246" s="1" t="s">
        <v>60</v>
      </c>
    </row>
    <row r="247" spans="1:16" x14ac:dyDescent="0.25">
      <c r="A247" s="1">
        <v>243109829</v>
      </c>
      <c r="B247" s="1" t="s">
        <v>37</v>
      </c>
      <c r="C247" s="1" t="s">
        <v>17</v>
      </c>
      <c r="D247" s="1">
        <v>47779</v>
      </c>
      <c r="E247" s="1">
        <v>3839</v>
      </c>
      <c r="F247" s="1">
        <v>42</v>
      </c>
      <c r="G247" s="13">
        <f>Table[[#This Row],[Return Value]]/Table[[#This Row],[Sell Value]]</f>
        <v>1.094034904923157E-2</v>
      </c>
      <c r="H247" s="1" t="s">
        <v>3</v>
      </c>
      <c r="I247" s="1">
        <v>49</v>
      </c>
      <c r="J247" s="14">
        <f>Table[[#This Row],[Sell Value]]*Table[[#This Row],[Selling Price]]</f>
        <v>188111</v>
      </c>
      <c r="K247" s="1" t="s">
        <v>4</v>
      </c>
      <c r="L247" s="1" t="s">
        <v>18</v>
      </c>
      <c r="M247" s="1" t="s">
        <v>22</v>
      </c>
      <c r="N247" s="1">
        <v>0.2</v>
      </c>
      <c r="O247" s="1" t="s">
        <v>82</v>
      </c>
      <c r="P247" s="1" t="s">
        <v>31</v>
      </c>
    </row>
    <row r="248" spans="1:16" x14ac:dyDescent="0.25">
      <c r="A248" s="1">
        <v>732202292</v>
      </c>
      <c r="B248" s="1" t="s">
        <v>40</v>
      </c>
      <c r="C248" s="1" t="s">
        <v>17</v>
      </c>
      <c r="D248" s="1">
        <v>48294</v>
      </c>
      <c r="E248" s="1">
        <v>3138</v>
      </c>
      <c r="F248" s="1">
        <v>38</v>
      </c>
      <c r="G248" s="13">
        <f>Table[[#This Row],[Return Value]]/Table[[#This Row],[Sell Value]]</f>
        <v>1.2109623964308477E-2</v>
      </c>
      <c r="H248" s="1" t="s">
        <v>3</v>
      </c>
      <c r="I248" s="1">
        <v>37</v>
      </c>
      <c r="J248" s="14">
        <f>Table[[#This Row],[Sell Value]]*Table[[#This Row],[Selling Price]]</f>
        <v>116106</v>
      </c>
      <c r="K248" s="1" t="s">
        <v>4</v>
      </c>
      <c r="L248" s="1" t="s">
        <v>21</v>
      </c>
      <c r="M248" s="1" t="s">
        <v>33</v>
      </c>
      <c r="N248" s="1">
        <v>0.2</v>
      </c>
      <c r="O248" s="1" t="s">
        <v>82</v>
      </c>
      <c r="P248" s="1" t="s">
        <v>52</v>
      </c>
    </row>
    <row r="249" spans="1:16" x14ac:dyDescent="0.25">
      <c r="A249" s="1">
        <v>323846627</v>
      </c>
      <c r="B249" s="1" t="s">
        <v>42</v>
      </c>
      <c r="C249" s="1" t="s">
        <v>2</v>
      </c>
      <c r="D249" s="1">
        <v>48422</v>
      </c>
      <c r="E249" s="1">
        <v>4380</v>
      </c>
      <c r="F249" s="1">
        <v>14</v>
      </c>
      <c r="G249" s="13">
        <f>Table[[#This Row],[Return Value]]/Table[[#This Row],[Sell Value]]</f>
        <v>3.1963470319634705E-3</v>
      </c>
      <c r="H249" s="1" t="s">
        <v>3</v>
      </c>
      <c r="I249" s="1">
        <v>36</v>
      </c>
      <c r="J249" s="14">
        <f>Table[[#This Row],[Sell Value]]*Table[[#This Row],[Selling Price]]</f>
        <v>157680</v>
      </c>
      <c r="K249" s="1" t="s">
        <v>4</v>
      </c>
      <c r="L249" s="1" t="s">
        <v>25</v>
      </c>
      <c r="M249" s="1" t="s">
        <v>26</v>
      </c>
      <c r="N249" s="1">
        <v>0.2</v>
      </c>
      <c r="O249" s="1" t="s">
        <v>81</v>
      </c>
      <c r="P249" s="1" t="s">
        <v>52</v>
      </c>
    </row>
    <row r="250" spans="1:16" x14ac:dyDescent="0.25">
      <c r="A250" s="1">
        <v>325007338</v>
      </c>
      <c r="B250" s="1" t="s">
        <v>46</v>
      </c>
      <c r="C250" s="1" t="s">
        <v>2</v>
      </c>
      <c r="D250" s="1">
        <v>48520</v>
      </c>
      <c r="E250" s="1">
        <v>2843</v>
      </c>
      <c r="F250" s="1">
        <v>35</v>
      </c>
      <c r="G250" s="13">
        <f>Table[[#This Row],[Return Value]]/Table[[#This Row],[Sell Value]]</f>
        <v>1.2310939148786493E-2</v>
      </c>
      <c r="H250" s="1" t="s">
        <v>3</v>
      </c>
      <c r="I250" s="1">
        <v>24</v>
      </c>
      <c r="J250" s="14">
        <f>Table[[#This Row],[Sell Value]]*Table[[#This Row],[Selling Price]]</f>
        <v>68232</v>
      </c>
      <c r="K250" s="1" t="s">
        <v>4</v>
      </c>
      <c r="L250" s="1" t="s">
        <v>29</v>
      </c>
      <c r="M250" s="1" t="s">
        <v>10</v>
      </c>
      <c r="N250" s="1">
        <v>0.2</v>
      </c>
      <c r="O250" s="1" t="s">
        <v>81</v>
      </c>
      <c r="P250" s="1" t="s">
        <v>49</v>
      </c>
    </row>
    <row r="251" spans="1:16" x14ac:dyDescent="0.25">
      <c r="A251" s="1">
        <v>789408484</v>
      </c>
      <c r="B251" s="1" t="s">
        <v>50</v>
      </c>
      <c r="C251" s="1" t="s">
        <v>2</v>
      </c>
      <c r="D251" s="1">
        <v>47907</v>
      </c>
      <c r="E251" s="1">
        <v>3137</v>
      </c>
      <c r="F251" s="1">
        <v>25</v>
      </c>
      <c r="G251" s="13">
        <f>Table[[#This Row],[Return Value]]/Table[[#This Row],[Sell Value]]</f>
        <v>7.9693975135479763E-3</v>
      </c>
      <c r="H251" s="1" t="s">
        <v>3</v>
      </c>
      <c r="I251" s="1">
        <v>44</v>
      </c>
      <c r="J251" s="14">
        <f>Table[[#This Row],[Sell Value]]*Table[[#This Row],[Selling Price]]</f>
        <v>138028</v>
      </c>
      <c r="K251" s="1" t="s">
        <v>4</v>
      </c>
      <c r="L251" s="1" t="s">
        <v>29</v>
      </c>
      <c r="M251" s="1" t="s">
        <v>30</v>
      </c>
      <c r="N251" s="1">
        <v>0.2</v>
      </c>
      <c r="O251" s="1" t="s">
        <v>81</v>
      </c>
      <c r="P251" s="1" t="s">
        <v>52</v>
      </c>
    </row>
    <row r="252" spans="1:16" x14ac:dyDescent="0.25">
      <c r="A252" s="1">
        <v>483321534</v>
      </c>
      <c r="B252" s="1" t="s">
        <v>53</v>
      </c>
      <c r="C252" s="1" t="s">
        <v>2</v>
      </c>
      <c r="D252" s="1">
        <v>47879</v>
      </c>
      <c r="E252" s="1">
        <v>1905</v>
      </c>
      <c r="F252" s="1">
        <v>43</v>
      </c>
      <c r="G252" s="13">
        <f>Table[[#This Row],[Return Value]]/Table[[#This Row],[Sell Value]]</f>
        <v>2.2572178477690288E-2</v>
      </c>
      <c r="H252" s="1" t="s">
        <v>28</v>
      </c>
      <c r="I252" s="1">
        <v>22</v>
      </c>
      <c r="J252" s="14">
        <f>Table[[#This Row],[Sell Value]]*Table[[#This Row],[Selling Price]]</f>
        <v>41910</v>
      </c>
      <c r="K252" s="1" t="s">
        <v>4</v>
      </c>
      <c r="L252" s="1" t="s">
        <v>35</v>
      </c>
      <c r="M252" s="1" t="s">
        <v>44</v>
      </c>
      <c r="N252" s="1">
        <v>0.2</v>
      </c>
      <c r="O252" s="1" t="s">
        <v>82</v>
      </c>
      <c r="P252" s="1" t="s">
        <v>36</v>
      </c>
    </row>
    <row r="253" spans="1:16" x14ac:dyDescent="0.25">
      <c r="A253" s="1">
        <v>963364321</v>
      </c>
      <c r="B253" s="1" t="s">
        <v>56</v>
      </c>
      <c r="C253" s="1" t="s">
        <v>2</v>
      </c>
      <c r="D253" s="1">
        <v>47553</v>
      </c>
      <c r="E253" s="1">
        <v>1124</v>
      </c>
      <c r="F253" s="1">
        <v>20</v>
      </c>
      <c r="G253" s="13">
        <f>Table[[#This Row],[Return Value]]/Table[[#This Row],[Sell Value]]</f>
        <v>1.7793594306049824E-2</v>
      </c>
      <c r="H253" s="1" t="s">
        <v>3</v>
      </c>
      <c r="I253" s="1">
        <v>31</v>
      </c>
      <c r="J253" s="14">
        <f>Table[[#This Row],[Sell Value]]*Table[[#This Row],[Selling Price]]</f>
        <v>34844</v>
      </c>
      <c r="K253" s="1" t="s">
        <v>4</v>
      </c>
      <c r="L253" s="1" t="s">
        <v>38</v>
      </c>
      <c r="M253" s="1" t="s">
        <v>30</v>
      </c>
      <c r="N253" s="1">
        <v>0.2</v>
      </c>
      <c r="O253" s="1" t="s">
        <v>81</v>
      </c>
      <c r="P253" s="1" t="s">
        <v>58</v>
      </c>
    </row>
    <row r="254" spans="1:16" x14ac:dyDescent="0.25">
      <c r="A254" s="1">
        <v>621905664</v>
      </c>
      <c r="B254" s="1" t="s">
        <v>1</v>
      </c>
      <c r="C254" s="1" t="s">
        <v>2</v>
      </c>
      <c r="D254" s="1">
        <v>47641</v>
      </c>
      <c r="E254" s="1">
        <v>1498</v>
      </c>
      <c r="F254" s="1">
        <v>22</v>
      </c>
      <c r="G254" s="13">
        <f>Table[[#This Row],[Return Value]]/Table[[#This Row],[Sell Value]]</f>
        <v>1.4686248331108143E-2</v>
      </c>
      <c r="H254" s="1" t="s">
        <v>3</v>
      </c>
      <c r="I254" s="1">
        <v>46</v>
      </c>
      <c r="J254" s="14">
        <f>Table[[#This Row],[Sell Value]]*Table[[#This Row],[Selling Price]]</f>
        <v>68908</v>
      </c>
      <c r="K254" s="1" t="s">
        <v>4</v>
      </c>
      <c r="L254" s="1" t="s">
        <v>41</v>
      </c>
      <c r="M254" s="1" t="s">
        <v>6</v>
      </c>
      <c r="N254" s="1">
        <v>0.2</v>
      </c>
      <c r="O254" s="1" t="s">
        <v>81</v>
      </c>
      <c r="P254" s="1" t="s">
        <v>15</v>
      </c>
    </row>
    <row r="255" spans="1:16" x14ac:dyDescent="0.25">
      <c r="A255" s="1">
        <v>406697823</v>
      </c>
      <c r="B255" s="1" t="s">
        <v>8</v>
      </c>
      <c r="C255" s="1" t="s">
        <v>2</v>
      </c>
      <c r="D255" s="1">
        <v>47529</v>
      </c>
      <c r="E255" s="1">
        <v>2421</v>
      </c>
      <c r="F255" s="1">
        <v>11</v>
      </c>
      <c r="G255" s="13">
        <f>Table[[#This Row],[Return Value]]/Table[[#This Row],[Sell Value]]</f>
        <v>4.543577034283354E-3</v>
      </c>
      <c r="H255" s="1" t="s">
        <v>3</v>
      </c>
      <c r="I255" s="1">
        <v>37</v>
      </c>
      <c r="J255" s="14">
        <f>Table[[#This Row],[Sell Value]]*Table[[#This Row],[Selling Price]]</f>
        <v>89577</v>
      </c>
      <c r="K255" s="1" t="s">
        <v>4</v>
      </c>
      <c r="L255" s="1" t="s">
        <v>43</v>
      </c>
      <c r="M255" s="1" t="s">
        <v>30</v>
      </c>
      <c r="N255" s="1">
        <v>0.2</v>
      </c>
      <c r="O255" s="1" t="s">
        <v>81</v>
      </c>
      <c r="P255" s="1" t="s">
        <v>19</v>
      </c>
    </row>
    <row r="256" spans="1:16" x14ac:dyDescent="0.25">
      <c r="A256" s="1">
        <v>978656862</v>
      </c>
      <c r="B256" s="1" t="s">
        <v>12</v>
      </c>
      <c r="C256" s="1" t="s">
        <v>2</v>
      </c>
      <c r="D256" s="1">
        <v>47879</v>
      </c>
      <c r="E256" s="1">
        <v>4084</v>
      </c>
      <c r="F256" s="1">
        <v>25</v>
      </c>
      <c r="G256" s="13">
        <f>Table[[#This Row],[Return Value]]/Table[[#This Row],[Sell Value]]</f>
        <v>6.1214495592556315E-3</v>
      </c>
      <c r="H256" s="1" t="s">
        <v>3</v>
      </c>
      <c r="I256" s="1">
        <v>33</v>
      </c>
      <c r="J256" s="14">
        <f>Table[[#This Row],[Sell Value]]*Table[[#This Row],[Selling Price]]</f>
        <v>134772</v>
      </c>
      <c r="K256" s="1" t="s">
        <v>4</v>
      </c>
      <c r="L256" s="1" t="s">
        <v>47</v>
      </c>
      <c r="M256" s="1" t="s">
        <v>61</v>
      </c>
      <c r="N256" s="1">
        <v>0.2</v>
      </c>
      <c r="O256" s="1" t="s">
        <v>82</v>
      </c>
      <c r="P256" s="1" t="s">
        <v>7</v>
      </c>
    </row>
    <row r="257" spans="1:16" x14ac:dyDescent="0.25">
      <c r="A257" s="1">
        <v>48759631</v>
      </c>
      <c r="B257" s="1" t="s">
        <v>16</v>
      </c>
      <c r="C257" s="1" t="s">
        <v>17</v>
      </c>
      <c r="D257" s="1">
        <v>48503</v>
      </c>
      <c r="E257" s="1">
        <v>3095</v>
      </c>
      <c r="F257" s="1">
        <v>39</v>
      </c>
      <c r="G257" s="13">
        <f>Table[[#This Row],[Return Value]]/Table[[#This Row],[Sell Value]]</f>
        <v>1.2600969305331179E-2</v>
      </c>
      <c r="H257" s="1" t="s">
        <v>28</v>
      </c>
      <c r="I257" s="1">
        <v>43</v>
      </c>
      <c r="J257" s="14">
        <f>Table[[#This Row],[Sell Value]]*Table[[#This Row],[Selling Price]]</f>
        <v>133085</v>
      </c>
      <c r="K257" s="1" t="s">
        <v>4</v>
      </c>
      <c r="L257" s="1" t="s">
        <v>51</v>
      </c>
      <c r="M257" s="1" t="s">
        <v>26</v>
      </c>
      <c r="N257" s="1">
        <v>0.2</v>
      </c>
      <c r="O257" s="1" t="s">
        <v>82</v>
      </c>
      <c r="P257" s="1" t="s">
        <v>23</v>
      </c>
    </row>
    <row r="258" spans="1:16" x14ac:dyDescent="0.25">
      <c r="A258" s="1">
        <v>323835594</v>
      </c>
      <c r="B258" s="1" t="s">
        <v>20</v>
      </c>
      <c r="C258" s="1" t="s">
        <v>17</v>
      </c>
      <c r="D258" s="1">
        <v>47489</v>
      </c>
      <c r="E258" s="1">
        <v>4490</v>
      </c>
      <c r="F258" s="1">
        <v>22</v>
      </c>
      <c r="G258" s="13">
        <f>Table[[#This Row],[Return Value]]/Table[[#This Row],[Sell Value]]</f>
        <v>4.8997772828507794E-3</v>
      </c>
      <c r="H258" s="1" t="s">
        <v>3</v>
      </c>
      <c r="I258" s="1">
        <v>45</v>
      </c>
      <c r="J258" s="14">
        <f>Table[[#This Row],[Sell Value]]*Table[[#This Row],[Selling Price]]</f>
        <v>202050</v>
      </c>
      <c r="K258" s="1" t="s">
        <v>4</v>
      </c>
      <c r="L258" s="1" t="s">
        <v>54</v>
      </c>
      <c r="M258" s="1" t="s">
        <v>48</v>
      </c>
      <c r="N258" s="1">
        <v>0.2</v>
      </c>
      <c r="O258" s="1" t="s">
        <v>81</v>
      </c>
      <c r="P258" s="1" t="s">
        <v>15</v>
      </c>
    </row>
    <row r="259" spans="1:16" x14ac:dyDescent="0.25">
      <c r="A259" s="1">
        <v>85214067</v>
      </c>
      <c r="B259" s="1" t="s">
        <v>24</v>
      </c>
      <c r="C259" s="1" t="s">
        <v>2</v>
      </c>
      <c r="D259" s="1">
        <v>47517</v>
      </c>
      <c r="E259" s="1">
        <v>2044</v>
      </c>
      <c r="F259" s="1">
        <v>15</v>
      </c>
      <c r="G259" s="13">
        <f>Table[[#This Row],[Return Value]]/Table[[#This Row],[Sell Value]]</f>
        <v>7.3385518590998039E-3</v>
      </c>
      <c r="H259" s="1" t="s">
        <v>3</v>
      </c>
      <c r="I259" s="1">
        <v>35</v>
      </c>
      <c r="J259" s="14">
        <f>Table[[#This Row],[Sell Value]]*Table[[#This Row],[Selling Price]]</f>
        <v>71540</v>
      </c>
      <c r="K259" s="1" t="s">
        <v>4</v>
      </c>
      <c r="L259" s="1" t="s">
        <v>57</v>
      </c>
      <c r="M259" s="1" t="s">
        <v>26</v>
      </c>
      <c r="N259" s="1">
        <v>0.2</v>
      </c>
      <c r="O259" s="1" t="s">
        <v>82</v>
      </c>
      <c r="P259" s="1" t="s">
        <v>49</v>
      </c>
    </row>
    <row r="260" spans="1:16" x14ac:dyDescent="0.25">
      <c r="A260" s="1">
        <v>582419811</v>
      </c>
      <c r="B260" s="1" t="s">
        <v>27</v>
      </c>
      <c r="C260" s="1" t="s">
        <v>2</v>
      </c>
      <c r="D260" s="1">
        <v>47607</v>
      </c>
      <c r="E260" s="1">
        <v>3522</v>
      </c>
      <c r="F260" s="1">
        <v>30</v>
      </c>
      <c r="G260" s="13">
        <f>Table[[#This Row],[Return Value]]/Table[[#This Row],[Sell Value]]</f>
        <v>8.5178875638841564E-3</v>
      </c>
      <c r="H260" s="1" t="s">
        <v>3</v>
      </c>
      <c r="I260" s="1">
        <v>27</v>
      </c>
      <c r="J260" s="14">
        <f>Table[[#This Row],[Sell Value]]*Table[[#This Row],[Selling Price]]</f>
        <v>95094</v>
      </c>
      <c r="K260" s="1" t="s">
        <v>4</v>
      </c>
      <c r="L260" s="1" t="s">
        <v>5</v>
      </c>
      <c r="M260" s="1" t="s">
        <v>14</v>
      </c>
      <c r="N260" s="1">
        <v>0.2</v>
      </c>
      <c r="O260" s="1" t="s">
        <v>81</v>
      </c>
      <c r="P260" s="1" t="s">
        <v>23</v>
      </c>
    </row>
    <row r="261" spans="1:16" x14ac:dyDescent="0.25">
      <c r="A261" s="1">
        <v>633226472</v>
      </c>
      <c r="B261" s="1" t="s">
        <v>32</v>
      </c>
      <c r="C261" s="1" t="s">
        <v>17</v>
      </c>
      <c r="D261" s="1">
        <v>48379</v>
      </c>
      <c r="E261" s="1">
        <v>3071</v>
      </c>
      <c r="F261" s="1">
        <v>21</v>
      </c>
      <c r="G261" s="13">
        <f>Table[[#This Row],[Return Value]]/Table[[#This Row],[Sell Value]]</f>
        <v>6.8381634646694891E-3</v>
      </c>
      <c r="H261" s="1" t="s">
        <v>3</v>
      </c>
      <c r="I261" s="1">
        <v>48</v>
      </c>
      <c r="J261" s="14">
        <f>Table[[#This Row],[Sell Value]]*Table[[#This Row],[Selling Price]]</f>
        <v>147408</v>
      </c>
      <c r="K261" s="1" t="s">
        <v>4</v>
      </c>
      <c r="L261" s="1" t="s">
        <v>9</v>
      </c>
      <c r="M261" s="1" t="s">
        <v>61</v>
      </c>
      <c r="N261" s="1">
        <v>0.2</v>
      </c>
      <c r="O261" s="1" t="s">
        <v>82</v>
      </c>
      <c r="P261" s="1" t="s">
        <v>60</v>
      </c>
    </row>
    <row r="262" spans="1:16" x14ac:dyDescent="0.25">
      <c r="A262" s="1">
        <v>716113475</v>
      </c>
      <c r="B262" s="1" t="s">
        <v>34</v>
      </c>
      <c r="C262" s="1" t="s">
        <v>2</v>
      </c>
      <c r="D262" s="1">
        <v>48011</v>
      </c>
      <c r="E262" s="1">
        <v>2012</v>
      </c>
      <c r="F262" s="1">
        <v>45</v>
      </c>
      <c r="G262" s="13">
        <f>Table[[#This Row],[Return Value]]/Table[[#This Row],[Sell Value]]</f>
        <v>2.2365805168986085E-2</v>
      </c>
      <c r="H262" s="1" t="s">
        <v>3</v>
      </c>
      <c r="I262" s="1">
        <v>25</v>
      </c>
      <c r="J262" s="14">
        <f>Table[[#This Row],[Sell Value]]*Table[[#This Row],[Selling Price]]</f>
        <v>50300</v>
      </c>
      <c r="K262" s="1" t="s">
        <v>4</v>
      </c>
      <c r="L262" s="1" t="s">
        <v>13</v>
      </c>
      <c r="M262" s="1" t="s">
        <v>22</v>
      </c>
      <c r="N262" s="1">
        <v>0.2</v>
      </c>
      <c r="O262" s="1" t="s">
        <v>82</v>
      </c>
      <c r="P262" s="1" t="s">
        <v>45</v>
      </c>
    </row>
    <row r="263" spans="1:16" x14ac:dyDescent="0.25">
      <c r="A263" s="1">
        <v>551941495</v>
      </c>
      <c r="B263" s="1" t="s">
        <v>37</v>
      </c>
      <c r="C263" s="1" t="s">
        <v>17</v>
      </c>
      <c r="D263" s="1">
        <v>48262</v>
      </c>
      <c r="E263" s="1">
        <v>4555</v>
      </c>
      <c r="F263" s="1">
        <v>38</v>
      </c>
      <c r="G263" s="13">
        <f>Table[[#This Row],[Return Value]]/Table[[#This Row],[Sell Value]]</f>
        <v>8.3424807903402856E-3</v>
      </c>
      <c r="H263" s="1" t="s">
        <v>28</v>
      </c>
      <c r="I263" s="1">
        <v>36</v>
      </c>
      <c r="J263" s="14">
        <f>Table[[#This Row],[Sell Value]]*Table[[#This Row],[Selling Price]]</f>
        <v>163980</v>
      </c>
      <c r="K263" s="1" t="s">
        <v>4</v>
      </c>
      <c r="L263" s="1" t="s">
        <v>18</v>
      </c>
      <c r="M263" s="1" t="s">
        <v>10</v>
      </c>
      <c r="N263" s="1">
        <v>0.2</v>
      </c>
      <c r="O263" s="1" t="s">
        <v>81</v>
      </c>
      <c r="P263" s="1" t="s">
        <v>65</v>
      </c>
    </row>
    <row r="264" spans="1:16" x14ac:dyDescent="0.25">
      <c r="A264" s="1">
        <v>470546714</v>
      </c>
      <c r="B264" s="1" t="s">
        <v>40</v>
      </c>
      <c r="C264" s="1" t="s">
        <v>17</v>
      </c>
      <c r="D264" s="1">
        <v>47661</v>
      </c>
      <c r="E264" s="1">
        <v>4212</v>
      </c>
      <c r="F264" s="1">
        <v>30</v>
      </c>
      <c r="G264" s="13">
        <f>Table[[#This Row],[Return Value]]/Table[[#This Row],[Sell Value]]</f>
        <v>7.1225071225071226E-3</v>
      </c>
      <c r="H264" s="1" t="s">
        <v>3</v>
      </c>
      <c r="I264" s="1">
        <v>42</v>
      </c>
      <c r="J264" s="14">
        <f>Table[[#This Row],[Sell Value]]*Table[[#This Row],[Selling Price]]</f>
        <v>176904</v>
      </c>
      <c r="K264" s="1" t="s">
        <v>4</v>
      </c>
      <c r="L264" s="1" t="s">
        <v>21</v>
      </c>
      <c r="M264" s="1" t="s">
        <v>48</v>
      </c>
      <c r="N264" s="1">
        <v>0.2</v>
      </c>
      <c r="O264" s="1" t="s">
        <v>81</v>
      </c>
      <c r="P264" s="1" t="s">
        <v>39</v>
      </c>
    </row>
    <row r="265" spans="1:16" x14ac:dyDescent="0.25">
      <c r="A265" s="1">
        <v>529666115</v>
      </c>
      <c r="B265" s="1" t="s">
        <v>42</v>
      </c>
      <c r="C265" s="1" t="s">
        <v>2</v>
      </c>
      <c r="D265" s="1">
        <v>48381</v>
      </c>
      <c r="E265" s="1">
        <v>2078</v>
      </c>
      <c r="F265" s="1">
        <v>38</v>
      </c>
      <c r="G265" s="13">
        <f>Table[[#This Row],[Return Value]]/Table[[#This Row],[Sell Value]]</f>
        <v>1.8286814244465831E-2</v>
      </c>
      <c r="H265" s="1" t="s">
        <v>28</v>
      </c>
      <c r="I265" s="1">
        <v>45</v>
      </c>
      <c r="J265" s="14">
        <f>Table[[#This Row],[Sell Value]]*Table[[#This Row],[Selling Price]]</f>
        <v>93510</v>
      </c>
      <c r="K265" s="1" t="s">
        <v>4</v>
      </c>
      <c r="L265" s="1" t="s">
        <v>25</v>
      </c>
      <c r="M265" s="1" t="s">
        <v>44</v>
      </c>
      <c r="N265" s="1">
        <v>0.2</v>
      </c>
      <c r="O265" s="1" t="s">
        <v>82</v>
      </c>
      <c r="P265" s="1" t="s">
        <v>65</v>
      </c>
    </row>
    <row r="266" spans="1:16" x14ac:dyDescent="0.25">
      <c r="A266" s="1">
        <v>161129733</v>
      </c>
      <c r="B266" s="1" t="s">
        <v>46</v>
      </c>
      <c r="C266" s="1" t="s">
        <v>2</v>
      </c>
      <c r="D266" s="1">
        <v>48324</v>
      </c>
      <c r="E266" s="1">
        <v>4874</v>
      </c>
      <c r="F266" s="1">
        <v>49</v>
      </c>
      <c r="G266" s="13">
        <f>Table[[#This Row],[Return Value]]/Table[[#This Row],[Sell Value]]</f>
        <v>1.0053344275748872E-2</v>
      </c>
      <c r="H266" s="1" t="s">
        <v>28</v>
      </c>
      <c r="I266" s="1">
        <v>47</v>
      </c>
      <c r="J266" s="14">
        <f>Table[[#This Row],[Sell Value]]*Table[[#This Row],[Selling Price]]</f>
        <v>229078</v>
      </c>
      <c r="K266" s="1" t="s">
        <v>4</v>
      </c>
      <c r="L266" s="1" t="s">
        <v>29</v>
      </c>
      <c r="M266" s="1" t="s">
        <v>6</v>
      </c>
      <c r="N266" s="1">
        <v>0.2</v>
      </c>
      <c r="O266" s="1" t="s">
        <v>81</v>
      </c>
      <c r="P266" s="1" t="s">
        <v>11</v>
      </c>
    </row>
    <row r="267" spans="1:16" x14ac:dyDescent="0.25">
      <c r="A267" s="1">
        <v>99107275</v>
      </c>
      <c r="B267" s="1" t="s">
        <v>12</v>
      </c>
      <c r="C267" s="1" t="s">
        <v>2</v>
      </c>
      <c r="D267" s="1">
        <v>47643</v>
      </c>
      <c r="E267" s="1">
        <v>2202</v>
      </c>
      <c r="F267" s="1">
        <v>18</v>
      </c>
      <c r="G267" s="13">
        <f>Table[[#This Row],[Return Value]]/Table[[#This Row],[Sell Value]]</f>
        <v>8.1743869209809257E-3</v>
      </c>
      <c r="H267" s="1" t="s">
        <v>3</v>
      </c>
      <c r="I267" s="1">
        <v>38</v>
      </c>
      <c r="J267" s="14">
        <f>Table[[#This Row],[Sell Value]]*Table[[#This Row],[Selling Price]]</f>
        <v>83676</v>
      </c>
      <c r="K267" s="1" t="s">
        <v>4</v>
      </c>
      <c r="L267" s="1" t="s">
        <v>29</v>
      </c>
      <c r="M267" s="1" t="s">
        <v>61</v>
      </c>
      <c r="N267" s="1">
        <v>0.2</v>
      </c>
      <c r="O267" s="1" t="s">
        <v>81</v>
      </c>
      <c r="P267" s="1" t="s">
        <v>52</v>
      </c>
    </row>
    <row r="268" spans="1:16" x14ac:dyDescent="0.25">
      <c r="A268" s="1">
        <v>931846150</v>
      </c>
      <c r="B268" s="1" t="s">
        <v>16</v>
      </c>
      <c r="C268" s="1" t="s">
        <v>17</v>
      </c>
      <c r="D268" s="1">
        <v>47936</v>
      </c>
      <c r="E268" s="1">
        <v>1950</v>
      </c>
      <c r="F268" s="1">
        <v>39</v>
      </c>
      <c r="G268" s="13">
        <f>Table[[#This Row],[Return Value]]/Table[[#This Row],[Sell Value]]</f>
        <v>0.02</v>
      </c>
      <c r="H268" s="1" t="s">
        <v>3</v>
      </c>
      <c r="I268" s="1">
        <v>37</v>
      </c>
      <c r="J268" s="14">
        <f>Table[[#This Row],[Sell Value]]*Table[[#This Row],[Selling Price]]</f>
        <v>72150</v>
      </c>
      <c r="K268" s="1" t="s">
        <v>4</v>
      </c>
      <c r="L268" s="1" t="s">
        <v>35</v>
      </c>
      <c r="M268" s="1" t="s">
        <v>22</v>
      </c>
      <c r="N268" s="1">
        <v>0.2</v>
      </c>
      <c r="O268" s="1" t="s">
        <v>82</v>
      </c>
      <c r="P268" s="1" t="s">
        <v>23</v>
      </c>
    </row>
    <row r="269" spans="1:16" x14ac:dyDescent="0.25">
      <c r="A269" s="1">
        <v>633393832</v>
      </c>
      <c r="B269" s="1" t="s">
        <v>20</v>
      </c>
      <c r="C269" s="1" t="s">
        <v>17</v>
      </c>
      <c r="D269" s="1">
        <v>47743</v>
      </c>
      <c r="E269" s="1">
        <v>1552</v>
      </c>
      <c r="F269" s="1">
        <v>30</v>
      </c>
      <c r="G269" s="13">
        <f>Table[[#This Row],[Return Value]]/Table[[#This Row],[Sell Value]]</f>
        <v>1.9329896907216496E-2</v>
      </c>
      <c r="H269" s="1" t="s">
        <v>3</v>
      </c>
      <c r="I269" s="1">
        <v>33</v>
      </c>
      <c r="J269" s="14">
        <f>Table[[#This Row],[Sell Value]]*Table[[#This Row],[Selling Price]]</f>
        <v>51216</v>
      </c>
      <c r="K269" s="1" t="s">
        <v>4</v>
      </c>
      <c r="L269" s="1" t="s">
        <v>38</v>
      </c>
      <c r="M269" s="1" t="s">
        <v>59</v>
      </c>
      <c r="N269" s="1">
        <v>0.2</v>
      </c>
      <c r="O269" s="1" t="s">
        <v>82</v>
      </c>
      <c r="P269" s="1" t="s">
        <v>66</v>
      </c>
    </row>
    <row r="270" spans="1:16" x14ac:dyDescent="0.25">
      <c r="A270" s="1">
        <v>182030758</v>
      </c>
      <c r="B270" s="1" t="s">
        <v>24</v>
      </c>
      <c r="C270" s="1" t="s">
        <v>2</v>
      </c>
      <c r="D270" s="1">
        <v>48006</v>
      </c>
      <c r="E270" s="1">
        <v>3959</v>
      </c>
      <c r="F270" s="1">
        <v>46</v>
      </c>
      <c r="G270" s="13">
        <f>Table[[#This Row],[Return Value]]/Table[[#This Row],[Sell Value]]</f>
        <v>1.1619095731245263E-2</v>
      </c>
      <c r="H270" s="1" t="s">
        <v>3</v>
      </c>
      <c r="I270" s="1">
        <v>33</v>
      </c>
      <c r="J270" s="14">
        <f>Table[[#This Row],[Sell Value]]*Table[[#This Row],[Selling Price]]</f>
        <v>130647</v>
      </c>
      <c r="K270" s="1" t="s">
        <v>4</v>
      </c>
      <c r="L270" s="1" t="s">
        <v>41</v>
      </c>
      <c r="M270" s="1" t="s">
        <v>10</v>
      </c>
      <c r="N270" s="1">
        <v>0.2</v>
      </c>
      <c r="O270" s="1" t="s">
        <v>82</v>
      </c>
      <c r="P270" s="1" t="s">
        <v>23</v>
      </c>
    </row>
    <row r="271" spans="1:16" x14ac:dyDescent="0.25">
      <c r="A271" s="1">
        <v>727393723</v>
      </c>
      <c r="B271" s="1" t="s">
        <v>27</v>
      </c>
      <c r="C271" s="1" t="s">
        <v>2</v>
      </c>
      <c r="D271" s="1">
        <v>48168</v>
      </c>
      <c r="E271" s="1">
        <v>2416</v>
      </c>
      <c r="F271" s="1">
        <v>44</v>
      </c>
      <c r="G271" s="13">
        <f>Table[[#This Row],[Return Value]]/Table[[#This Row],[Sell Value]]</f>
        <v>1.8211920529801324E-2</v>
      </c>
      <c r="H271" s="1" t="s">
        <v>3</v>
      </c>
      <c r="I271" s="1">
        <v>28</v>
      </c>
      <c r="J271" s="14">
        <f>Table[[#This Row],[Sell Value]]*Table[[#This Row],[Selling Price]]</f>
        <v>67648</v>
      </c>
      <c r="K271" s="1" t="s">
        <v>4</v>
      </c>
      <c r="L271" s="1" t="s">
        <v>43</v>
      </c>
      <c r="M271" s="1" t="s">
        <v>33</v>
      </c>
      <c r="N271" s="1">
        <v>0.2</v>
      </c>
      <c r="O271" s="1" t="s">
        <v>82</v>
      </c>
      <c r="P271" s="1" t="s">
        <v>60</v>
      </c>
    </row>
    <row r="272" spans="1:16" x14ac:dyDescent="0.25">
      <c r="A272" s="1">
        <v>346920927</v>
      </c>
      <c r="B272" s="1" t="s">
        <v>32</v>
      </c>
      <c r="C272" s="1" t="s">
        <v>17</v>
      </c>
      <c r="D272" s="1">
        <v>48561</v>
      </c>
      <c r="E272" s="1">
        <v>3385</v>
      </c>
      <c r="F272" s="1">
        <v>33</v>
      </c>
      <c r="G272" s="13">
        <f>Table[[#This Row],[Return Value]]/Table[[#This Row],[Sell Value]]</f>
        <v>9.7488921713441649E-3</v>
      </c>
      <c r="H272" s="1" t="s">
        <v>3</v>
      </c>
      <c r="I272" s="1">
        <v>35</v>
      </c>
      <c r="J272" s="14">
        <f>Table[[#This Row],[Sell Value]]*Table[[#This Row],[Selling Price]]</f>
        <v>118475</v>
      </c>
      <c r="K272" s="1" t="s">
        <v>4</v>
      </c>
      <c r="L272" s="1" t="s">
        <v>47</v>
      </c>
      <c r="M272" s="1" t="s">
        <v>59</v>
      </c>
      <c r="N272" s="1">
        <v>0.2</v>
      </c>
      <c r="O272" s="1" t="s">
        <v>81</v>
      </c>
      <c r="P272" s="1" t="s">
        <v>65</v>
      </c>
    </row>
    <row r="273" spans="1:16" x14ac:dyDescent="0.25">
      <c r="A273" s="1">
        <v>736238785</v>
      </c>
      <c r="B273" s="1" t="s">
        <v>34</v>
      </c>
      <c r="C273" s="1" t="s">
        <v>2</v>
      </c>
      <c r="D273" s="1">
        <v>47876</v>
      </c>
      <c r="E273" s="1">
        <v>4123</v>
      </c>
      <c r="F273" s="1">
        <v>23</v>
      </c>
      <c r="G273" s="13">
        <f>Table[[#This Row],[Return Value]]/Table[[#This Row],[Sell Value]]</f>
        <v>5.5784622847441182E-3</v>
      </c>
      <c r="H273" s="1" t="s">
        <v>3</v>
      </c>
      <c r="I273" s="1">
        <v>25</v>
      </c>
      <c r="J273" s="14">
        <f>Table[[#This Row],[Sell Value]]*Table[[#This Row],[Selling Price]]</f>
        <v>103075</v>
      </c>
      <c r="K273" s="1" t="s">
        <v>4</v>
      </c>
      <c r="L273" s="1" t="s">
        <v>51</v>
      </c>
      <c r="M273" s="1" t="s">
        <v>30</v>
      </c>
      <c r="N273" s="1">
        <v>0.2</v>
      </c>
      <c r="O273" s="1" t="s">
        <v>81</v>
      </c>
      <c r="P273" s="1" t="s">
        <v>65</v>
      </c>
    </row>
    <row r="274" spans="1:16" x14ac:dyDescent="0.25">
      <c r="A274" s="1">
        <v>667855935</v>
      </c>
      <c r="B274" s="1" t="s">
        <v>37</v>
      </c>
      <c r="C274" s="1" t="s">
        <v>17</v>
      </c>
      <c r="D274" s="1">
        <v>48091</v>
      </c>
      <c r="E274" s="1">
        <v>1632</v>
      </c>
      <c r="F274" s="1">
        <v>42</v>
      </c>
      <c r="G274" s="13">
        <f>Table[[#This Row],[Return Value]]/Table[[#This Row],[Sell Value]]</f>
        <v>2.5735294117647058E-2</v>
      </c>
      <c r="H274" s="1" t="s">
        <v>28</v>
      </c>
      <c r="I274" s="1">
        <v>24</v>
      </c>
      <c r="J274" s="14">
        <f>Table[[#This Row],[Sell Value]]*Table[[#This Row],[Selling Price]]</f>
        <v>39168</v>
      </c>
      <c r="K274" s="1" t="s">
        <v>4</v>
      </c>
      <c r="L274" s="1" t="s">
        <v>54</v>
      </c>
      <c r="M274" s="1" t="s">
        <v>33</v>
      </c>
      <c r="N274" s="1">
        <v>0.2</v>
      </c>
      <c r="O274" s="1" t="s">
        <v>82</v>
      </c>
      <c r="P274" s="1" t="s">
        <v>39</v>
      </c>
    </row>
    <row r="275" spans="1:16" x14ac:dyDescent="0.25">
      <c r="A275" s="1">
        <v>871617400</v>
      </c>
      <c r="B275" s="1" t="s">
        <v>40</v>
      </c>
      <c r="C275" s="1" t="s">
        <v>17</v>
      </c>
      <c r="D275" s="1">
        <v>48151</v>
      </c>
      <c r="E275" s="1">
        <v>2102</v>
      </c>
      <c r="F275" s="1">
        <v>25</v>
      </c>
      <c r="G275" s="13">
        <f>Table[[#This Row],[Return Value]]/Table[[#This Row],[Sell Value]]</f>
        <v>1.1893434823977164E-2</v>
      </c>
      <c r="H275" s="1" t="s">
        <v>3</v>
      </c>
      <c r="I275" s="1">
        <v>42</v>
      </c>
      <c r="J275" s="14">
        <f>Table[[#This Row],[Sell Value]]*Table[[#This Row],[Selling Price]]</f>
        <v>88284</v>
      </c>
      <c r="K275" s="1" t="s">
        <v>4</v>
      </c>
      <c r="L275" s="1" t="s">
        <v>57</v>
      </c>
      <c r="M275" s="1" t="s">
        <v>48</v>
      </c>
      <c r="N275" s="1">
        <v>0.2</v>
      </c>
      <c r="O275" s="1" t="s">
        <v>82</v>
      </c>
      <c r="P275" s="1" t="s">
        <v>7</v>
      </c>
    </row>
    <row r="276" spans="1:16" x14ac:dyDescent="0.25">
      <c r="A276" s="1">
        <v>739189323</v>
      </c>
      <c r="B276" s="1" t="s">
        <v>42</v>
      </c>
      <c r="C276" s="1" t="s">
        <v>2</v>
      </c>
      <c r="D276" s="1">
        <v>47568</v>
      </c>
      <c r="E276" s="1">
        <v>1462</v>
      </c>
      <c r="F276" s="1">
        <v>23</v>
      </c>
      <c r="G276" s="13">
        <f>Table[[#This Row],[Return Value]]/Table[[#This Row],[Sell Value]]</f>
        <v>1.573187414500684E-2</v>
      </c>
      <c r="H276" s="1" t="s">
        <v>3</v>
      </c>
      <c r="I276" s="1">
        <v>35</v>
      </c>
      <c r="J276" s="14">
        <f>Table[[#This Row],[Sell Value]]*Table[[#This Row],[Selling Price]]</f>
        <v>51170</v>
      </c>
      <c r="K276" s="1" t="s">
        <v>4</v>
      </c>
      <c r="L276" s="1" t="s">
        <v>5</v>
      </c>
      <c r="M276" s="1" t="s">
        <v>30</v>
      </c>
      <c r="N276" s="1">
        <v>0.2</v>
      </c>
      <c r="O276" s="1" t="s">
        <v>81</v>
      </c>
      <c r="P276" s="1" t="s">
        <v>31</v>
      </c>
    </row>
    <row r="277" spans="1:16" x14ac:dyDescent="0.25">
      <c r="A277" s="1">
        <v>167072191</v>
      </c>
      <c r="B277" s="1" t="s">
        <v>46</v>
      </c>
      <c r="C277" s="1" t="s">
        <v>2</v>
      </c>
      <c r="D277" s="1">
        <v>47939</v>
      </c>
      <c r="E277" s="1">
        <v>3236</v>
      </c>
      <c r="F277" s="1">
        <v>11</v>
      </c>
      <c r="G277" s="13">
        <f>Table[[#This Row],[Return Value]]/Table[[#This Row],[Sell Value]]</f>
        <v>3.399258343634116E-3</v>
      </c>
      <c r="H277" s="1" t="s">
        <v>3</v>
      </c>
      <c r="I277" s="1">
        <v>42</v>
      </c>
      <c r="J277" s="14">
        <f>Table[[#This Row],[Sell Value]]*Table[[#This Row],[Selling Price]]</f>
        <v>135912</v>
      </c>
      <c r="K277" s="1" t="s">
        <v>4</v>
      </c>
      <c r="L277" s="1" t="s">
        <v>9</v>
      </c>
      <c r="M277" s="1" t="s">
        <v>33</v>
      </c>
      <c r="N277" s="1">
        <v>0.2</v>
      </c>
      <c r="O277" s="1" t="s">
        <v>81</v>
      </c>
      <c r="P277" s="1" t="s">
        <v>31</v>
      </c>
    </row>
    <row r="278" spans="1:16" x14ac:dyDescent="0.25">
      <c r="A278" s="1">
        <v>490753729</v>
      </c>
      <c r="B278" s="1" t="s">
        <v>50</v>
      </c>
      <c r="C278" s="1" t="s">
        <v>2</v>
      </c>
      <c r="D278" s="1">
        <v>47887</v>
      </c>
      <c r="E278" s="1">
        <v>3818</v>
      </c>
      <c r="F278" s="1">
        <v>20</v>
      </c>
      <c r="G278" s="13">
        <f>Table[[#This Row],[Return Value]]/Table[[#This Row],[Sell Value]]</f>
        <v>5.2383446830801469E-3</v>
      </c>
      <c r="H278" s="1" t="s">
        <v>3</v>
      </c>
      <c r="I278" s="1">
        <v>27</v>
      </c>
      <c r="J278" s="14">
        <f>Table[[#This Row],[Sell Value]]*Table[[#This Row],[Selling Price]]</f>
        <v>103086</v>
      </c>
      <c r="K278" s="1" t="s">
        <v>4</v>
      </c>
      <c r="L278" s="1" t="s">
        <v>13</v>
      </c>
      <c r="M278" s="1" t="s">
        <v>6</v>
      </c>
      <c r="N278" s="1">
        <v>0.2</v>
      </c>
      <c r="O278" s="1" t="s">
        <v>82</v>
      </c>
      <c r="P278" s="1" t="s">
        <v>36</v>
      </c>
    </row>
    <row r="279" spans="1:16" x14ac:dyDescent="0.25">
      <c r="A279" s="1">
        <v>523413264</v>
      </c>
      <c r="B279" s="1" t="s">
        <v>53</v>
      </c>
      <c r="C279" s="1" t="s">
        <v>2</v>
      </c>
      <c r="D279" s="1">
        <v>48147</v>
      </c>
      <c r="E279" s="1">
        <v>1961</v>
      </c>
      <c r="F279" s="1">
        <v>46</v>
      </c>
      <c r="G279" s="13">
        <f>Table[[#This Row],[Return Value]]/Table[[#This Row],[Sell Value]]</f>
        <v>2.3457419683834777E-2</v>
      </c>
      <c r="H279" s="1" t="s">
        <v>3</v>
      </c>
      <c r="I279" s="1">
        <v>30</v>
      </c>
      <c r="J279" s="14">
        <f>Table[[#This Row],[Sell Value]]*Table[[#This Row],[Selling Price]]</f>
        <v>58830</v>
      </c>
      <c r="K279" s="1" t="s">
        <v>4</v>
      </c>
      <c r="L279" s="1" t="s">
        <v>18</v>
      </c>
      <c r="M279" s="1" t="s">
        <v>30</v>
      </c>
      <c r="N279" s="1">
        <v>0.2</v>
      </c>
      <c r="O279" s="1" t="s">
        <v>82</v>
      </c>
      <c r="P279" s="1" t="s">
        <v>65</v>
      </c>
    </row>
    <row r="280" spans="1:16" x14ac:dyDescent="0.25">
      <c r="A280" s="1">
        <v>405669941</v>
      </c>
      <c r="B280" s="1" t="s">
        <v>56</v>
      </c>
      <c r="C280" s="1" t="s">
        <v>2</v>
      </c>
      <c r="D280" s="1">
        <v>47793</v>
      </c>
      <c r="E280" s="1">
        <v>4014</v>
      </c>
      <c r="F280" s="1">
        <v>25</v>
      </c>
      <c r="G280" s="13">
        <f>Table[[#This Row],[Return Value]]/Table[[#This Row],[Sell Value]]</f>
        <v>6.2282012954658697E-3</v>
      </c>
      <c r="H280" s="1" t="s">
        <v>28</v>
      </c>
      <c r="I280" s="1">
        <v>28</v>
      </c>
      <c r="J280" s="14">
        <f>Table[[#This Row],[Sell Value]]*Table[[#This Row],[Selling Price]]</f>
        <v>112392</v>
      </c>
      <c r="K280" s="1" t="s">
        <v>4</v>
      </c>
      <c r="L280" s="1" t="s">
        <v>21</v>
      </c>
      <c r="M280" s="1" t="s">
        <v>44</v>
      </c>
      <c r="N280" s="1">
        <v>0.2</v>
      </c>
      <c r="O280" s="1" t="s">
        <v>82</v>
      </c>
      <c r="P280" s="1" t="s">
        <v>52</v>
      </c>
    </row>
    <row r="281" spans="1:16" x14ac:dyDescent="0.25">
      <c r="A281" s="1">
        <v>247006947</v>
      </c>
      <c r="B281" s="1" t="s">
        <v>1</v>
      </c>
      <c r="C281" s="1" t="s">
        <v>2</v>
      </c>
      <c r="D281" s="1">
        <v>48388</v>
      </c>
      <c r="E281" s="1">
        <v>2717</v>
      </c>
      <c r="F281" s="1">
        <v>10</v>
      </c>
      <c r="G281" s="13">
        <f>Table[[#This Row],[Return Value]]/Table[[#This Row],[Sell Value]]</f>
        <v>3.6805299963194702E-3</v>
      </c>
      <c r="H281" s="1" t="s">
        <v>3</v>
      </c>
      <c r="I281" s="1">
        <v>39</v>
      </c>
      <c r="J281" s="14">
        <f>Table[[#This Row],[Sell Value]]*Table[[#This Row],[Selling Price]]</f>
        <v>105963</v>
      </c>
      <c r="K281" s="1" t="s">
        <v>4</v>
      </c>
      <c r="L281" s="1" t="s">
        <v>25</v>
      </c>
      <c r="M281" s="1" t="s">
        <v>26</v>
      </c>
      <c r="N281" s="1">
        <v>0.2</v>
      </c>
      <c r="O281" s="1" t="s">
        <v>81</v>
      </c>
      <c r="P281" s="1" t="s">
        <v>31</v>
      </c>
    </row>
    <row r="282" spans="1:16" x14ac:dyDescent="0.25">
      <c r="A282" s="1">
        <v>485359863</v>
      </c>
      <c r="B282" s="1" t="s">
        <v>8</v>
      </c>
      <c r="C282" s="1" t="s">
        <v>2</v>
      </c>
      <c r="D282" s="1">
        <v>47766</v>
      </c>
      <c r="E282" s="1">
        <v>3563</v>
      </c>
      <c r="F282" s="1">
        <v>19</v>
      </c>
      <c r="G282" s="13">
        <f>Table[[#This Row],[Return Value]]/Table[[#This Row],[Sell Value]]</f>
        <v>5.3325849003648612E-3</v>
      </c>
      <c r="H282" s="1" t="s">
        <v>3</v>
      </c>
      <c r="I282" s="1">
        <v>36</v>
      </c>
      <c r="J282" s="14">
        <f>Table[[#This Row],[Sell Value]]*Table[[#This Row],[Selling Price]]</f>
        <v>128268</v>
      </c>
      <c r="K282" s="1" t="s">
        <v>4</v>
      </c>
      <c r="L282" s="1" t="s">
        <v>29</v>
      </c>
      <c r="M282" s="1" t="s">
        <v>14</v>
      </c>
      <c r="N282" s="1">
        <v>0.2</v>
      </c>
      <c r="O282" s="1" t="s">
        <v>81</v>
      </c>
      <c r="P282" s="1" t="s">
        <v>62</v>
      </c>
    </row>
    <row r="283" spans="1:16" x14ac:dyDescent="0.25">
      <c r="A283" s="1">
        <v>898808771</v>
      </c>
      <c r="B283" s="1" t="s">
        <v>12</v>
      </c>
      <c r="C283" s="1" t="s">
        <v>2</v>
      </c>
      <c r="D283" s="1">
        <v>48362</v>
      </c>
      <c r="E283" s="1">
        <v>1894</v>
      </c>
      <c r="F283" s="1">
        <v>46</v>
      </c>
      <c r="G283" s="13">
        <f>Table[[#This Row],[Return Value]]/Table[[#This Row],[Sell Value]]</f>
        <v>2.4287222808870117E-2</v>
      </c>
      <c r="H283" s="1" t="s">
        <v>3</v>
      </c>
      <c r="I283" s="1">
        <v>46</v>
      </c>
      <c r="J283" s="14">
        <f>Table[[#This Row],[Sell Value]]*Table[[#This Row],[Selling Price]]</f>
        <v>87124</v>
      </c>
      <c r="K283" s="1" t="s">
        <v>4</v>
      </c>
      <c r="L283" s="1" t="s">
        <v>29</v>
      </c>
      <c r="M283" s="1" t="s">
        <v>59</v>
      </c>
      <c r="N283" s="1">
        <v>0.2</v>
      </c>
      <c r="O283" s="1" t="s">
        <v>82</v>
      </c>
      <c r="P283" s="1" t="s">
        <v>36</v>
      </c>
    </row>
    <row r="284" spans="1:16" x14ac:dyDescent="0.25">
      <c r="A284" s="1">
        <v>150181758</v>
      </c>
      <c r="B284" s="1" t="s">
        <v>16</v>
      </c>
      <c r="C284" s="1" t="s">
        <v>17</v>
      </c>
      <c r="D284" s="1">
        <v>48351</v>
      </c>
      <c r="E284" s="1">
        <v>1918</v>
      </c>
      <c r="F284" s="1">
        <v>38</v>
      </c>
      <c r="G284" s="13">
        <f>Table[[#This Row],[Return Value]]/Table[[#This Row],[Sell Value]]</f>
        <v>1.9812304483837331E-2</v>
      </c>
      <c r="H284" s="1" t="s">
        <v>3</v>
      </c>
      <c r="I284" s="1">
        <v>41</v>
      </c>
      <c r="J284" s="14">
        <f>Table[[#This Row],[Sell Value]]*Table[[#This Row],[Selling Price]]</f>
        <v>78638</v>
      </c>
      <c r="K284" s="1" t="s">
        <v>4</v>
      </c>
      <c r="L284" s="1" t="s">
        <v>35</v>
      </c>
      <c r="M284" s="1" t="s">
        <v>61</v>
      </c>
      <c r="N284" s="1">
        <v>0.2</v>
      </c>
      <c r="O284" s="1" t="s">
        <v>82</v>
      </c>
      <c r="P284" s="1" t="s">
        <v>45</v>
      </c>
    </row>
    <row r="285" spans="1:16" x14ac:dyDescent="0.25">
      <c r="A285" s="1">
        <v>810630011</v>
      </c>
      <c r="B285" s="1" t="s">
        <v>20</v>
      </c>
      <c r="C285" s="1" t="s">
        <v>17</v>
      </c>
      <c r="D285" s="1">
        <v>48495</v>
      </c>
      <c r="E285" s="1">
        <v>2583</v>
      </c>
      <c r="F285" s="1">
        <v>11</v>
      </c>
      <c r="G285" s="13">
        <f>Table[[#This Row],[Return Value]]/Table[[#This Row],[Sell Value]]</f>
        <v>4.2586140147115757E-3</v>
      </c>
      <c r="H285" s="1" t="s">
        <v>3</v>
      </c>
      <c r="I285" s="1">
        <v>48</v>
      </c>
      <c r="J285" s="14">
        <f>Table[[#This Row],[Sell Value]]*Table[[#This Row],[Selling Price]]</f>
        <v>123984</v>
      </c>
      <c r="K285" s="1" t="s">
        <v>4</v>
      </c>
      <c r="L285" s="1" t="s">
        <v>38</v>
      </c>
      <c r="M285" s="1" t="s">
        <v>33</v>
      </c>
      <c r="N285" s="1">
        <v>0.2</v>
      </c>
      <c r="O285" s="1" t="s">
        <v>82</v>
      </c>
      <c r="P285" s="1" t="s">
        <v>15</v>
      </c>
    </row>
    <row r="286" spans="1:16" x14ac:dyDescent="0.25">
      <c r="A286" s="1">
        <v>871304217</v>
      </c>
      <c r="B286" s="1" t="s">
        <v>24</v>
      </c>
      <c r="C286" s="1" t="s">
        <v>2</v>
      </c>
      <c r="D286" s="1">
        <v>48232</v>
      </c>
      <c r="E286" s="1">
        <v>3942</v>
      </c>
      <c r="F286" s="1">
        <v>20</v>
      </c>
      <c r="G286" s="13">
        <f>Table[[#This Row],[Return Value]]/Table[[#This Row],[Sell Value]]</f>
        <v>5.0735667174023336E-3</v>
      </c>
      <c r="H286" s="1" t="s">
        <v>3</v>
      </c>
      <c r="I286" s="1">
        <v>39</v>
      </c>
      <c r="J286" s="14">
        <f>Table[[#This Row],[Sell Value]]*Table[[#This Row],[Selling Price]]</f>
        <v>153738</v>
      </c>
      <c r="K286" s="1" t="s">
        <v>4</v>
      </c>
      <c r="L286" s="1" t="s">
        <v>41</v>
      </c>
      <c r="M286" s="1" t="s">
        <v>10</v>
      </c>
      <c r="N286" s="1">
        <v>0.2</v>
      </c>
      <c r="O286" s="1" t="s">
        <v>82</v>
      </c>
      <c r="P286" s="1" t="s">
        <v>65</v>
      </c>
    </row>
    <row r="287" spans="1:16" x14ac:dyDescent="0.25">
      <c r="A287" s="1">
        <v>277913865</v>
      </c>
      <c r="B287" s="1" t="s">
        <v>27</v>
      </c>
      <c r="C287" s="1" t="s">
        <v>2</v>
      </c>
      <c r="D287" s="1">
        <v>47723</v>
      </c>
      <c r="E287" s="1">
        <v>1173</v>
      </c>
      <c r="F287" s="1">
        <v>10</v>
      </c>
      <c r="G287" s="13">
        <f>Table[[#This Row],[Return Value]]/Table[[#This Row],[Sell Value]]</f>
        <v>8.5251491901108273E-3</v>
      </c>
      <c r="H287" s="1" t="s">
        <v>3</v>
      </c>
      <c r="I287" s="1">
        <v>48</v>
      </c>
      <c r="J287" s="14">
        <f>Table[[#This Row],[Sell Value]]*Table[[#This Row],[Selling Price]]</f>
        <v>56304</v>
      </c>
      <c r="K287" s="1" t="s">
        <v>4</v>
      </c>
      <c r="L287" s="1" t="s">
        <v>43</v>
      </c>
      <c r="M287" s="1" t="s">
        <v>48</v>
      </c>
      <c r="N287" s="1">
        <v>0.2</v>
      </c>
      <c r="O287" s="1" t="s">
        <v>81</v>
      </c>
      <c r="P287" s="1" t="s">
        <v>36</v>
      </c>
    </row>
    <row r="288" spans="1:16" x14ac:dyDescent="0.25">
      <c r="A288" s="1">
        <v>422523087</v>
      </c>
      <c r="B288" s="1" t="s">
        <v>32</v>
      </c>
      <c r="C288" s="1" t="s">
        <v>17</v>
      </c>
      <c r="D288" s="1">
        <v>48385</v>
      </c>
      <c r="E288" s="1">
        <v>3655</v>
      </c>
      <c r="F288" s="1">
        <v>32</v>
      </c>
      <c r="G288" s="13">
        <f>Table[[#This Row],[Return Value]]/Table[[#This Row],[Sell Value]]</f>
        <v>8.7551299589603282E-3</v>
      </c>
      <c r="H288" s="1" t="s">
        <v>3</v>
      </c>
      <c r="I288" s="1">
        <v>41</v>
      </c>
      <c r="J288" s="14">
        <f>Table[[#This Row],[Sell Value]]*Table[[#This Row],[Selling Price]]</f>
        <v>149855</v>
      </c>
      <c r="K288" s="1" t="s">
        <v>4</v>
      </c>
      <c r="L288" s="1" t="s">
        <v>47</v>
      </c>
      <c r="M288" s="1" t="s">
        <v>14</v>
      </c>
      <c r="N288" s="1">
        <v>0.2</v>
      </c>
      <c r="O288" s="1" t="s">
        <v>81</v>
      </c>
      <c r="P288" s="1" t="s">
        <v>39</v>
      </c>
    </row>
    <row r="289" spans="1:16" x14ac:dyDescent="0.25">
      <c r="A289" s="1">
        <v>278583501</v>
      </c>
      <c r="B289" s="1" t="s">
        <v>34</v>
      </c>
      <c r="C289" s="1" t="s">
        <v>2</v>
      </c>
      <c r="D289" s="1">
        <v>47771</v>
      </c>
      <c r="E289" s="1">
        <v>2446</v>
      </c>
      <c r="F289" s="1">
        <v>33</v>
      </c>
      <c r="G289" s="13">
        <f>Table[[#This Row],[Return Value]]/Table[[#This Row],[Sell Value]]</f>
        <v>1.3491414554374489E-2</v>
      </c>
      <c r="H289" s="1" t="s">
        <v>3</v>
      </c>
      <c r="I289" s="1">
        <v>45</v>
      </c>
      <c r="J289" s="14">
        <f>Table[[#This Row],[Sell Value]]*Table[[#This Row],[Selling Price]]</f>
        <v>110070</v>
      </c>
      <c r="K289" s="1" t="s">
        <v>4</v>
      </c>
      <c r="L289" s="1" t="s">
        <v>51</v>
      </c>
      <c r="M289" s="1" t="s">
        <v>48</v>
      </c>
      <c r="N289" s="1">
        <v>0.2</v>
      </c>
      <c r="O289" s="1" t="s">
        <v>81</v>
      </c>
      <c r="P289" s="1" t="s">
        <v>19</v>
      </c>
    </row>
    <row r="290" spans="1:16" x14ac:dyDescent="0.25">
      <c r="A290" s="1">
        <v>510933382</v>
      </c>
      <c r="B290" s="1" t="s">
        <v>37</v>
      </c>
      <c r="C290" s="1" t="s">
        <v>17</v>
      </c>
      <c r="D290" s="1">
        <v>48067</v>
      </c>
      <c r="E290" s="1">
        <v>1645</v>
      </c>
      <c r="F290" s="1">
        <v>26</v>
      </c>
      <c r="G290" s="13">
        <f>Table[[#This Row],[Return Value]]/Table[[#This Row],[Sell Value]]</f>
        <v>1.5805471124620062E-2</v>
      </c>
      <c r="H290" s="1" t="s">
        <v>3</v>
      </c>
      <c r="I290" s="1">
        <v>47</v>
      </c>
      <c r="J290" s="14">
        <f>Table[[#This Row],[Sell Value]]*Table[[#This Row],[Selling Price]]</f>
        <v>77315</v>
      </c>
      <c r="K290" s="1" t="s">
        <v>4</v>
      </c>
      <c r="L290" s="1" t="s">
        <v>54</v>
      </c>
      <c r="M290" s="1" t="s">
        <v>30</v>
      </c>
      <c r="N290" s="1">
        <v>0.2</v>
      </c>
      <c r="O290" s="1" t="s">
        <v>82</v>
      </c>
      <c r="P290" s="1" t="s">
        <v>23</v>
      </c>
    </row>
    <row r="291" spans="1:16" x14ac:dyDescent="0.25">
      <c r="A291" s="1">
        <v>332049582</v>
      </c>
      <c r="B291" s="1" t="s">
        <v>40</v>
      </c>
      <c r="C291" s="1" t="s">
        <v>17</v>
      </c>
      <c r="D291" s="1">
        <v>47489</v>
      </c>
      <c r="E291" s="1">
        <v>1441</v>
      </c>
      <c r="F291" s="1">
        <v>21</v>
      </c>
      <c r="G291" s="13">
        <f>Table[[#This Row],[Return Value]]/Table[[#This Row],[Sell Value]]</f>
        <v>1.457321304649549E-2</v>
      </c>
      <c r="H291" s="1" t="s">
        <v>28</v>
      </c>
      <c r="I291" s="1">
        <v>48</v>
      </c>
      <c r="J291" s="14">
        <f>Table[[#This Row],[Sell Value]]*Table[[#This Row],[Selling Price]]</f>
        <v>69168</v>
      </c>
      <c r="K291" s="1" t="s">
        <v>4</v>
      </c>
      <c r="L291" s="1" t="s">
        <v>57</v>
      </c>
      <c r="M291" s="1" t="s">
        <v>6</v>
      </c>
      <c r="N291" s="1">
        <v>0.2</v>
      </c>
      <c r="O291" s="1" t="s">
        <v>81</v>
      </c>
      <c r="P291" s="1" t="s">
        <v>65</v>
      </c>
    </row>
    <row r="292" spans="1:16" x14ac:dyDescent="0.25">
      <c r="A292" s="1">
        <v>865117479</v>
      </c>
      <c r="B292" s="1" t="s">
        <v>42</v>
      </c>
      <c r="C292" s="1" t="s">
        <v>2</v>
      </c>
      <c r="D292" s="1">
        <v>48172</v>
      </c>
      <c r="E292" s="1">
        <v>1723</v>
      </c>
      <c r="F292" s="1">
        <v>28</v>
      </c>
      <c r="G292" s="13">
        <f>Table[[#This Row],[Return Value]]/Table[[#This Row],[Sell Value]]</f>
        <v>1.6250725478816019E-2</v>
      </c>
      <c r="H292" s="1" t="s">
        <v>28</v>
      </c>
      <c r="I292" s="1">
        <v>37</v>
      </c>
      <c r="J292" s="14">
        <f>Table[[#This Row],[Sell Value]]*Table[[#This Row],[Selling Price]]</f>
        <v>63751</v>
      </c>
      <c r="K292" s="1" t="s">
        <v>4</v>
      </c>
      <c r="L292" s="1" t="s">
        <v>5</v>
      </c>
      <c r="M292" s="1" t="s">
        <v>33</v>
      </c>
      <c r="N292" s="1">
        <v>0.2</v>
      </c>
      <c r="O292" s="1" t="s">
        <v>82</v>
      </c>
      <c r="P292" s="1" t="s">
        <v>67</v>
      </c>
    </row>
    <row r="293" spans="1:16" x14ac:dyDescent="0.25">
      <c r="A293" s="1">
        <v>130900481</v>
      </c>
      <c r="B293" s="1" t="s">
        <v>46</v>
      </c>
      <c r="C293" s="1" t="s">
        <v>2</v>
      </c>
      <c r="D293" s="1">
        <v>48004</v>
      </c>
      <c r="E293" s="1">
        <v>1172</v>
      </c>
      <c r="F293" s="1">
        <v>31</v>
      </c>
      <c r="G293" s="13">
        <f>Table[[#This Row],[Return Value]]/Table[[#This Row],[Sell Value]]</f>
        <v>2.6450511945392493E-2</v>
      </c>
      <c r="H293" s="1" t="s">
        <v>3</v>
      </c>
      <c r="I293" s="1">
        <v>27</v>
      </c>
      <c r="J293" s="14">
        <f>Table[[#This Row],[Sell Value]]*Table[[#This Row],[Selling Price]]</f>
        <v>31644</v>
      </c>
      <c r="K293" s="1" t="s">
        <v>4</v>
      </c>
      <c r="L293" s="1" t="s">
        <v>9</v>
      </c>
      <c r="M293" s="1" t="s">
        <v>14</v>
      </c>
      <c r="N293" s="1">
        <v>0.2</v>
      </c>
      <c r="O293" s="1" t="s">
        <v>82</v>
      </c>
      <c r="P293" s="1" t="s">
        <v>55</v>
      </c>
    </row>
    <row r="294" spans="1:16" x14ac:dyDescent="0.25">
      <c r="A294" s="1">
        <v>373577705</v>
      </c>
      <c r="B294" s="1" t="s">
        <v>50</v>
      </c>
      <c r="C294" s="1" t="s">
        <v>2</v>
      </c>
      <c r="D294" s="1">
        <v>47987</v>
      </c>
      <c r="E294" s="1">
        <v>4830</v>
      </c>
      <c r="F294" s="1">
        <v>27</v>
      </c>
      <c r="G294" s="13">
        <f>Table[[#This Row],[Return Value]]/Table[[#This Row],[Sell Value]]</f>
        <v>5.5900621118012426E-3</v>
      </c>
      <c r="H294" s="1" t="s">
        <v>64</v>
      </c>
      <c r="I294" s="1">
        <v>48</v>
      </c>
      <c r="J294" s="14">
        <f>Table[[#This Row],[Sell Value]]*Table[[#This Row],[Selling Price]]</f>
        <v>231840</v>
      </c>
      <c r="K294" s="1" t="s">
        <v>4</v>
      </c>
      <c r="L294" s="1" t="s">
        <v>13</v>
      </c>
      <c r="M294" s="1" t="s">
        <v>14</v>
      </c>
      <c r="N294" s="1">
        <v>0.2</v>
      </c>
      <c r="O294" s="1" t="s">
        <v>81</v>
      </c>
      <c r="P294" s="1" t="s">
        <v>23</v>
      </c>
    </row>
    <row r="295" spans="1:16" x14ac:dyDescent="0.25">
      <c r="A295" s="1">
        <v>749959268</v>
      </c>
      <c r="B295" s="1" t="s">
        <v>53</v>
      </c>
      <c r="C295" s="1" t="s">
        <v>2</v>
      </c>
      <c r="D295" s="1">
        <v>47538</v>
      </c>
      <c r="E295" s="1">
        <v>3222</v>
      </c>
      <c r="F295" s="1">
        <v>47</v>
      </c>
      <c r="G295" s="13">
        <f>Table[[#This Row],[Return Value]]/Table[[#This Row],[Sell Value]]</f>
        <v>1.4587212911235258E-2</v>
      </c>
      <c r="H295" s="1" t="s">
        <v>28</v>
      </c>
      <c r="I295" s="1">
        <v>39</v>
      </c>
      <c r="J295" s="14">
        <f>Table[[#This Row],[Sell Value]]*Table[[#This Row],[Selling Price]]</f>
        <v>125658</v>
      </c>
      <c r="K295" s="1" t="s">
        <v>4</v>
      </c>
      <c r="L295" s="1" t="s">
        <v>18</v>
      </c>
      <c r="M295" s="1" t="s">
        <v>22</v>
      </c>
      <c r="N295" s="1">
        <v>0.2</v>
      </c>
      <c r="O295" s="1" t="s">
        <v>81</v>
      </c>
      <c r="P295" s="1" t="s">
        <v>39</v>
      </c>
    </row>
    <row r="296" spans="1:16" x14ac:dyDescent="0.25">
      <c r="A296" s="1">
        <v>675453217</v>
      </c>
      <c r="B296" s="1" t="s">
        <v>56</v>
      </c>
      <c r="C296" s="1" t="s">
        <v>2</v>
      </c>
      <c r="D296" s="1">
        <v>47703</v>
      </c>
      <c r="E296" s="1">
        <v>4684</v>
      </c>
      <c r="F296" s="1">
        <v>38</v>
      </c>
      <c r="G296" s="13">
        <f>Table[[#This Row],[Return Value]]/Table[[#This Row],[Sell Value]]</f>
        <v>8.1127241673783091E-3</v>
      </c>
      <c r="H296" s="1" t="s">
        <v>3</v>
      </c>
      <c r="I296" s="1">
        <v>47</v>
      </c>
      <c r="J296" s="14">
        <f>Table[[#This Row],[Sell Value]]*Table[[#This Row],[Selling Price]]</f>
        <v>220148</v>
      </c>
      <c r="K296" s="1" t="s">
        <v>4</v>
      </c>
      <c r="L296" s="1" t="s">
        <v>21</v>
      </c>
      <c r="M296" s="1" t="s">
        <v>26</v>
      </c>
      <c r="N296" s="1">
        <v>0.2</v>
      </c>
      <c r="O296" s="1" t="s">
        <v>82</v>
      </c>
      <c r="P296" s="1" t="s">
        <v>45</v>
      </c>
    </row>
    <row r="297" spans="1:16" x14ac:dyDescent="0.25">
      <c r="A297" s="1">
        <v>269060241</v>
      </c>
      <c r="B297" s="1" t="s">
        <v>1</v>
      </c>
      <c r="C297" s="1" t="s">
        <v>2</v>
      </c>
      <c r="D297" s="1">
        <v>48193</v>
      </c>
      <c r="E297" s="1">
        <v>3133</v>
      </c>
      <c r="F297" s="1">
        <v>28</v>
      </c>
      <c r="G297" s="13">
        <f>Table[[#This Row],[Return Value]]/Table[[#This Row],[Sell Value]]</f>
        <v>8.9371209703159905E-3</v>
      </c>
      <c r="H297" s="1" t="s">
        <v>3</v>
      </c>
      <c r="I297" s="1">
        <v>32</v>
      </c>
      <c r="J297" s="14">
        <f>Table[[#This Row],[Sell Value]]*Table[[#This Row],[Selling Price]]</f>
        <v>100256</v>
      </c>
      <c r="K297" s="1" t="s">
        <v>4</v>
      </c>
      <c r="L297" s="1" t="s">
        <v>25</v>
      </c>
      <c r="M297" s="1" t="s">
        <v>22</v>
      </c>
      <c r="N297" s="1">
        <v>0.2</v>
      </c>
      <c r="O297" s="1" t="s">
        <v>82</v>
      </c>
      <c r="P297" s="1" t="s">
        <v>36</v>
      </c>
    </row>
    <row r="298" spans="1:16" x14ac:dyDescent="0.25">
      <c r="A298" s="1">
        <v>571123642</v>
      </c>
      <c r="B298" s="1" t="s">
        <v>8</v>
      </c>
      <c r="C298" s="1" t="s">
        <v>2</v>
      </c>
      <c r="D298" s="1">
        <v>47811</v>
      </c>
      <c r="E298" s="1">
        <v>2925</v>
      </c>
      <c r="F298" s="1">
        <v>50</v>
      </c>
      <c r="G298" s="13">
        <f>Table[[#This Row],[Return Value]]/Table[[#This Row],[Sell Value]]</f>
        <v>1.7094017094017096E-2</v>
      </c>
      <c r="H298" s="1" t="s">
        <v>3</v>
      </c>
      <c r="I298" s="1">
        <v>42</v>
      </c>
      <c r="J298" s="14">
        <f>Table[[#This Row],[Sell Value]]*Table[[#This Row],[Selling Price]]</f>
        <v>122850</v>
      </c>
      <c r="K298" s="1" t="s">
        <v>4</v>
      </c>
      <c r="L298" s="1" t="s">
        <v>29</v>
      </c>
      <c r="M298" s="1" t="s">
        <v>22</v>
      </c>
      <c r="N298" s="1">
        <v>0.2</v>
      </c>
      <c r="O298" s="1" t="s">
        <v>81</v>
      </c>
      <c r="P298" s="1" t="s">
        <v>58</v>
      </c>
    </row>
    <row r="299" spans="1:16" x14ac:dyDescent="0.25">
      <c r="A299" s="1">
        <v>764898706</v>
      </c>
      <c r="B299" s="1" t="s">
        <v>12</v>
      </c>
      <c r="C299" s="1" t="s">
        <v>2</v>
      </c>
      <c r="D299" s="1">
        <v>47642</v>
      </c>
      <c r="E299" s="1">
        <v>3877</v>
      </c>
      <c r="F299" s="1">
        <v>50</v>
      </c>
      <c r="G299" s="13">
        <f>Table[[#This Row],[Return Value]]/Table[[#This Row],[Sell Value]]</f>
        <v>1.2896569512509672E-2</v>
      </c>
      <c r="H299" s="1" t="s">
        <v>3</v>
      </c>
      <c r="I299" s="1">
        <v>35</v>
      </c>
      <c r="J299" s="14">
        <f>Table[[#This Row],[Sell Value]]*Table[[#This Row],[Selling Price]]</f>
        <v>135695</v>
      </c>
      <c r="K299" s="1" t="s">
        <v>4</v>
      </c>
      <c r="L299" s="1" t="s">
        <v>29</v>
      </c>
      <c r="M299" s="1" t="s">
        <v>14</v>
      </c>
      <c r="N299" s="1">
        <v>0.2</v>
      </c>
      <c r="O299" s="1" t="s">
        <v>81</v>
      </c>
      <c r="P299" s="1" t="s">
        <v>45</v>
      </c>
    </row>
    <row r="300" spans="1:16" x14ac:dyDescent="0.25">
      <c r="A300" s="1">
        <v>439577117</v>
      </c>
      <c r="B300" s="1" t="s">
        <v>16</v>
      </c>
      <c r="C300" s="1" t="s">
        <v>17</v>
      </c>
      <c r="D300" s="1">
        <v>48411</v>
      </c>
      <c r="E300" s="1">
        <v>1507</v>
      </c>
      <c r="F300" s="1">
        <v>47</v>
      </c>
      <c r="G300" s="13">
        <f>Table[[#This Row],[Return Value]]/Table[[#This Row],[Sell Value]]</f>
        <v>3.1187790311877902E-2</v>
      </c>
      <c r="H300" s="1" t="s">
        <v>3</v>
      </c>
      <c r="I300" s="1">
        <v>20</v>
      </c>
      <c r="J300" s="14">
        <f>Table[[#This Row],[Sell Value]]*Table[[#This Row],[Selling Price]]</f>
        <v>30140</v>
      </c>
      <c r="K300" s="1" t="s">
        <v>4</v>
      </c>
      <c r="L300" s="1" t="s">
        <v>35</v>
      </c>
      <c r="M300" s="1" t="s">
        <v>61</v>
      </c>
      <c r="N300" s="1">
        <v>0.2</v>
      </c>
      <c r="O300" s="1" t="s">
        <v>82</v>
      </c>
      <c r="P300" s="1" t="s">
        <v>58</v>
      </c>
    </row>
    <row r="301" spans="1:16" x14ac:dyDescent="0.25">
      <c r="A301" s="1">
        <v>225460271</v>
      </c>
      <c r="B301" s="1" t="s">
        <v>20</v>
      </c>
      <c r="C301" s="1" t="s">
        <v>17</v>
      </c>
      <c r="D301" s="1">
        <v>48361</v>
      </c>
      <c r="E301" s="1">
        <v>2335</v>
      </c>
      <c r="F301" s="1">
        <v>14</v>
      </c>
      <c r="G301" s="13">
        <f>Table[[#This Row],[Return Value]]/Table[[#This Row],[Sell Value]]</f>
        <v>5.9957173447537475E-3</v>
      </c>
      <c r="H301" s="1" t="s">
        <v>3</v>
      </c>
      <c r="I301" s="1">
        <v>24</v>
      </c>
      <c r="J301" s="14">
        <f>Table[[#This Row],[Sell Value]]*Table[[#This Row],[Selling Price]]</f>
        <v>56040</v>
      </c>
      <c r="K301" s="1" t="s">
        <v>4</v>
      </c>
      <c r="L301" s="1" t="s">
        <v>38</v>
      </c>
      <c r="M301" s="1" t="s">
        <v>30</v>
      </c>
      <c r="N301" s="1">
        <v>0.2</v>
      </c>
      <c r="O301" s="1" t="s">
        <v>82</v>
      </c>
      <c r="P301" s="1" t="s">
        <v>45</v>
      </c>
    </row>
    <row r="302" spans="1:16" x14ac:dyDescent="0.25">
      <c r="A302" s="1">
        <v>915517789</v>
      </c>
      <c r="B302" s="1" t="s">
        <v>24</v>
      </c>
      <c r="C302" s="1" t="s">
        <v>2</v>
      </c>
      <c r="D302" s="1">
        <v>48568</v>
      </c>
      <c r="E302" s="1">
        <v>2276</v>
      </c>
      <c r="F302" s="1">
        <v>37</v>
      </c>
      <c r="G302" s="13">
        <f>Table[[#This Row],[Return Value]]/Table[[#This Row],[Sell Value]]</f>
        <v>1.6256590509666081E-2</v>
      </c>
      <c r="H302" s="1" t="s">
        <v>3</v>
      </c>
      <c r="I302" s="1">
        <v>25</v>
      </c>
      <c r="J302" s="14">
        <f>Table[[#This Row],[Sell Value]]*Table[[#This Row],[Selling Price]]</f>
        <v>56900</v>
      </c>
      <c r="K302" s="1" t="s">
        <v>4</v>
      </c>
      <c r="L302" s="1" t="s">
        <v>41</v>
      </c>
      <c r="M302" s="1" t="s">
        <v>48</v>
      </c>
      <c r="N302" s="1">
        <v>0.2</v>
      </c>
      <c r="O302" s="1" t="s">
        <v>81</v>
      </c>
      <c r="P302" s="1" t="s">
        <v>39</v>
      </c>
    </row>
    <row r="303" spans="1:16" x14ac:dyDescent="0.25">
      <c r="A303" s="1">
        <v>812562802</v>
      </c>
      <c r="B303" s="1" t="s">
        <v>27</v>
      </c>
      <c r="C303" s="1" t="s">
        <v>2</v>
      </c>
      <c r="D303" s="1">
        <v>48089</v>
      </c>
      <c r="E303" s="1">
        <v>1131</v>
      </c>
      <c r="F303" s="1">
        <v>30</v>
      </c>
      <c r="G303" s="13">
        <f>Table[[#This Row],[Return Value]]/Table[[#This Row],[Sell Value]]</f>
        <v>2.6525198938992044E-2</v>
      </c>
      <c r="H303" s="1" t="s">
        <v>3</v>
      </c>
      <c r="I303" s="1">
        <v>47</v>
      </c>
      <c r="J303" s="14">
        <f>Table[[#This Row],[Sell Value]]*Table[[#This Row],[Selling Price]]</f>
        <v>53157</v>
      </c>
      <c r="K303" s="1" t="s">
        <v>4</v>
      </c>
      <c r="L303" s="1" t="s">
        <v>43</v>
      </c>
      <c r="M303" s="1" t="s">
        <v>61</v>
      </c>
      <c r="N303" s="1">
        <v>0.2</v>
      </c>
      <c r="O303" s="1" t="s">
        <v>82</v>
      </c>
      <c r="P303" s="1" t="s">
        <v>52</v>
      </c>
    </row>
    <row r="304" spans="1:16" x14ac:dyDescent="0.25">
      <c r="A304" s="1">
        <v>315531989</v>
      </c>
      <c r="B304" s="1" t="s">
        <v>32</v>
      </c>
      <c r="C304" s="1" t="s">
        <v>17</v>
      </c>
      <c r="D304" s="1">
        <v>47943</v>
      </c>
      <c r="E304" s="1">
        <v>3816</v>
      </c>
      <c r="F304" s="1">
        <v>47</v>
      </c>
      <c r="G304" s="13">
        <f>Table[[#This Row],[Return Value]]/Table[[#This Row],[Sell Value]]</f>
        <v>1.2316561844863731E-2</v>
      </c>
      <c r="H304" s="1" t="s">
        <v>3</v>
      </c>
      <c r="I304" s="1">
        <v>25</v>
      </c>
      <c r="J304" s="14">
        <f>Table[[#This Row],[Sell Value]]*Table[[#This Row],[Selling Price]]</f>
        <v>95400</v>
      </c>
      <c r="K304" s="1" t="s">
        <v>4</v>
      </c>
      <c r="L304" s="1" t="s">
        <v>47</v>
      </c>
      <c r="M304" s="1" t="s">
        <v>61</v>
      </c>
      <c r="N304" s="1">
        <v>0.2</v>
      </c>
      <c r="O304" s="1" t="s">
        <v>81</v>
      </c>
      <c r="P304" s="1" t="s">
        <v>11</v>
      </c>
    </row>
    <row r="305" spans="1:16" x14ac:dyDescent="0.25">
      <c r="A305" s="1">
        <v>216192860</v>
      </c>
      <c r="B305" s="1" t="s">
        <v>34</v>
      </c>
      <c r="C305" s="1" t="s">
        <v>2</v>
      </c>
      <c r="D305" s="1">
        <v>48359</v>
      </c>
      <c r="E305" s="1">
        <v>3230</v>
      </c>
      <c r="F305" s="1">
        <v>15</v>
      </c>
      <c r="G305" s="13">
        <f>Table[[#This Row],[Return Value]]/Table[[#This Row],[Sell Value]]</f>
        <v>4.6439628482972135E-3</v>
      </c>
      <c r="H305" s="1" t="s">
        <v>3</v>
      </c>
      <c r="I305" s="1">
        <v>23</v>
      </c>
      <c r="J305" s="14">
        <f>Table[[#This Row],[Sell Value]]*Table[[#This Row],[Selling Price]]</f>
        <v>74290</v>
      </c>
      <c r="K305" s="1" t="s">
        <v>4</v>
      </c>
      <c r="L305" s="1" t="s">
        <v>51</v>
      </c>
      <c r="M305" s="1" t="s">
        <v>6</v>
      </c>
      <c r="N305" s="1">
        <v>0.2</v>
      </c>
      <c r="O305" s="1" t="s">
        <v>82</v>
      </c>
      <c r="P305" s="1" t="s">
        <v>36</v>
      </c>
    </row>
    <row r="306" spans="1:16" x14ac:dyDescent="0.25">
      <c r="A306" s="1">
        <v>66823187</v>
      </c>
      <c r="B306" s="1" t="s">
        <v>37</v>
      </c>
      <c r="C306" s="1" t="s">
        <v>17</v>
      </c>
      <c r="D306" s="1">
        <v>48426</v>
      </c>
      <c r="E306" s="1">
        <v>4192</v>
      </c>
      <c r="F306" s="1">
        <v>45</v>
      </c>
      <c r="G306" s="13">
        <f>Table[[#This Row],[Return Value]]/Table[[#This Row],[Sell Value]]</f>
        <v>1.0734732824427481E-2</v>
      </c>
      <c r="H306" s="1" t="s">
        <v>28</v>
      </c>
      <c r="I306" s="1">
        <v>38</v>
      </c>
      <c r="J306" s="14">
        <f>Table[[#This Row],[Sell Value]]*Table[[#This Row],[Selling Price]]</f>
        <v>159296</v>
      </c>
      <c r="K306" s="1" t="s">
        <v>4</v>
      </c>
      <c r="L306" s="1" t="s">
        <v>54</v>
      </c>
      <c r="M306" s="1" t="s">
        <v>59</v>
      </c>
      <c r="N306" s="1">
        <v>0.2</v>
      </c>
      <c r="O306" s="1" t="s">
        <v>81</v>
      </c>
      <c r="P306" s="1" t="s">
        <v>66</v>
      </c>
    </row>
    <row r="307" spans="1:16" x14ac:dyDescent="0.25">
      <c r="A307" s="1">
        <v>39261039</v>
      </c>
      <c r="B307" s="1" t="s">
        <v>40</v>
      </c>
      <c r="C307" s="1" t="s">
        <v>17</v>
      </c>
      <c r="D307" s="1">
        <v>48401</v>
      </c>
      <c r="E307" s="1">
        <v>4896</v>
      </c>
      <c r="F307" s="1">
        <v>32</v>
      </c>
      <c r="G307" s="13">
        <f>Table[[#This Row],[Return Value]]/Table[[#This Row],[Sell Value]]</f>
        <v>6.5359477124183009E-3</v>
      </c>
      <c r="H307" s="1" t="s">
        <v>3</v>
      </c>
      <c r="I307" s="1">
        <v>26</v>
      </c>
      <c r="J307" s="14">
        <f>Table[[#This Row],[Sell Value]]*Table[[#This Row],[Selling Price]]</f>
        <v>127296</v>
      </c>
      <c r="K307" s="1" t="s">
        <v>4</v>
      </c>
      <c r="L307" s="1" t="s">
        <v>57</v>
      </c>
      <c r="M307" s="1" t="s">
        <v>30</v>
      </c>
      <c r="N307" s="1">
        <v>0.2</v>
      </c>
      <c r="O307" s="1" t="s">
        <v>82</v>
      </c>
      <c r="P307" s="1" t="s">
        <v>66</v>
      </c>
    </row>
    <row r="308" spans="1:16" x14ac:dyDescent="0.25">
      <c r="A308" s="1">
        <v>469383305</v>
      </c>
      <c r="B308" s="1" t="s">
        <v>42</v>
      </c>
      <c r="C308" s="1" t="s">
        <v>2</v>
      </c>
      <c r="D308" s="1">
        <v>47815</v>
      </c>
      <c r="E308" s="1">
        <v>2440</v>
      </c>
      <c r="F308" s="1">
        <v>42</v>
      </c>
      <c r="G308" s="13">
        <f>Table[[#This Row],[Return Value]]/Table[[#This Row],[Sell Value]]</f>
        <v>1.7213114754098362E-2</v>
      </c>
      <c r="H308" s="1" t="s">
        <v>3</v>
      </c>
      <c r="I308" s="1">
        <v>38</v>
      </c>
      <c r="J308" s="14">
        <f>Table[[#This Row],[Sell Value]]*Table[[#This Row],[Selling Price]]</f>
        <v>92720</v>
      </c>
      <c r="K308" s="1" t="s">
        <v>4</v>
      </c>
      <c r="L308" s="1" t="s">
        <v>5</v>
      </c>
      <c r="M308" s="1" t="s">
        <v>10</v>
      </c>
      <c r="N308" s="1">
        <v>0.2</v>
      </c>
      <c r="O308" s="1" t="s">
        <v>81</v>
      </c>
      <c r="P308" s="1" t="s">
        <v>49</v>
      </c>
    </row>
    <row r="309" spans="1:16" x14ac:dyDescent="0.25">
      <c r="A309" s="1">
        <v>320819695</v>
      </c>
      <c r="B309" s="1" t="s">
        <v>46</v>
      </c>
      <c r="C309" s="1" t="s">
        <v>2</v>
      </c>
      <c r="D309" s="1">
        <v>48263</v>
      </c>
      <c r="E309" s="1">
        <v>2557</v>
      </c>
      <c r="F309" s="1">
        <v>14</v>
      </c>
      <c r="G309" s="13">
        <f>Table[[#This Row],[Return Value]]/Table[[#This Row],[Sell Value]]</f>
        <v>5.4751662104028159E-3</v>
      </c>
      <c r="H309" s="1" t="s">
        <v>3</v>
      </c>
      <c r="I309" s="1">
        <v>22</v>
      </c>
      <c r="J309" s="14">
        <f>Table[[#This Row],[Sell Value]]*Table[[#This Row],[Selling Price]]</f>
        <v>56254</v>
      </c>
      <c r="K309" s="1" t="s">
        <v>4</v>
      </c>
      <c r="L309" s="1" t="s">
        <v>9</v>
      </c>
      <c r="M309" s="1" t="s">
        <v>14</v>
      </c>
      <c r="N309" s="1">
        <v>0.2</v>
      </c>
      <c r="O309" s="1" t="s">
        <v>81</v>
      </c>
      <c r="P309" s="1" t="s">
        <v>52</v>
      </c>
    </row>
    <row r="310" spans="1:16" x14ac:dyDescent="0.25">
      <c r="A310" s="1">
        <v>743811693</v>
      </c>
      <c r="B310" s="1" t="s">
        <v>12</v>
      </c>
      <c r="C310" s="1" t="s">
        <v>2</v>
      </c>
      <c r="D310" s="1">
        <v>48377</v>
      </c>
      <c r="E310" s="1">
        <v>3409</v>
      </c>
      <c r="F310" s="1">
        <v>48</v>
      </c>
      <c r="G310" s="13">
        <f>Table[[#This Row],[Return Value]]/Table[[#This Row],[Sell Value]]</f>
        <v>1.4080375476679377E-2</v>
      </c>
      <c r="H310" s="1" t="s">
        <v>3</v>
      </c>
      <c r="I310" s="1">
        <v>44</v>
      </c>
      <c r="J310" s="14">
        <f>Table[[#This Row],[Sell Value]]*Table[[#This Row],[Selling Price]]</f>
        <v>149996</v>
      </c>
      <c r="K310" s="1" t="s">
        <v>4</v>
      </c>
      <c r="L310" s="1" t="s">
        <v>13</v>
      </c>
      <c r="M310" s="1" t="s">
        <v>30</v>
      </c>
      <c r="N310" s="1">
        <v>0.2</v>
      </c>
      <c r="O310" s="1" t="s">
        <v>82</v>
      </c>
      <c r="P310" s="1" t="s">
        <v>45</v>
      </c>
    </row>
    <row r="311" spans="1:16" x14ac:dyDescent="0.25">
      <c r="A311" s="1">
        <v>230398745</v>
      </c>
      <c r="B311" s="1" t="s">
        <v>16</v>
      </c>
      <c r="C311" s="1" t="s">
        <v>17</v>
      </c>
      <c r="D311" s="1">
        <v>48213</v>
      </c>
      <c r="E311" s="1">
        <v>4947</v>
      </c>
      <c r="F311" s="1">
        <v>32</v>
      </c>
      <c r="G311" s="13">
        <f>Table[[#This Row],[Return Value]]/Table[[#This Row],[Sell Value]]</f>
        <v>6.4685668081665652E-3</v>
      </c>
      <c r="H311" s="1" t="s">
        <v>3</v>
      </c>
      <c r="I311" s="1">
        <v>39</v>
      </c>
      <c r="J311" s="14">
        <f>Table[[#This Row],[Sell Value]]*Table[[#This Row],[Selling Price]]</f>
        <v>192933</v>
      </c>
      <c r="K311" s="1" t="s">
        <v>4</v>
      </c>
      <c r="L311" s="1" t="s">
        <v>18</v>
      </c>
      <c r="M311" s="1" t="s">
        <v>14</v>
      </c>
      <c r="N311" s="1">
        <v>0.2</v>
      </c>
      <c r="O311" s="1" t="s">
        <v>81</v>
      </c>
      <c r="P311" s="1" t="s">
        <v>49</v>
      </c>
    </row>
    <row r="312" spans="1:16" x14ac:dyDescent="0.25">
      <c r="A312" s="1">
        <v>937610170</v>
      </c>
      <c r="B312" s="1" t="s">
        <v>20</v>
      </c>
      <c r="C312" s="1" t="s">
        <v>17</v>
      </c>
      <c r="D312" s="1">
        <v>48092</v>
      </c>
      <c r="E312" s="1">
        <v>3573</v>
      </c>
      <c r="F312" s="1">
        <v>36</v>
      </c>
      <c r="G312" s="13">
        <f>Table[[#This Row],[Return Value]]/Table[[#This Row],[Sell Value]]</f>
        <v>1.0075566750629723E-2</v>
      </c>
      <c r="H312" s="1" t="s">
        <v>3</v>
      </c>
      <c r="I312" s="1">
        <v>22</v>
      </c>
      <c r="J312" s="14">
        <f>Table[[#This Row],[Sell Value]]*Table[[#This Row],[Selling Price]]</f>
        <v>78606</v>
      </c>
      <c r="K312" s="1" t="s">
        <v>4</v>
      </c>
      <c r="L312" s="1" t="s">
        <v>21</v>
      </c>
      <c r="M312" s="1" t="s">
        <v>61</v>
      </c>
      <c r="N312" s="1">
        <v>0.2</v>
      </c>
      <c r="O312" s="1" t="s">
        <v>82</v>
      </c>
      <c r="P312" s="1" t="s">
        <v>15</v>
      </c>
    </row>
    <row r="313" spans="1:16" x14ac:dyDescent="0.25">
      <c r="A313" s="1">
        <v>164110663</v>
      </c>
      <c r="B313" s="1" t="s">
        <v>24</v>
      </c>
      <c r="C313" s="1" t="s">
        <v>2</v>
      </c>
      <c r="D313" s="1">
        <v>47493</v>
      </c>
      <c r="E313" s="1">
        <v>1270</v>
      </c>
      <c r="F313" s="1">
        <v>17</v>
      </c>
      <c r="G313" s="13">
        <f>Table[[#This Row],[Return Value]]/Table[[#This Row],[Sell Value]]</f>
        <v>1.3385826771653543E-2</v>
      </c>
      <c r="H313" s="1" t="s">
        <v>3</v>
      </c>
      <c r="I313" s="1">
        <v>27</v>
      </c>
      <c r="J313" s="14">
        <f>Table[[#This Row],[Sell Value]]*Table[[#This Row],[Selling Price]]</f>
        <v>34290</v>
      </c>
      <c r="K313" s="1" t="s">
        <v>4</v>
      </c>
      <c r="L313" s="1" t="s">
        <v>25</v>
      </c>
      <c r="M313" s="1" t="s">
        <v>61</v>
      </c>
      <c r="N313" s="1">
        <v>0.2</v>
      </c>
      <c r="O313" s="1" t="s">
        <v>81</v>
      </c>
      <c r="P313" s="1" t="s">
        <v>31</v>
      </c>
    </row>
    <row r="314" spans="1:16" x14ac:dyDescent="0.25">
      <c r="A314" s="1">
        <v>192369972</v>
      </c>
      <c r="B314" s="1" t="s">
        <v>27</v>
      </c>
      <c r="C314" s="1" t="s">
        <v>2</v>
      </c>
      <c r="D314" s="1">
        <v>48278</v>
      </c>
      <c r="E314" s="1">
        <v>3912</v>
      </c>
      <c r="F314" s="1">
        <v>34</v>
      </c>
      <c r="G314" s="13">
        <f>Table[[#This Row],[Return Value]]/Table[[#This Row],[Sell Value]]</f>
        <v>8.6912065439672809E-3</v>
      </c>
      <c r="H314" s="1" t="s">
        <v>3</v>
      </c>
      <c r="I314" s="1">
        <v>38</v>
      </c>
      <c r="J314" s="14">
        <f>Table[[#This Row],[Sell Value]]*Table[[#This Row],[Selling Price]]</f>
        <v>148656</v>
      </c>
      <c r="K314" s="1" t="s">
        <v>4</v>
      </c>
      <c r="L314" s="1" t="s">
        <v>29</v>
      </c>
      <c r="M314" s="1" t="s">
        <v>6</v>
      </c>
      <c r="N314" s="1">
        <v>0.2</v>
      </c>
      <c r="O314" s="1" t="s">
        <v>81</v>
      </c>
      <c r="P314" s="1" t="s">
        <v>19</v>
      </c>
    </row>
    <row r="315" spans="1:16" x14ac:dyDescent="0.25">
      <c r="A315" s="1">
        <v>555555504</v>
      </c>
      <c r="B315" s="1" t="s">
        <v>32</v>
      </c>
      <c r="C315" s="1" t="s">
        <v>17</v>
      </c>
      <c r="D315" s="1">
        <v>47490</v>
      </c>
      <c r="E315" s="1">
        <v>3569</v>
      </c>
      <c r="F315" s="1">
        <v>43</v>
      </c>
      <c r="G315" s="13">
        <f>Table[[#This Row],[Return Value]]/Table[[#This Row],[Sell Value]]</f>
        <v>1.2048192771084338E-2</v>
      </c>
      <c r="H315" s="1" t="s">
        <v>3</v>
      </c>
      <c r="I315" s="1">
        <v>47</v>
      </c>
      <c r="J315" s="14">
        <f>Table[[#This Row],[Sell Value]]*Table[[#This Row],[Selling Price]]</f>
        <v>167743</v>
      </c>
      <c r="K315" s="1" t="s">
        <v>4</v>
      </c>
      <c r="L315" s="1" t="s">
        <v>29</v>
      </c>
      <c r="M315" s="1" t="s">
        <v>30</v>
      </c>
      <c r="N315" s="1">
        <v>0.2</v>
      </c>
      <c r="O315" s="1" t="s">
        <v>81</v>
      </c>
      <c r="P315" s="1" t="s">
        <v>23</v>
      </c>
    </row>
    <row r="316" spans="1:16" x14ac:dyDescent="0.25">
      <c r="A316" s="1">
        <v>606299653</v>
      </c>
      <c r="B316" s="1" t="s">
        <v>34</v>
      </c>
      <c r="C316" s="1" t="s">
        <v>2</v>
      </c>
      <c r="D316" s="1">
        <v>47505</v>
      </c>
      <c r="E316" s="1">
        <v>3359</v>
      </c>
      <c r="F316" s="1">
        <v>23</v>
      </c>
      <c r="G316" s="13">
        <f>Table[[#This Row],[Return Value]]/Table[[#This Row],[Sell Value]]</f>
        <v>6.8472759749925571E-3</v>
      </c>
      <c r="H316" s="1" t="s">
        <v>3</v>
      </c>
      <c r="I316" s="1">
        <v>20</v>
      </c>
      <c r="J316" s="14">
        <f>Table[[#This Row],[Sell Value]]*Table[[#This Row],[Selling Price]]</f>
        <v>67180</v>
      </c>
      <c r="K316" s="1" t="s">
        <v>4</v>
      </c>
      <c r="L316" s="1" t="s">
        <v>35</v>
      </c>
      <c r="M316" s="1" t="s">
        <v>44</v>
      </c>
      <c r="N316" s="1">
        <v>0.2</v>
      </c>
      <c r="O316" s="1" t="s">
        <v>81</v>
      </c>
      <c r="P316" s="1" t="s">
        <v>31</v>
      </c>
    </row>
    <row r="317" spans="1:16" x14ac:dyDescent="0.25">
      <c r="A317" s="1">
        <v>408112860</v>
      </c>
      <c r="B317" s="1" t="s">
        <v>37</v>
      </c>
      <c r="C317" s="1" t="s">
        <v>17</v>
      </c>
      <c r="D317" s="1">
        <v>48512</v>
      </c>
      <c r="E317" s="1">
        <v>4200</v>
      </c>
      <c r="F317" s="1">
        <v>22</v>
      </c>
      <c r="G317" s="13">
        <f>Table[[#This Row],[Return Value]]/Table[[#This Row],[Sell Value]]</f>
        <v>5.2380952380952379E-3</v>
      </c>
      <c r="H317" s="1" t="s">
        <v>3</v>
      </c>
      <c r="I317" s="1">
        <v>33</v>
      </c>
      <c r="J317" s="14">
        <f>Table[[#This Row],[Sell Value]]*Table[[#This Row],[Selling Price]]</f>
        <v>138600</v>
      </c>
      <c r="K317" s="1" t="s">
        <v>4</v>
      </c>
      <c r="L317" s="1" t="s">
        <v>38</v>
      </c>
      <c r="M317" s="1" t="s">
        <v>26</v>
      </c>
      <c r="N317" s="1">
        <v>0.2</v>
      </c>
      <c r="O317" s="1" t="s">
        <v>82</v>
      </c>
      <c r="P317" s="1" t="s">
        <v>63</v>
      </c>
    </row>
    <row r="318" spans="1:16" x14ac:dyDescent="0.25">
      <c r="A318" s="1">
        <v>325632395</v>
      </c>
      <c r="B318" s="1" t="s">
        <v>40</v>
      </c>
      <c r="C318" s="1" t="s">
        <v>17</v>
      </c>
      <c r="D318" s="1">
        <v>48321</v>
      </c>
      <c r="E318" s="1">
        <v>1768</v>
      </c>
      <c r="F318" s="1">
        <v>50</v>
      </c>
      <c r="G318" s="13">
        <f>Table[[#This Row],[Return Value]]/Table[[#This Row],[Sell Value]]</f>
        <v>2.828054298642534E-2</v>
      </c>
      <c r="H318" s="1" t="s">
        <v>3</v>
      </c>
      <c r="I318" s="1">
        <v>40</v>
      </c>
      <c r="J318" s="14">
        <f>Table[[#This Row],[Sell Value]]*Table[[#This Row],[Selling Price]]</f>
        <v>70720</v>
      </c>
      <c r="K318" s="1" t="s">
        <v>4</v>
      </c>
      <c r="L318" s="1" t="s">
        <v>41</v>
      </c>
      <c r="M318" s="1" t="s">
        <v>59</v>
      </c>
      <c r="N318" s="1">
        <v>0.2</v>
      </c>
      <c r="O318" s="1" t="s">
        <v>82</v>
      </c>
      <c r="P318" s="1" t="s">
        <v>45</v>
      </c>
    </row>
    <row r="319" spans="1:16" x14ac:dyDescent="0.25">
      <c r="A319" s="1">
        <v>886575714</v>
      </c>
      <c r="B319" s="1" t="s">
        <v>42</v>
      </c>
      <c r="C319" s="1" t="s">
        <v>2</v>
      </c>
      <c r="D319" s="1">
        <v>47725</v>
      </c>
      <c r="E319" s="1">
        <v>2594</v>
      </c>
      <c r="F319" s="1">
        <v>42</v>
      </c>
      <c r="G319" s="13">
        <f>Table[[#This Row],[Return Value]]/Table[[#This Row],[Sell Value]]</f>
        <v>1.6191210485736313E-2</v>
      </c>
      <c r="H319" s="1" t="s">
        <v>28</v>
      </c>
      <c r="I319" s="1">
        <v>28</v>
      </c>
      <c r="J319" s="14">
        <f>Table[[#This Row],[Sell Value]]*Table[[#This Row],[Selling Price]]</f>
        <v>72632</v>
      </c>
      <c r="K319" s="1" t="s">
        <v>4</v>
      </c>
      <c r="L319" s="1" t="s">
        <v>43</v>
      </c>
      <c r="M319" s="1" t="s">
        <v>26</v>
      </c>
      <c r="N319" s="1">
        <v>0.2</v>
      </c>
      <c r="O319" s="1" t="s">
        <v>82</v>
      </c>
      <c r="P319" s="1" t="s">
        <v>15</v>
      </c>
    </row>
    <row r="320" spans="1:16" x14ac:dyDescent="0.25">
      <c r="A320" s="1">
        <v>763654449</v>
      </c>
      <c r="B320" s="1" t="s">
        <v>46</v>
      </c>
      <c r="C320" s="1" t="s">
        <v>2</v>
      </c>
      <c r="D320" s="1">
        <v>47928</v>
      </c>
      <c r="E320" s="1">
        <v>2107</v>
      </c>
      <c r="F320" s="1">
        <v>29</v>
      </c>
      <c r="G320" s="13">
        <f>Table[[#This Row],[Return Value]]/Table[[#This Row],[Sell Value]]</f>
        <v>1.3763644992880873E-2</v>
      </c>
      <c r="H320" s="1" t="s">
        <v>3</v>
      </c>
      <c r="I320" s="1">
        <v>46</v>
      </c>
      <c r="J320" s="14">
        <f>Table[[#This Row],[Sell Value]]*Table[[#This Row],[Selling Price]]</f>
        <v>96922</v>
      </c>
      <c r="K320" s="1" t="s">
        <v>4</v>
      </c>
      <c r="L320" s="1" t="s">
        <v>47</v>
      </c>
      <c r="M320" s="1" t="s">
        <v>44</v>
      </c>
      <c r="N320" s="1">
        <v>0.2</v>
      </c>
      <c r="O320" s="1" t="s">
        <v>81</v>
      </c>
      <c r="P320" s="1" t="s">
        <v>19</v>
      </c>
    </row>
    <row r="321" spans="1:16" x14ac:dyDescent="0.25">
      <c r="A321" s="1">
        <v>942852441</v>
      </c>
      <c r="B321" s="1" t="s">
        <v>50</v>
      </c>
      <c r="C321" s="1" t="s">
        <v>2</v>
      </c>
      <c r="D321" s="1">
        <v>48045</v>
      </c>
      <c r="E321" s="1">
        <v>1686</v>
      </c>
      <c r="F321" s="1">
        <v>33</v>
      </c>
      <c r="G321" s="13">
        <f>Table[[#This Row],[Return Value]]/Table[[#This Row],[Sell Value]]</f>
        <v>1.9572953736654804E-2</v>
      </c>
      <c r="H321" s="1" t="s">
        <v>3</v>
      </c>
      <c r="I321" s="1">
        <v>49</v>
      </c>
      <c r="J321" s="14">
        <f>Table[[#This Row],[Sell Value]]*Table[[#This Row],[Selling Price]]</f>
        <v>82614</v>
      </c>
      <c r="K321" s="1" t="s">
        <v>4</v>
      </c>
      <c r="L321" s="1" t="s">
        <v>51</v>
      </c>
      <c r="M321" s="1" t="s">
        <v>59</v>
      </c>
      <c r="N321" s="1">
        <v>0.2</v>
      </c>
      <c r="O321" s="1" t="s">
        <v>82</v>
      </c>
      <c r="P321" s="1" t="s">
        <v>62</v>
      </c>
    </row>
    <row r="322" spans="1:16" x14ac:dyDescent="0.25">
      <c r="A322" s="1">
        <v>864574031</v>
      </c>
      <c r="B322" s="1" t="s">
        <v>53</v>
      </c>
      <c r="C322" s="1" t="s">
        <v>2</v>
      </c>
      <c r="D322" s="1">
        <v>48305</v>
      </c>
      <c r="E322" s="1">
        <v>2160</v>
      </c>
      <c r="F322" s="1">
        <v>29</v>
      </c>
      <c r="G322" s="13">
        <f>Table[[#This Row],[Return Value]]/Table[[#This Row],[Sell Value]]</f>
        <v>1.3425925925925926E-2</v>
      </c>
      <c r="H322" s="1" t="s">
        <v>3</v>
      </c>
      <c r="I322" s="1">
        <v>36</v>
      </c>
      <c r="J322" s="14">
        <f>Table[[#This Row],[Sell Value]]*Table[[#This Row],[Selling Price]]</f>
        <v>77760</v>
      </c>
      <c r="K322" s="1" t="s">
        <v>4</v>
      </c>
      <c r="L322" s="1" t="s">
        <v>54</v>
      </c>
      <c r="M322" s="1" t="s">
        <v>30</v>
      </c>
      <c r="N322" s="1">
        <v>0.2</v>
      </c>
      <c r="O322" s="1" t="s">
        <v>82</v>
      </c>
      <c r="P322" s="1" t="s">
        <v>39</v>
      </c>
    </row>
    <row r="323" spans="1:16" x14ac:dyDescent="0.25">
      <c r="A323" s="1">
        <v>512470980</v>
      </c>
      <c r="B323" s="1" t="s">
        <v>56</v>
      </c>
      <c r="C323" s="1" t="s">
        <v>2</v>
      </c>
      <c r="D323" s="1">
        <v>47939</v>
      </c>
      <c r="E323" s="1">
        <v>4346</v>
      </c>
      <c r="F323" s="1">
        <v>36</v>
      </c>
      <c r="G323" s="13">
        <f>Table[[#This Row],[Return Value]]/Table[[#This Row],[Sell Value]]</f>
        <v>8.283479061205707E-3</v>
      </c>
      <c r="H323" s="1" t="s">
        <v>3</v>
      </c>
      <c r="I323" s="1">
        <v>28</v>
      </c>
      <c r="J323" s="14">
        <f>Table[[#This Row],[Sell Value]]*Table[[#This Row],[Selling Price]]</f>
        <v>121688</v>
      </c>
      <c r="K323" s="1" t="s">
        <v>4</v>
      </c>
      <c r="L323" s="1" t="s">
        <v>57</v>
      </c>
      <c r="M323" s="1" t="s">
        <v>6</v>
      </c>
      <c r="N323" s="1">
        <v>0.2</v>
      </c>
      <c r="O323" s="1" t="s">
        <v>82</v>
      </c>
      <c r="P323" s="1" t="s">
        <v>23</v>
      </c>
    </row>
    <row r="324" spans="1:16" x14ac:dyDescent="0.25">
      <c r="A324" s="1">
        <v>980572645</v>
      </c>
      <c r="B324" s="1" t="s">
        <v>1</v>
      </c>
      <c r="C324" s="1" t="s">
        <v>2</v>
      </c>
      <c r="D324" s="1">
        <v>48268</v>
      </c>
      <c r="E324" s="1">
        <v>1141</v>
      </c>
      <c r="F324" s="1">
        <v>22</v>
      </c>
      <c r="G324" s="13">
        <f>Table[[#This Row],[Return Value]]/Table[[#This Row],[Sell Value]]</f>
        <v>1.9281332164767746E-2</v>
      </c>
      <c r="H324" s="1" t="s">
        <v>3</v>
      </c>
      <c r="I324" s="1">
        <v>36</v>
      </c>
      <c r="J324" s="14">
        <f>Table[[#This Row],[Sell Value]]*Table[[#This Row],[Selling Price]]</f>
        <v>41076</v>
      </c>
      <c r="K324" s="1" t="s">
        <v>4</v>
      </c>
      <c r="L324" s="1" t="s">
        <v>5</v>
      </c>
      <c r="M324" s="1" t="s">
        <v>26</v>
      </c>
      <c r="N324" s="1">
        <v>0.2</v>
      </c>
      <c r="O324" s="1" t="s">
        <v>81</v>
      </c>
      <c r="P324" s="1" t="s">
        <v>36</v>
      </c>
    </row>
    <row r="325" spans="1:16" x14ac:dyDescent="0.25">
      <c r="A325" s="1">
        <v>563226510</v>
      </c>
      <c r="B325" s="1" t="s">
        <v>8</v>
      </c>
      <c r="C325" s="1" t="s">
        <v>2</v>
      </c>
      <c r="D325" s="1">
        <v>47534</v>
      </c>
      <c r="E325" s="1">
        <v>2243</v>
      </c>
      <c r="F325" s="1">
        <v>50</v>
      </c>
      <c r="G325" s="13">
        <f>Table[[#This Row],[Return Value]]/Table[[#This Row],[Sell Value]]</f>
        <v>2.229157378510923E-2</v>
      </c>
      <c r="H325" s="1" t="s">
        <v>3</v>
      </c>
      <c r="I325" s="1">
        <v>22</v>
      </c>
      <c r="J325" s="14">
        <f>Table[[#This Row],[Sell Value]]*Table[[#This Row],[Selling Price]]</f>
        <v>49346</v>
      </c>
      <c r="K325" s="1" t="s">
        <v>4</v>
      </c>
      <c r="L325" s="1" t="s">
        <v>9</v>
      </c>
      <c r="M325" s="1" t="s">
        <v>48</v>
      </c>
      <c r="N325" s="1">
        <v>0.2</v>
      </c>
      <c r="O325" s="1" t="s">
        <v>81</v>
      </c>
      <c r="P325" s="1" t="s">
        <v>36</v>
      </c>
    </row>
    <row r="326" spans="1:16" x14ac:dyDescent="0.25">
      <c r="A326" s="1">
        <v>589173225</v>
      </c>
      <c r="B326" s="1" t="s">
        <v>12</v>
      </c>
      <c r="C326" s="1" t="s">
        <v>2</v>
      </c>
      <c r="D326" s="1">
        <v>47758</v>
      </c>
      <c r="E326" s="1">
        <v>2955</v>
      </c>
      <c r="F326" s="1">
        <v>19</v>
      </c>
      <c r="G326" s="13">
        <f>Table[[#This Row],[Return Value]]/Table[[#This Row],[Sell Value]]</f>
        <v>6.4297800338409478E-3</v>
      </c>
      <c r="H326" s="1" t="s">
        <v>3</v>
      </c>
      <c r="I326" s="1">
        <v>31</v>
      </c>
      <c r="J326" s="14">
        <f>Table[[#This Row],[Sell Value]]*Table[[#This Row],[Selling Price]]</f>
        <v>91605</v>
      </c>
      <c r="K326" s="1" t="s">
        <v>4</v>
      </c>
      <c r="L326" s="1" t="s">
        <v>13</v>
      </c>
      <c r="M326" s="1" t="s">
        <v>61</v>
      </c>
      <c r="N326" s="1">
        <v>0.2</v>
      </c>
      <c r="O326" s="1" t="s">
        <v>81</v>
      </c>
      <c r="P326" s="1" t="s">
        <v>65</v>
      </c>
    </row>
    <row r="327" spans="1:16" x14ac:dyDescent="0.25">
      <c r="A327" s="1">
        <v>834244564</v>
      </c>
      <c r="B327" s="1" t="s">
        <v>16</v>
      </c>
      <c r="C327" s="1" t="s">
        <v>17</v>
      </c>
      <c r="D327" s="1">
        <v>47576</v>
      </c>
      <c r="E327" s="1">
        <v>1065</v>
      </c>
      <c r="F327" s="1">
        <v>10</v>
      </c>
      <c r="G327" s="13">
        <f>Table[[#This Row],[Return Value]]/Table[[#This Row],[Sell Value]]</f>
        <v>9.3896713615023476E-3</v>
      </c>
      <c r="H327" s="1" t="s">
        <v>3</v>
      </c>
      <c r="I327" s="1">
        <v>20</v>
      </c>
      <c r="J327" s="14">
        <f>Table[[#This Row],[Sell Value]]*Table[[#This Row],[Selling Price]]</f>
        <v>21300</v>
      </c>
      <c r="K327" s="1" t="s">
        <v>4</v>
      </c>
      <c r="L327" s="1" t="s">
        <v>18</v>
      </c>
      <c r="M327" s="1" t="s">
        <v>14</v>
      </c>
      <c r="N327" s="1">
        <v>0.2</v>
      </c>
      <c r="O327" s="1" t="s">
        <v>82</v>
      </c>
      <c r="P327" s="1" t="s">
        <v>55</v>
      </c>
    </row>
    <row r="328" spans="1:16" x14ac:dyDescent="0.25">
      <c r="A328" s="1">
        <v>998333129</v>
      </c>
      <c r="B328" s="1" t="s">
        <v>20</v>
      </c>
      <c r="C328" s="1" t="s">
        <v>17</v>
      </c>
      <c r="D328" s="1">
        <v>47862</v>
      </c>
      <c r="E328" s="1">
        <v>2531</v>
      </c>
      <c r="F328" s="1">
        <v>36</v>
      </c>
      <c r="G328" s="13">
        <f>Table[[#This Row],[Return Value]]/Table[[#This Row],[Sell Value]]</f>
        <v>1.4223627024891347E-2</v>
      </c>
      <c r="H328" s="1" t="s">
        <v>3</v>
      </c>
      <c r="I328" s="1">
        <v>41</v>
      </c>
      <c r="J328" s="14">
        <f>Table[[#This Row],[Sell Value]]*Table[[#This Row],[Selling Price]]</f>
        <v>103771</v>
      </c>
      <c r="K328" s="1" t="s">
        <v>4</v>
      </c>
      <c r="L328" s="1" t="s">
        <v>21</v>
      </c>
      <c r="M328" s="1" t="s">
        <v>22</v>
      </c>
      <c r="N328" s="1">
        <v>0.2</v>
      </c>
      <c r="O328" s="1" t="s">
        <v>82</v>
      </c>
      <c r="P328" s="1" t="s">
        <v>62</v>
      </c>
    </row>
    <row r="329" spans="1:16" x14ac:dyDescent="0.25">
      <c r="A329" s="1">
        <v>163967671</v>
      </c>
      <c r="B329" s="1" t="s">
        <v>24</v>
      </c>
      <c r="C329" s="1" t="s">
        <v>2</v>
      </c>
      <c r="D329" s="1">
        <v>47818</v>
      </c>
      <c r="E329" s="1">
        <v>3063</v>
      </c>
      <c r="F329" s="1">
        <v>29</v>
      </c>
      <c r="G329" s="13">
        <f>Table[[#This Row],[Return Value]]/Table[[#This Row],[Sell Value]]</f>
        <v>9.4678419849820433E-3</v>
      </c>
      <c r="H329" s="1" t="s">
        <v>3</v>
      </c>
      <c r="I329" s="1">
        <v>32</v>
      </c>
      <c r="J329" s="14">
        <f>Table[[#This Row],[Sell Value]]*Table[[#This Row],[Selling Price]]</f>
        <v>98016</v>
      </c>
      <c r="K329" s="1" t="s">
        <v>4</v>
      </c>
      <c r="L329" s="1" t="s">
        <v>25</v>
      </c>
      <c r="M329" s="1" t="s">
        <v>26</v>
      </c>
      <c r="N329" s="1">
        <v>0.2</v>
      </c>
      <c r="O329" s="1" t="s">
        <v>81</v>
      </c>
      <c r="P329" s="1" t="s">
        <v>15</v>
      </c>
    </row>
    <row r="330" spans="1:16" x14ac:dyDescent="0.25">
      <c r="A330" s="1">
        <v>900522368</v>
      </c>
      <c r="B330" s="1" t="s">
        <v>27</v>
      </c>
      <c r="C330" s="1" t="s">
        <v>2</v>
      </c>
      <c r="D330" s="1">
        <v>47827</v>
      </c>
      <c r="E330" s="1">
        <v>1067</v>
      </c>
      <c r="F330" s="1">
        <v>50</v>
      </c>
      <c r="G330" s="13">
        <f>Table[[#This Row],[Return Value]]/Table[[#This Row],[Sell Value]]</f>
        <v>4.6860356138706656E-2</v>
      </c>
      <c r="H330" s="1" t="s">
        <v>3</v>
      </c>
      <c r="I330" s="1">
        <v>48</v>
      </c>
      <c r="J330" s="14">
        <f>Table[[#This Row],[Sell Value]]*Table[[#This Row],[Selling Price]]</f>
        <v>51216</v>
      </c>
      <c r="K330" s="1" t="s">
        <v>4</v>
      </c>
      <c r="L330" s="1" t="s">
        <v>29</v>
      </c>
      <c r="M330" s="1" t="s">
        <v>48</v>
      </c>
      <c r="N330" s="1">
        <v>0.2</v>
      </c>
      <c r="O330" s="1" t="s">
        <v>82</v>
      </c>
      <c r="P330" s="1" t="s">
        <v>62</v>
      </c>
    </row>
    <row r="331" spans="1:16" x14ac:dyDescent="0.25">
      <c r="A331" s="1">
        <v>413196922</v>
      </c>
      <c r="B331" s="1" t="s">
        <v>32</v>
      </c>
      <c r="C331" s="1" t="s">
        <v>17</v>
      </c>
      <c r="D331" s="1">
        <v>48471</v>
      </c>
      <c r="E331" s="1">
        <v>1236</v>
      </c>
      <c r="F331" s="1">
        <v>27</v>
      </c>
      <c r="G331" s="13">
        <f>Table[[#This Row],[Return Value]]/Table[[#This Row],[Sell Value]]</f>
        <v>2.1844660194174758E-2</v>
      </c>
      <c r="H331" s="1" t="s">
        <v>3</v>
      </c>
      <c r="I331" s="1">
        <v>38</v>
      </c>
      <c r="J331" s="14">
        <f>Table[[#This Row],[Sell Value]]*Table[[#This Row],[Selling Price]]</f>
        <v>46968</v>
      </c>
      <c r="K331" s="1" t="s">
        <v>4</v>
      </c>
      <c r="L331" s="1" t="s">
        <v>29</v>
      </c>
      <c r="M331" s="1" t="s">
        <v>26</v>
      </c>
      <c r="N331" s="1">
        <v>0.2</v>
      </c>
      <c r="O331" s="1" t="s">
        <v>81</v>
      </c>
      <c r="P331" s="1" t="s">
        <v>63</v>
      </c>
    </row>
    <row r="332" spans="1:16" x14ac:dyDescent="0.25">
      <c r="A332" s="1">
        <v>453320891</v>
      </c>
      <c r="B332" s="1" t="s">
        <v>34</v>
      </c>
      <c r="C332" s="1" t="s">
        <v>2</v>
      </c>
      <c r="D332" s="1">
        <v>47884</v>
      </c>
      <c r="E332" s="1">
        <v>3690</v>
      </c>
      <c r="F332" s="1">
        <v>13</v>
      </c>
      <c r="G332" s="13">
        <f>Table[[#This Row],[Return Value]]/Table[[#This Row],[Sell Value]]</f>
        <v>3.5230352303523035E-3</v>
      </c>
      <c r="H332" s="1" t="s">
        <v>3</v>
      </c>
      <c r="I332" s="1">
        <v>25</v>
      </c>
      <c r="J332" s="14">
        <f>Table[[#This Row],[Sell Value]]*Table[[#This Row],[Selling Price]]</f>
        <v>92250</v>
      </c>
      <c r="K332" s="1" t="s">
        <v>4</v>
      </c>
      <c r="L332" s="1" t="s">
        <v>35</v>
      </c>
      <c r="M332" s="1" t="s">
        <v>22</v>
      </c>
      <c r="N332" s="1">
        <v>0.2</v>
      </c>
      <c r="O332" s="1" t="s">
        <v>82</v>
      </c>
      <c r="P332" s="1" t="s">
        <v>55</v>
      </c>
    </row>
    <row r="333" spans="1:16" x14ac:dyDescent="0.25">
      <c r="A333" s="1">
        <v>472422663</v>
      </c>
      <c r="B333" s="1" t="s">
        <v>37</v>
      </c>
      <c r="C333" s="1" t="s">
        <v>17</v>
      </c>
      <c r="D333" s="1">
        <v>48331</v>
      </c>
      <c r="E333" s="1">
        <v>4521</v>
      </c>
      <c r="F333" s="1">
        <v>35</v>
      </c>
      <c r="G333" s="13">
        <f>Table[[#This Row],[Return Value]]/Table[[#This Row],[Sell Value]]</f>
        <v>7.7416500774165004E-3</v>
      </c>
      <c r="H333" s="1" t="s">
        <v>3</v>
      </c>
      <c r="I333" s="1">
        <v>35</v>
      </c>
      <c r="J333" s="14">
        <f>Table[[#This Row],[Sell Value]]*Table[[#This Row],[Selling Price]]</f>
        <v>158235</v>
      </c>
      <c r="K333" s="1" t="s">
        <v>4</v>
      </c>
      <c r="L333" s="1" t="s">
        <v>38</v>
      </c>
      <c r="M333" s="1" t="s">
        <v>6</v>
      </c>
      <c r="N333" s="1">
        <v>0.2</v>
      </c>
      <c r="O333" s="1" t="s">
        <v>81</v>
      </c>
      <c r="P333" s="1" t="s">
        <v>15</v>
      </c>
    </row>
    <row r="334" spans="1:16" x14ac:dyDescent="0.25">
      <c r="A334" s="1">
        <v>161464892</v>
      </c>
      <c r="B334" s="1" t="s">
        <v>40</v>
      </c>
      <c r="C334" s="1" t="s">
        <v>17</v>
      </c>
      <c r="D334" s="1">
        <v>48428</v>
      </c>
      <c r="E334" s="1">
        <v>1443</v>
      </c>
      <c r="F334" s="1">
        <v>35</v>
      </c>
      <c r="G334" s="13">
        <f>Table[[#This Row],[Return Value]]/Table[[#This Row],[Sell Value]]</f>
        <v>2.4255024255024255E-2</v>
      </c>
      <c r="H334" s="1" t="s">
        <v>3</v>
      </c>
      <c r="I334" s="1">
        <v>24</v>
      </c>
      <c r="J334" s="14">
        <f>Table[[#This Row],[Sell Value]]*Table[[#This Row],[Selling Price]]</f>
        <v>34632</v>
      </c>
      <c r="K334" s="1" t="s">
        <v>4</v>
      </c>
      <c r="L334" s="1" t="s">
        <v>41</v>
      </c>
      <c r="M334" s="1" t="s">
        <v>6</v>
      </c>
      <c r="N334" s="1">
        <v>0.2</v>
      </c>
      <c r="O334" s="1" t="s">
        <v>82</v>
      </c>
      <c r="P334" s="1" t="s">
        <v>11</v>
      </c>
    </row>
    <row r="335" spans="1:16" x14ac:dyDescent="0.25">
      <c r="A335" s="1">
        <v>233757768</v>
      </c>
      <c r="B335" s="1" t="s">
        <v>42</v>
      </c>
      <c r="C335" s="1" t="s">
        <v>2</v>
      </c>
      <c r="D335" s="1">
        <v>48115</v>
      </c>
      <c r="E335" s="1">
        <v>3013</v>
      </c>
      <c r="F335" s="1">
        <v>25</v>
      </c>
      <c r="G335" s="13">
        <f>Table[[#This Row],[Return Value]]/Table[[#This Row],[Sell Value]]</f>
        <v>8.2973780285429798E-3</v>
      </c>
      <c r="H335" s="1" t="s">
        <v>3</v>
      </c>
      <c r="I335" s="1">
        <v>40</v>
      </c>
      <c r="J335" s="14">
        <f>Table[[#This Row],[Sell Value]]*Table[[#This Row],[Selling Price]]</f>
        <v>120520</v>
      </c>
      <c r="K335" s="1" t="s">
        <v>4</v>
      </c>
      <c r="L335" s="1" t="s">
        <v>43</v>
      </c>
      <c r="M335" s="1" t="s">
        <v>26</v>
      </c>
      <c r="N335" s="1">
        <v>0.2</v>
      </c>
      <c r="O335" s="1" t="s">
        <v>81</v>
      </c>
      <c r="P335" s="1" t="s">
        <v>55</v>
      </c>
    </row>
    <row r="336" spans="1:16" x14ac:dyDescent="0.25">
      <c r="A336" s="1">
        <v>599795200</v>
      </c>
      <c r="B336" s="1" t="s">
        <v>46</v>
      </c>
      <c r="C336" s="1" t="s">
        <v>2</v>
      </c>
      <c r="D336" s="1">
        <v>48002</v>
      </c>
      <c r="E336" s="1">
        <v>3892</v>
      </c>
      <c r="F336" s="1">
        <v>50</v>
      </c>
      <c r="G336" s="13">
        <f>Table[[#This Row],[Return Value]]/Table[[#This Row],[Sell Value]]</f>
        <v>1.2846865364850977E-2</v>
      </c>
      <c r="H336" s="1" t="s">
        <v>3</v>
      </c>
      <c r="I336" s="1">
        <v>40</v>
      </c>
      <c r="J336" s="14">
        <f>Table[[#This Row],[Sell Value]]*Table[[#This Row],[Selling Price]]</f>
        <v>155680</v>
      </c>
      <c r="K336" s="1" t="s">
        <v>4</v>
      </c>
      <c r="L336" s="1" t="s">
        <v>47</v>
      </c>
      <c r="M336" s="1" t="s">
        <v>44</v>
      </c>
      <c r="N336" s="1">
        <v>0.2</v>
      </c>
      <c r="O336" s="1" t="s">
        <v>81</v>
      </c>
      <c r="P336" s="1" t="s">
        <v>63</v>
      </c>
    </row>
    <row r="337" spans="1:16" x14ac:dyDescent="0.25">
      <c r="A337" s="1">
        <v>967341269</v>
      </c>
      <c r="B337" s="1" t="s">
        <v>50</v>
      </c>
      <c r="C337" s="1" t="s">
        <v>2</v>
      </c>
      <c r="D337" s="1">
        <v>47865</v>
      </c>
      <c r="E337" s="1">
        <v>1595</v>
      </c>
      <c r="F337" s="1">
        <v>47</v>
      </c>
      <c r="G337" s="13">
        <f>Table[[#This Row],[Return Value]]/Table[[#This Row],[Sell Value]]</f>
        <v>2.9467084639498431E-2</v>
      </c>
      <c r="H337" s="1" t="s">
        <v>3</v>
      </c>
      <c r="I337" s="1">
        <v>46</v>
      </c>
      <c r="J337" s="14">
        <f>Table[[#This Row],[Sell Value]]*Table[[#This Row],[Selling Price]]</f>
        <v>73370</v>
      </c>
      <c r="K337" s="1" t="s">
        <v>4</v>
      </c>
      <c r="L337" s="1" t="s">
        <v>51</v>
      </c>
      <c r="M337" s="1" t="s">
        <v>44</v>
      </c>
      <c r="N337" s="1">
        <v>0.2</v>
      </c>
      <c r="O337" s="1" t="s">
        <v>82</v>
      </c>
      <c r="P337" s="1" t="s">
        <v>52</v>
      </c>
    </row>
    <row r="338" spans="1:16" x14ac:dyDescent="0.25">
      <c r="A338" s="1">
        <v>275160764</v>
      </c>
      <c r="B338" s="1" t="s">
        <v>53</v>
      </c>
      <c r="C338" s="1" t="s">
        <v>2</v>
      </c>
      <c r="D338" s="1">
        <v>47667</v>
      </c>
      <c r="E338" s="1">
        <v>3054</v>
      </c>
      <c r="F338" s="1">
        <v>43</v>
      </c>
      <c r="G338" s="13">
        <f>Table[[#This Row],[Return Value]]/Table[[#This Row],[Sell Value]]</f>
        <v>1.4079895219384414E-2</v>
      </c>
      <c r="H338" s="1" t="s">
        <v>3</v>
      </c>
      <c r="I338" s="1">
        <v>44</v>
      </c>
      <c r="J338" s="14">
        <f>Table[[#This Row],[Sell Value]]*Table[[#This Row],[Selling Price]]</f>
        <v>134376</v>
      </c>
      <c r="K338" s="1" t="s">
        <v>4</v>
      </c>
      <c r="L338" s="1" t="s">
        <v>54</v>
      </c>
      <c r="M338" s="1" t="s">
        <v>6</v>
      </c>
      <c r="N338" s="1">
        <v>0.2</v>
      </c>
      <c r="O338" s="1" t="s">
        <v>82</v>
      </c>
      <c r="P338" s="1" t="s">
        <v>19</v>
      </c>
    </row>
    <row r="339" spans="1:16" x14ac:dyDescent="0.25">
      <c r="A339" s="1">
        <v>837123858</v>
      </c>
      <c r="B339" s="1" t="s">
        <v>56</v>
      </c>
      <c r="C339" s="1" t="s">
        <v>2</v>
      </c>
      <c r="D339" s="1">
        <v>48225</v>
      </c>
      <c r="E339" s="1">
        <v>3009</v>
      </c>
      <c r="F339" s="1">
        <v>36</v>
      </c>
      <c r="G339" s="13">
        <f>Table[[#This Row],[Return Value]]/Table[[#This Row],[Sell Value]]</f>
        <v>1.1964107676969093E-2</v>
      </c>
      <c r="H339" s="1" t="s">
        <v>3</v>
      </c>
      <c r="I339" s="1">
        <v>27</v>
      </c>
      <c r="J339" s="14">
        <f>Table[[#This Row],[Sell Value]]*Table[[#This Row],[Selling Price]]</f>
        <v>81243</v>
      </c>
      <c r="K339" s="1" t="s">
        <v>4</v>
      </c>
      <c r="L339" s="1" t="s">
        <v>57</v>
      </c>
      <c r="M339" s="1" t="s">
        <v>33</v>
      </c>
      <c r="N339" s="1">
        <v>0.2</v>
      </c>
      <c r="O339" s="1" t="s">
        <v>82</v>
      </c>
      <c r="P339" s="1" t="s">
        <v>7</v>
      </c>
    </row>
    <row r="340" spans="1:16" x14ac:dyDescent="0.25">
      <c r="A340" s="1">
        <v>393637923</v>
      </c>
      <c r="B340" s="1" t="s">
        <v>1</v>
      </c>
      <c r="C340" s="1" t="s">
        <v>2</v>
      </c>
      <c r="D340" s="1">
        <v>47975</v>
      </c>
      <c r="E340" s="1">
        <v>1935</v>
      </c>
      <c r="F340" s="1">
        <v>41</v>
      </c>
      <c r="G340" s="13">
        <f>Table[[#This Row],[Return Value]]/Table[[#This Row],[Sell Value]]</f>
        <v>2.1188630490956071E-2</v>
      </c>
      <c r="H340" s="1" t="s">
        <v>3</v>
      </c>
      <c r="I340" s="1">
        <v>41</v>
      </c>
      <c r="J340" s="14">
        <f>Table[[#This Row],[Sell Value]]*Table[[#This Row],[Selling Price]]</f>
        <v>79335</v>
      </c>
      <c r="K340" s="1" t="s">
        <v>4</v>
      </c>
      <c r="L340" s="1" t="s">
        <v>5</v>
      </c>
      <c r="M340" s="1" t="s">
        <v>59</v>
      </c>
      <c r="N340" s="1">
        <v>0.2</v>
      </c>
      <c r="O340" s="1" t="s">
        <v>81</v>
      </c>
      <c r="P340" s="1" t="s">
        <v>65</v>
      </c>
    </row>
    <row r="341" spans="1:16" x14ac:dyDescent="0.25">
      <c r="A341" s="1">
        <v>619683359</v>
      </c>
      <c r="B341" s="1" t="s">
        <v>8</v>
      </c>
      <c r="C341" s="1" t="s">
        <v>2</v>
      </c>
      <c r="D341" s="1">
        <v>47955</v>
      </c>
      <c r="E341" s="1">
        <v>2882</v>
      </c>
      <c r="F341" s="1">
        <v>41</v>
      </c>
      <c r="G341" s="13">
        <f>Table[[#This Row],[Return Value]]/Table[[#This Row],[Sell Value]]</f>
        <v>1.4226231783483692E-2</v>
      </c>
      <c r="H341" s="1" t="s">
        <v>3</v>
      </c>
      <c r="I341" s="1">
        <v>44</v>
      </c>
      <c r="J341" s="14">
        <f>Table[[#This Row],[Sell Value]]*Table[[#This Row],[Selling Price]]</f>
        <v>126808</v>
      </c>
      <c r="K341" s="1" t="s">
        <v>4</v>
      </c>
      <c r="L341" s="1" t="s">
        <v>9</v>
      </c>
      <c r="M341" s="1" t="s">
        <v>59</v>
      </c>
      <c r="N341" s="1">
        <v>0.2</v>
      </c>
      <c r="O341" s="1" t="s">
        <v>81</v>
      </c>
      <c r="P341" s="1" t="s">
        <v>52</v>
      </c>
    </row>
    <row r="342" spans="1:16" x14ac:dyDescent="0.25">
      <c r="A342" s="1">
        <v>774999625</v>
      </c>
      <c r="B342" s="1" t="s">
        <v>12</v>
      </c>
      <c r="C342" s="1" t="s">
        <v>2</v>
      </c>
      <c r="D342" s="1">
        <v>48473</v>
      </c>
      <c r="E342" s="1">
        <v>2267</v>
      </c>
      <c r="F342" s="1">
        <v>37</v>
      </c>
      <c r="G342" s="13">
        <f>Table[[#This Row],[Return Value]]/Table[[#This Row],[Sell Value]]</f>
        <v>1.6321129245699163E-2</v>
      </c>
      <c r="H342" s="1" t="s">
        <v>28</v>
      </c>
      <c r="I342" s="1">
        <v>47</v>
      </c>
      <c r="J342" s="14">
        <f>Table[[#This Row],[Sell Value]]*Table[[#This Row],[Selling Price]]</f>
        <v>106549</v>
      </c>
      <c r="K342" s="1" t="s">
        <v>4</v>
      </c>
      <c r="L342" s="1" t="s">
        <v>13</v>
      </c>
      <c r="M342" s="1" t="s">
        <v>26</v>
      </c>
      <c r="N342" s="1">
        <v>0.2</v>
      </c>
      <c r="O342" s="1" t="s">
        <v>81</v>
      </c>
      <c r="P342" s="1" t="s">
        <v>67</v>
      </c>
    </row>
    <row r="343" spans="1:16" x14ac:dyDescent="0.25">
      <c r="A343" s="1">
        <v>995997187</v>
      </c>
      <c r="B343" s="1" t="s">
        <v>16</v>
      </c>
      <c r="C343" s="1" t="s">
        <v>17</v>
      </c>
      <c r="D343" s="1">
        <v>47640</v>
      </c>
      <c r="E343" s="1">
        <v>1578</v>
      </c>
      <c r="F343" s="1">
        <v>10</v>
      </c>
      <c r="G343" s="13">
        <f>Table[[#This Row],[Return Value]]/Table[[#This Row],[Sell Value]]</f>
        <v>6.3371356147021544E-3</v>
      </c>
      <c r="H343" s="1" t="s">
        <v>3</v>
      </c>
      <c r="I343" s="1">
        <v>31</v>
      </c>
      <c r="J343" s="14">
        <f>Table[[#This Row],[Sell Value]]*Table[[#This Row],[Selling Price]]</f>
        <v>48918</v>
      </c>
      <c r="K343" s="1" t="s">
        <v>4</v>
      </c>
      <c r="L343" s="1" t="s">
        <v>18</v>
      </c>
      <c r="M343" s="1" t="s">
        <v>6</v>
      </c>
      <c r="N343" s="1">
        <v>0.2</v>
      </c>
      <c r="O343" s="1" t="s">
        <v>82</v>
      </c>
      <c r="P343" s="1" t="s">
        <v>11</v>
      </c>
    </row>
    <row r="344" spans="1:16" x14ac:dyDescent="0.25">
      <c r="A344" s="1">
        <v>957456117</v>
      </c>
      <c r="B344" s="1" t="s">
        <v>20</v>
      </c>
      <c r="C344" s="1" t="s">
        <v>17</v>
      </c>
      <c r="D344" s="1">
        <v>48564</v>
      </c>
      <c r="E344" s="1">
        <v>4615</v>
      </c>
      <c r="F344" s="1">
        <v>48</v>
      </c>
      <c r="G344" s="13">
        <f>Table[[#This Row],[Return Value]]/Table[[#This Row],[Sell Value]]</f>
        <v>1.0400866738894909E-2</v>
      </c>
      <c r="H344" s="1" t="s">
        <v>3</v>
      </c>
      <c r="I344" s="1">
        <v>24</v>
      </c>
      <c r="J344" s="14">
        <f>Table[[#This Row],[Sell Value]]*Table[[#This Row],[Selling Price]]</f>
        <v>110760</v>
      </c>
      <c r="K344" s="1" t="s">
        <v>4</v>
      </c>
      <c r="L344" s="1" t="s">
        <v>21</v>
      </c>
      <c r="M344" s="1" t="s">
        <v>59</v>
      </c>
      <c r="N344" s="1">
        <v>0.2</v>
      </c>
      <c r="O344" s="1" t="s">
        <v>81</v>
      </c>
      <c r="P344" s="1" t="s">
        <v>23</v>
      </c>
    </row>
    <row r="345" spans="1:16" x14ac:dyDescent="0.25">
      <c r="A345" s="1">
        <v>399677076</v>
      </c>
      <c r="B345" s="1" t="s">
        <v>24</v>
      </c>
      <c r="C345" s="1" t="s">
        <v>2</v>
      </c>
      <c r="D345" s="1">
        <v>47601</v>
      </c>
      <c r="E345" s="1">
        <v>1305</v>
      </c>
      <c r="F345" s="1">
        <v>38</v>
      </c>
      <c r="G345" s="13">
        <f>Table[[#This Row],[Return Value]]/Table[[#This Row],[Sell Value]]</f>
        <v>2.9118773946360154E-2</v>
      </c>
      <c r="H345" s="1" t="s">
        <v>3</v>
      </c>
      <c r="I345" s="1">
        <v>42</v>
      </c>
      <c r="J345" s="14">
        <f>Table[[#This Row],[Sell Value]]*Table[[#This Row],[Selling Price]]</f>
        <v>54810</v>
      </c>
      <c r="K345" s="1" t="s">
        <v>4</v>
      </c>
      <c r="L345" s="1" t="s">
        <v>25</v>
      </c>
      <c r="M345" s="1" t="s">
        <v>61</v>
      </c>
      <c r="N345" s="1">
        <v>0.2</v>
      </c>
      <c r="O345" s="1" t="s">
        <v>82</v>
      </c>
      <c r="P345" s="1" t="s">
        <v>11</v>
      </c>
    </row>
    <row r="346" spans="1:16" x14ac:dyDescent="0.25">
      <c r="A346" s="1">
        <v>532867589</v>
      </c>
      <c r="B346" s="1" t="s">
        <v>27</v>
      </c>
      <c r="C346" s="1" t="s">
        <v>2</v>
      </c>
      <c r="D346" s="1">
        <v>48198</v>
      </c>
      <c r="E346" s="1">
        <v>2633</v>
      </c>
      <c r="F346" s="1">
        <v>44</v>
      </c>
      <c r="G346" s="13">
        <f>Table[[#This Row],[Return Value]]/Table[[#This Row],[Sell Value]]</f>
        <v>1.6710976072920623E-2</v>
      </c>
      <c r="H346" s="1" t="s">
        <v>3</v>
      </c>
      <c r="I346" s="1">
        <v>25</v>
      </c>
      <c r="J346" s="14">
        <f>Table[[#This Row],[Sell Value]]*Table[[#This Row],[Selling Price]]</f>
        <v>65825</v>
      </c>
      <c r="K346" s="1" t="s">
        <v>4</v>
      </c>
      <c r="L346" s="1" t="s">
        <v>29</v>
      </c>
      <c r="M346" s="1" t="s">
        <v>6</v>
      </c>
      <c r="N346" s="1">
        <v>0.2</v>
      </c>
      <c r="O346" s="1" t="s">
        <v>82</v>
      </c>
      <c r="P346" s="1" t="s">
        <v>67</v>
      </c>
    </row>
    <row r="347" spans="1:16" x14ac:dyDescent="0.25">
      <c r="A347" s="1">
        <v>75797482</v>
      </c>
      <c r="B347" s="1" t="s">
        <v>32</v>
      </c>
      <c r="C347" s="1" t="s">
        <v>17</v>
      </c>
      <c r="D347" s="1">
        <v>48339</v>
      </c>
      <c r="E347" s="1">
        <v>1140</v>
      </c>
      <c r="F347" s="1">
        <v>10</v>
      </c>
      <c r="G347" s="13">
        <f>Table[[#This Row],[Return Value]]/Table[[#This Row],[Sell Value]]</f>
        <v>8.771929824561403E-3</v>
      </c>
      <c r="H347" s="1" t="s">
        <v>3</v>
      </c>
      <c r="I347" s="1">
        <v>26</v>
      </c>
      <c r="J347" s="14">
        <f>Table[[#This Row],[Sell Value]]*Table[[#This Row],[Selling Price]]</f>
        <v>29640</v>
      </c>
      <c r="K347" s="1" t="s">
        <v>4</v>
      </c>
      <c r="L347" s="1" t="s">
        <v>29</v>
      </c>
      <c r="M347" s="1" t="s">
        <v>6</v>
      </c>
      <c r="N347" s="1">
        <v>0.2</v>
      </c>
      <c r="O347" s="1" t="s">
        <v>81</v>
      </c>
      <c r="P347" s="1" t="s">
        <v>58</v>
      </c>
    </row>
    <row r="348" spans="1:16" x14ac:dyDescent="0.25">
      <c r="A348" s="1">
        <v>35303416</v>
      </c>
      <c r="B348" s="1" t="s">
        <v>34</v>
      </c>
      <c r="C348" s="1" t="s">
        <v>2</v>
      </c>
      <c r="D348" s="1">
        <v>47611</v>
      </c>
      <c r="E348" s="1">
        <v>2293</v>
      </c>
      <c r="F348" s="1">
        <v>23</v>
      </c>
      <c r="G348" s="13">
        <f>Table[[#This Row],[Return Value]]/Table[[#This Row],[Sell Value]]</f>
        <v>1.003052769297863E-2</v>
      </c>
      <c r="H348" s="1" t="s">
        <v>3</v>
      </c>
      <c r="I348" s="1">
        <v>26</v>
      </c>
      <c r="J348" s="14">
        <f>Table[[#This Row],[Sell Value]]*Table[[#This Row],[Selling Price]]</f>
        <v>59618</v>
      </c>
      <c r="K348" s="1" t="s">
        <v>4</v>
      </c>
      <c r="L348" s="1" t="s">
        <v>35</v>
      </c>
      <c r="M348" s="1" t="s">
        <v>22</v>
      </c>
      <c r="N348" s="1">
        <v>0.2</v>
      </c>
      <c r="O348" s="1" t="s">
        <v>82</v>
      </c>
      <c r="P348" s="1" t="s">
        <v>31</v>
      </c>
    </row>
    <row r="349" spans="1:16" x14ac:dyDescent="0.25">
      <c r="A349" s="1">
        <v>672260151</v>
      </c>
      <c r="B349" s="1" t="s">
        <v>37</v>
      </c>
      <c r="C349" s="1" t="s">
        <v>17</v>
      </c>
      <c r="D349" s="1">
        <v>48130</v>
      </c>
      <c r="E349" s="1">
        <v>2834</v>
      </c>
      <c r="F349" s="1">
        <v>16</v>
      </c>
      <c r="G349" s="13">
        <f>Table[[#This Row],[Return Value]]/Table[[#This Row],[Sell Value]]</f>
        <v>5.6457304163726185E-3</v>
      </c>
      <c r="H349" s="1" t="s">
        <v>3</v>
      </c>
      <c r="I349" s="1">
        <v>24</v>
      </c>
      <c r="J349" s="14">
        <f>Table[[#This Row],[Sell Value]]*Table[[#This Row],[Selling Price]]</f>
        <v>68016</v>
      </c>
      <c r="K349" s="1" t="s">
        <v>4</v>
      </c>
      <c r="L349" s="1" t="s">
        <v>38</v>
      </c>
      <c r="M349" s="1" t="s">
        <v>26</v>
      </c>
      <c r="N349" s="1">
        <v>0.2</v>
      </c>
      <c r="O349" s="1" t="s">
        <v>81</v>
      </c>
      <c r="P349" s="1" t="s">
        <v>67</v>
      </c>
    </row>
    <row r="350" spans="1:16" x14ac:dyDescent="0.25">
      <c r="A350" s="1">
        <v>890305859</v>
      </c>
      <c r="B350" s="1" t="s">
        <v>40</v>
      </c>
      <c r="C350" s="1" t="s">
        <v>17</v>
      </c>
      <c r="D350" s="1">
        <v>48356</v>
      </c>
      <c r="E350" s="1">
        <v>3603</v>
      </c>
      <c r="F350" s="1">
        <v>49</v>
      </c>
      <c r="G350" s="13">
        <f>Table[[#This Row],[Return Value]]/Table[[#This Row],[Sell Value]]</f>
        <v>1.3599777962808771E-2</v>
      </c>
      <c r="H350" s="1" t="s">
        <v>28</v>
      </c>
      <c r="I350" s="1">
        <v>42</v>
      </c>
      <c r="J350" s="14">
        <f>Table[[#This Row],[Sell Value]]*Table[[#This Row],[Selling Price]]</f>
        <v>151326</v>
      </c>
      <c r="K350" s="1" t="s">
        <v>4</v>
      </c>
      <c r="L350" s="1" t="s">
        <v>41</v>
      </c>
      <c r="M350" s="1" t="s">
        <v>10</v>
      </c>
      <c r="N350" s="1">
        <v>0.2</v>
      </c>
      <c r="O350" s="1" t="s">
        <v>81</v>
      </c>
      <c r="P350" s="1" t="s">
        <v>52</v>
      </c>
    </row>
    <row r="351" spans="1:16" x14ac:dyDescent="0.25">
      <c r="A351" s="1">
        <v>138376828</v>
      </c>
      <c r="B351" s="1" t="s">
        <v>42</v>
      </c>
      <c r="C351" s="1" t="s">
        <v>2</v>
      </c>
      <c r="D351" s="1">
        <v>47580</v>
      </c>
      <c r="E351" s="1">
        <v>3241</v>
      </c>
      <c r="F351" s="1">
        <v>38</v>
      </c>
      <c r="G351" s="13">
        <f>Table[[#This Row],[Return Value]]/Table[[#This Row],[Sell Value]]</f>
        <v>1.1724776303609998E-2</v>
      </c>
      <c r="H351" s="1" t="s">
        <v>28</v>
      </c>
      <c r="I351" s="1">
        <v>22</v>
      </c>
      <c r="J351" s="14">
        <f>Table[[#This Row],[Sell Value]]*Table[[#This Row],[Selling Price]]</f>
        <v>71302</v>
      </c>
      <c r="K351" s="1" t="s">
        <v>4</v>
      </c>
      <c r="L351" s="1" t="s">
        <v>43</v>
      </c>
      <c r="M351" s="1" t="s">
        <v>44</v>
      </c>
      <c r="N351" s="1">
        <v>0.2</v>
      </c>
      <c r="O351" s="1" t="s">
        <v>81</v>
      </c>
      <c r="P351" s="1" t="s">
        <v>23</v>
      </c>
    </row>
    <row r="352" spans="1:16" x14ac:dyDescent="0.25">
      <c r="A352" s="1">
        <v>12380638</v>
      </c>
      <c r="B352" s="1" t="s">
        <v>46</v>
      </c>
      <c r="C352" s="1" t="s">
        <v>2</v>
      </c>
      <c r="D352" s="1">
        <v>48457</v>
      </c>
      <c r="E352" s="1">
        <v>3002</v>
      </c>
      <c r="F352" s="1">
        <v>38</v>
      </c>
      <c r="G352" s="13">
        <f>Table[[#This Row],[Return Value]]/Table[[#This Row],[Sell Value]]</f>
        <v>1.2658227848101266E-2</v>
      </c>
      <c r="H352" s="1" t="s">
        <v>3</v>
      </c>
      <c r="I352" s="1">
        <v>37</v>
      </c>
      <c r="J352" s="14">
        <f>Table[[#This Row],[Sell Value]]*Table[[#This Row],[Selling Price]]</f>
        <v>111074</v>
      </c>
      <c r="K352" s="1" t="s">
        <v>4</v>
      </c>
      <c r="L352" s="1" t="s">
        <v>47</v>
      </c>
      <c r="M352" s="1" t="s">
        <v>10</v>
      </c>
      <c r="N352" s="1">
        <v>0.2</v>
      </c>
      <c r="O352" s="1" t="s">
        <v>81</v>
      </c>
      <c r="P352" s="1" t="s">
        <v>15</v>
      </c>
    </row>
    <row r="353" spans="1:16" x14ac:dyDescent="0.25">
      <c r="A353" s="1">
        <v>682271092</v>
      </c>
      <c r="B353" s="1" t="s">
        <v>12</v>
      </c>
      <c r="C353" s="1" t="s">
        <v>2</v>
      </c>
      <c r="D353" s="1">
        <v>47881</v>
      </c>
      <c r="E353" s="1">
        <v>3132</v>
      </c>
      <c r="F353" s="1">
        <v>48</v>
      </c>
      <c r="G353" s="13">
        <f>Table[[#This Row],[Return Value]]/Table[[#This Row],[Sell Value]]</f>
        <v>1.532567049808429E-2</v>
      </c>
      <c r="H353" s="1" t="s">
        <v>3</v>
      </c>
      <c r="I353" s="1">
        <v>46</v>
      </c>
      <c r="J353" s="14">
        <f>Table[[#This Row],[Sell Value]]*Table[[#This Row],[Selling Price]]</f>
        <v>144072</v>
      </c>
      <c r="K353" s="1" t="s">
        <v>4</v>
      </c>
      <c r="L353" s="1" t="s">
        <v>51</v>
      </c>
      <c r="M353" s="1" t="s">
        <v>48</v>
      </c>
      <c r="N353" s="1">
        <v>0.2</v>
      </c>
      <c r="O353" s="1" t="s">
        <v>81</v>
      </c>
      <c r="P353" s="1" t="s">
        <v>11</v>
      </c>
    </row>
    <row r="354" spans="1:16" x14ac:dyDescent="0.25">
      <c r="A354" s="1">
        <v>715890337</v>
      </c>
      <c r="B354" s="1" t="s">
        <v>16</v>
      </c>
      <c r="C354" s="1" t="s">
        <v>17</v>
      </c>
      <c r="D354" s="1">
        <v>48214</v>
      </c>
      <c r="E354" s="1">
        <v>1728</v>
      </c>
      <c r="F354" s="1">
        <v>36</v>
      </c>
      <c r="G354" s="13">
        <f>Table[[#This Row],[Return Value]]/Table[[#This Row],[Sell Value]]</f>
        <v>2.0833333333333332E-2</v>
      </c>
      <c r="H354" s="1" t="s">
        <v>3</v>
      </c>
      <c r="I354" s="1">
        <v>44</v>
      </c>
      <c r="J354" s="14">
        <f>Table[[#This Row],[Sell Value]]*Table[[#This Row],[Selling Price]]</f>
        <v>76032</v>
      </c>
      <c r="K354" s="1" t="s">
        <v>4</v>
      </c>
      <c r="L354" s="1" t="s">
        <v>54</v>
      </c>
      <c r="M354" s="1" t="s">
        <v>59</v>
      </c>
      <c r="N354" s="1">
        <v>0.2</v>
      </c>
      <c r="O354" s="1" t="s">
        <v>81</v>
      </c>
      <c r="P354" s="1" t="s">
        <v>39</v>
      </c>
    </row>
    <row r="355" spans="1:16" x14ac:dyDescent="0.25">
      <c r="A355" s="1">
        <v>29433812</v>
      </c>
      <c r="B355" s="1" t="s">
        <v>20</v>
      </c>
      <c r="C355" s="1" t="s">
        <v>17</v>
      </c>
      <c r="D355" s="1">
        <v>48250</v>
      </c>
      <c r="E355" s="1">
        <v>4254</v>
      </c>
      <c r="F355" s="1">
        <v>40</v>
      </c>
      <c r="G355" s="13">
        <f>Table[[#This Row],[Return Value]]/Table[[#This Row],[Sell Value]]</f>
        <v>9.4029149036201215E-3</v>
      </c>
      <c r="H355" s="1" t="s">
        <v>3</v>
      </c>
      <c r="I355" s="1">
        <v>43</v>
      </c>
      <c r="J355" s="14">
        <f>Table[[#This Row],[Sell Value]]*Table[[#This Row],[Selling Price]]</f>
        <v>182922</v>
      </c>
      <c r="K355" s="1" t="s">
        <v>4</v>
      </c>
      <c r="L355" s="1" t="s">
        <v>57</v>
      </c>
      <c r="M355" s="1" t="s">
        <v>61</v>
      </c>
      <c r="N355" s="1">
        <v>0.2</v>
      </c>
      <c r="O355" s="1" t="s">
        <v>82</v>
      </c>
      <c r="P355" s="1" t="s">
        <v>23</v>
      </c>
    </row>
    <row r="356" spans="1:16" x14ac:dyDescent="0.25">
      <c r="A356" s="1">
        <v>148598513</v>
      </c>
      <c r="B356" s="1" t="s">
        <v>24</v>
      </c>
      <c r="C356" s="1" t="s">
        <v>2</v>
      </c>
      <c r="D356" s="1">
        <v>47829</v>
      </c>
      <c r="E356" s="1">
        <v>3604</v>
      </c>
      <c r="F356" s="1">
        <v>42</v>
      </c>
      <c r="G356" s="13">
        <f>Table[[#This Row],[Return Value]]/Table[[#This Row],[Sell Value]]</f>
        <v>1.1653718091009988E-2</v>
      </c>
      <c r="H356" s="1" t="s">
        <v>3</v>
      </c>
      <c r="I356" s="1">
        <v>41</v>
      </c>
      <c r="J356" s="14">
        <f>Table[[#This Row],[Sell Value]]*Table[[#This Row],[Selling Price]]</f>
        <v>147764</v>
      </c>
      <c r="K356" s="1" t="s">
        <v>4</v>
      </c>
      <c r="L356" s="1" t="s">
        <v>5</v>
      </c>
      <c r="M356" s="1" t="s">
        <v>6</v>
      </c>
      <c r="N356" s="1">
        <v>0.2</v>
      </c>
      <c r="O356" s="1" t="s">
        <v>81</v>
      </c>
      <c r="P356" s="1" t="s">
        <v>49</v>
      </c>
    </row>
    <row r="357" spans="1:16" x14ac:dyDescent="0.25">
      <c r="A357" s="1">
        <v>484871661</v>
      </c>
      <c r="B357" s="1" t="s">
        <v>27</v>
      </c>
      <c r="C357" s="1" t="s">
        <v>2</v>
      </c>
      <c r="D357" s="1">
        <v>48442</v>
      </c>
      <c r="E357" s="1">
        <v>2014</v>
      </c>
      <c r="F357" s="1">
        <v>26</v>
      </c>
      <c r="G357" s="13">
        <f>Table[[#This Row],[Return Value]]/Table[[#This Row],[Sell Value]]</f>
        <v>1.2909632571996028E-2</v>
      </c>
      <c r="H357" s="1" t="s">
        <v>3</v>
      </c>
      <c r="I357" s="1">
        <v>49</v>
      </c>
      <c r="J357" s="14">
        <f>Table[[#This Row],[Sell Value]]*Table[[#This Row],[Selling Price]]</f>
        <v>98686</v>
      </c>
      <c r="K357" s="1" t="s">
        <v>4</v>
      </c>
      <c r="L357" s="1" t="s">
        <v>9</v>
      </c>
      <c r="M357" s="1" t="s">
        <v>26</v>
      </c>
      <c r="N357" s="1">
        <v>0.2</v>
      </c>
      <c r="O357" s="1" t="s">
        <v>81</v>
      </c>
      <c r="P357" s="1" t="s">
        <v>62</v>
      </c>
    </row>
    <row r="358" spans="1:16" x14ac:dyDescent="0.25">
      <c r="A358" s="1">
        <v>541492597</v>
      </c>
      <c r="B358" s="1" t="s">
        <v>32</v>
      </c>
      <c r="C358" s="1" t="s">
        <v>17</v>
      </c>
      <c r="D358" s="1">
        <v>47922</v>
      </c>
      <c r="E358" s="1">
        <v>4483</v>
      </c>
      <c r="F358" s="1">
        <v>27</v>
      </c>
      <c r="G358" s="13">
        <f>Table[[#This Row],[Return Value]]/Table[[#This Row],[Sell Value]]</f>
        <v>6.0227526210127145E-3</v>
      </c>
      <c r="H358" s="1" t="s">
        <v>3</v>
      </c>
      <c r="I358" s="1">
        <v>24</v>
      </c>
      <c r="J358" s="14">
        <f>Table[[#This Row],[Sell Value]]*Table[[#This Row],[Selling Price]]</f>
        <v>107592</v>
      </c>
      <c r="K358" s="1" t="s">
        <v>4</v>
      </c>
      <c r="L358" s="1" t="s">
        <v>13</v>
      </c>
      <c r="M358" s="1" t="s">
        <v>30</v>
      </c>
      <c r="N358" s="1">
        <v>0.2</v>
      </c>
      <c r="O358" s="1" t="s">
        <v>81</v>
      </c>
      <c r="P358" s="1" t="s">
        <v>7</v>
      </c>
    </row>
    <row r="359" spans="1:16" x14ac:dyDescent="0.25">
      <c r="A359" s="1">
        <v>724601240</v>
      </c>
      <c r="B359" s="1" t="s">
        <v>34</v>
      </c>
      <c r="C359" s="1" t="s">
        <v>2</v>
      </c>
      <c r="D359" s="1">
        <v>48198</v>
      </c>
      <c r="E359" s="1">
        <v>2045</v>
      </c>
      <c r="F359" s="1">
        <v>43</v>
      </c>
      <c r="G359" s="13">
        <f>Table[[#This Row],[Return Value]]/Table[[#This Row],[Sell Value]]</f>
        <v>2.1026894865525673E-2</v>
      </c>
      <c r="H359" s="1" t="s">
        <v>3</v>
      </c>
      <c r="I359" s="1">
        <v>29</v>
      </c>
      <c r="J359" s="14">
        <f>Table[[#This Row],[Sell Value]]*Table[[#This Row],[Selling Price]]</f>
        <v>59305</v>
      </c>
      <c r="K359" s="1" t="s">
        <v>4</v>
      </c>
      <c r="L359" s="1" t="s">
        <v>18</v>
      </c>
      <c r="M359" s="1" t="s">
        <v>26</v>
      </c>
      <c r="N359" s="1">
        <v>0.2</v>
      </c>
      <c r="O359" s="1" t="s">
        <v>82</v>
      </c>
      <c r="P359" s="1" t="s">
        <v>11</v>
      </c>
    </row>
    <row r="360" spans="1:16" x14ac:dyDescent="0.25">
      <c r="A360" s="1">
        <v>611288097</v>
      </c>
      <c r="B360" s="1" t="s">
        <v>37</v>
      </c>
      <c r="C360" s="1" t="s">
        <v>17</v>
      </c>
      <c r="D360" s="1">
        <v>48289</v>
      </c>
      <c r="E360" s="1">
        <v>1105</v>
      </c>
      <c r="F360" s="1">
        <v>24</v>
      </c>
      <c r="G360" s="13">
        <f>Table[[#This Row],[Return Value]]/Table[[#This Row],[Sell Value]]</f>
        <v>2.171945701357466E-2</v>
      </c>
      <c r="H360" s="1" t="s">
        <v>3</v>
      </c>
      <c r="I360" s="1">
        <v>35</v>
      </c>
      <c r="J360" s="14">
        <f>Table[[#This Row],[Sell Value]]*Table[[#This Row],[Selling Price]]</f>
        <v>38675</v>
      </c>
      <c r="K360" s="1" t="s">
        <v>4</v>
      </c>
      <c r="L360" s="1" t="s">
        <v>21</v>
      </c>
      <c r="M360" s="1" t="s">
        <v>10</v>
      </c>
      <c r="N360" s="1">
        <v>0.2</v>
      </c>
      <c r="O360" s="1" t="s">
        <v>82</v>
      </c>
      <c r="P360" s="1" t="s">
        <v>52</v>
      </c>
    </row>
    <row r="361" spans="1:16" x14ac:dyDescent="0.25">
      <c r="A361" s="1">
        <v>933384298</v>
      </c>
      <c r="B361" s="1" t="s">
        <v>40</v>
      </c>
      <c r="C361" s="1" t="s">
        <v>17</v>
      </c>
      <c r="D361" s="1">
        <v>48100</v>
      </c>
      <c r="E361" s="1">
        <v>3941</v>
      </c>
      <c r="F361" s="1">
        <v>25</v>
      </c>
      <c r="G361" s="13">
        <f>Table[[#This Row],[Return Value]]/Table[[#This Row],[Sell Value]]</f>
        <v>6.3435676224308547E-3</v>
      </c>
      <c r="H361" s="1" t="s">
        <v>3</v>
      </c>
      <c r="I361" s="1">
        <v>50</v>
      </c>
      <c r="J361" s="14">
        <f>Table[[#This Row],[Sell Value]]*Table[[#This Row],[Selling Price]]</f>
        <v>197050</v>
      </c>
      <c r="K361" s="1" t="s">
        <v>4</v>
      </c>
      <c r="L361" s="1" t="s">
        <v>25</v>
      </c>
      <c r="M361" s="1" t="s">
        <v>14</v>
      </c>
      <c r="N361" s="1">
        <v>0.2</v>
      </c>
      <c r="O361" s="1" t="s">
        <v>81</v>
      </c>
      <c r="P361" s="1" t="s">
        <v>7</v>
      </c>
    </row>
    <row r="362" spans="1:16" x14ac:dyDescent="0.25">
      <c r="A362" s="1">
        <v>153521260</v>
      </c>
      <c r="B362" s="1" t="s">
        <v>42</v>
      </c>
      <c r="C362" s="1" t="s">
        <v>2</v>
      </c>
      <c r="D362" s="1">
        <v>48125</v>
      </c>
      <c r="E362" s="1">
        <v>2179</v>
      </c>
      <c r="F362" s="1">
        <v>49</v>
      </c>
      <c r="G362" s="13">
        <f>Table[[#This Row],[Return Value]]/Table[[#This Row],[Sell Value]]</f>
        <v>2.2487379531895366E-2</v>
      </c>
      <c r="H362" s="1" t="s">
        <v>3</v>
      </c>
      <c r="I362" s="1">
        <v>42</v>
      </c>
      <c r="J362" s="14">
        <f>Table[[#This Row],[Sell Value]]*Table[[#This Row],[Selling Price]]</f>
        <v>91518</v>
      </c>
      <c r="K362" s="1" t="s">
        <v>4</v>
      </c>
      <c r="L362" s="1" t="s">
        <v>29</v>
      </c>
      <c r="M362" s="1" t="s">
        <v>6</v>
      </c>
      <c r="N362" s="1">
        <v>0.2</v>
      </c>
      <c r="O362" s="1" t="s">
        <v>82</v>
      </c>
      <c r="P362" s="1" t="s">
        <v>52</v>
      </c>
    </row>
    <row r="363" spans="1:16" x14ac:dyDescent="0.25">
      <c r="A363" s="1">
        <v>877090044</v>
      </c>
      <c r="B363" s="1" t="s">
        <v>46</v>
      </c>
      <c r="C363" s="1" t="s">
        <v>2</v>
      </c>
      <c r="D363" s="1">
        <v>47936</v>
      </c>
      <c r="E363" s="1">
        <v>2137</v>
      </c>
      <c r="F363" s="1">
        <v>49</v>
      </c>
      <c r="G363" s="13">
        <f>Table[[#This Row],[Return Value]]/Table[[#This Row],[Sell Value]]</f>
        <v>2.2929340196537203E-2</v>
      </c>
      <c r="H363" s="1" t="s">
        <v>3</v>
      </c>
      <c r="I363" s="1">
        <v>40</v>
      </c>
      <c r="J363" s="14">
        <f>Table[[#This Row],[Sell Value]]*Table[[#This Row],[Selling Price]]</f>
        <v>85480</v>
      </c>
      <c r="K363" s="1" t="s">
        <v>4</v>
      </c>
      <c r="L363" s="1" t="s">
        <v>29</v>
      </c>
      <c r="M363" s="1" t="s">
        <v>30</v>
      </c>
      <c r="N363" s="1">
        <v>0.2</v>
      </c>
      <c r="O363" s="1" t="s">
        <v>82</v>
      </c>
      <c r="P363" s="1" t="s">
        <v>62</v>
      </c>
    </row>
    <row r="364" spans="1:16" x14ac:dyDescent="0.25">
      <c r="A364" s="1">
        <v>608790063</v>
      </c>
      <c r="B364" s="1" t="s">
        <v>50</v>
      </c>
      <c r="C364" s="1" t="s">
        <v>2</v>
      </c>
      <c r="D364" s="1">
        <v>47905</v>
      </c>
      <c r="E364" s="1">
        <v>2514</v>
      </c>
      <c r="F364" s="1">
        <v>41</v>
      </c>
      <c r="G364" s="13">
        <f>Table[[#This Row],[Return Value]]/Table[[#This Row],[Sell Value]]</f>
        <v>1.6308671439936355E-2</v>
      </c>
      <c r="H364" s="1" t="s">
        <v>3</v>
      </c>
      <c r="I364" s="1">
        <v>39</v>
      </c>
      <c r="J364" s="14">
        <f>Table[[#This Row],[Sell Value]]*Table[[#This Row],[Selling Price]]</f>
        <v>98046</v>
      </c>
      <c r="K364" s="1" t="s">
        <v>4</v>
      </c>
      <c r="L364" s="1" t="s">
        <v>35</v>
      </c>
      <c r="M364" s="1" t="s">
        <v>44</v>
      </c>
      <c r="N364" s="1">
        <v>0.2</v>
      </c>
      <c r="O364" s="1" t="s">
        <v>81</v>
      </c>
      <c r="P364" s="1" t="s">
        <v>15</v>
      </c>
    </row>
    <row r="365" spans="1:16" x14ac:dyDescent="0.25">
      <c r="A365" s="1">
        <v>85231847</v>
      </c>
      <c r="B365" s="1" t="s">
        <v>53</v>
      </c>
      <c r="C365" s="1" t="s">
        <v>2</v>
      </c>
      <c r="D365" s="1">
        <v>47988</v>
      </c>
      <c r="E365" s="1">
        <v>4971</v>
      </c>
      <c r="F365" s="1">
        <v>32</v>
      </c>
      <c r="G365" s="13">
        <f>Table[[#This Row],[Return Value]]/Table[[#This Row],[Sell Value]]</f>
        <v>6.4373365520016095E-3</v>
      </c>
      <c r="H365" s="1" t="s">
        <v>3</v>
      </c>
      <c r="I365" s="1">
        <v>37</v>
      </c>
      <c r="J365" s="14">
        <f>Table[[#This Row],[Sell Value]]*Table[[#This Row],[Selling Price]]</f>
        <v>183927</v>
      </c>
      <c r="K365" s="1" t="s">
        <v>4</v>
      </c>
      <c r="L365" s="1" t="s">
        <v>38</v>
      </c>
      <c r="M365" s="1" t="s">
        <v>48</v>
      </c>
      <c r="N365" s="1">
        <v>0.2</v>
      </c>
      <c r="O365" s="1" t="s">
        <v>82</v>
      </c>
      <c r="P365" s="1" t="s">
        <v>11</v>
      </c>
    </row>
    <row r="366" spans="1:16" x14ac:dyDescent="0.25">
      <c r="A366" s="1">
        <v>754639731</v>
      </c>
      <c r="B366" s="1" t="s">
        <v>56</v>
      </c>
      <c r="C366" s="1" t="s">
        <v>2</v>
      </c>
      <c r="D366" s="1">
        <v>48185</v>
      </c>
      <c r="E366" s="1">
        <v>3172</v>
      </c>
      <c r="F366" s="1">
        <v>12</v>
      </c>
      <c r="G366" s="13">
        <f>Table[[#This Row],[Return Value]]/Table[[#This Row],[Sell Value]]</f>
        <v>3.7831021437578815E-3</v>
      </c>
      <c r="H366" s="1" t="s">
        <v>3</v>
      </c>
      <c r="I366" s="1">
        <v>27</v>
      </c>
      <c r="J366" s="14">
        <f>Table[[#This Row],[Sell Value]]*Table[[#This Row],[Selling Price]]</f>
        <v>85644</v>
      </c>
      <c r="K366" s="1" t="s">
        <v>4</v>
      </c>
      <c r="L366" s="1" t="s">
        <v>41</v>
      </c>
      <c r="M366" s="1" t="s">
        <v>22</v>
      </c>
      <c r="N366" s="1">
        <v>0.2</v>
      </c>
      <c r="O366" s="1" t="s">
        <v>82</v>
      </c>
      <c r="P366" s="1" t="s">
        <v>58</v>
      </c>
    </row>
    <row r="367" spans="1:16" x14ac:dyDescent="0.25">
      <c r="A367" s="1">
        <v>778887914</v>
      </c>
      <c r="B367" s="1" t="s">
        <v>1</v>
      </c>
      <c r="C367" s="1" t="s">
        <v>2</v>
      </c>
      <c r="D367" s="1">
        <v>47805</v>
      </c>
      <c r="E367" s="1">
        <v>1456</v>
      </c>
      <c r="F367" s="1">
        <v>32</v>
      </c>
      <c r="G367" s="13">
        <f>Table[[#This Row],[Return Value]]/Table[[#This Row],[Sell Value]]</f>
        <v>2.197802197802198E-2</v>
      </c>
      <c r="H367" s="1" t="s">
        <v>3</v>
      </c>
      <c r="I367" s="1">
        <v>23</v>
      </c>
      <c r="J367" s="14">
        <f>Table[[#This Row],[Sell Value]]*Table[[#This Row],[Selling Price]]</f>
        <v>33488</v>
      </c>
      <c r="K367" s="1" t="s">
        <v>4</v>
      </c>
      <c r="L367" s="1" t="s">
        <v>43</v>
      </c>
      <c r="M367" s="1" t="s">
        <v>30</v>
      </c>
      <c r="N367" s="1">
        <v>0.2</v>
      </c>
      <c r="O367" s="1" t="s">
        <v>82</v>
      </c>
      <c r="P367" s="1" t="s">
        <v>58</v>
      </c>
    </row>
    <row r="368" spans="1:16" x14ac:dyDescent="0.25">
      <c r="A368" s="1">
        <v>903434078</v>
      </c>
      <c r="B368" s="1" t="s">
        <v>8</v>
      </c>
      <c r="C368" s="1" t="s">
        <v>2</v>
      </c>
      <c r="D368" s="1">
        <v>48412</v>
      </c>
      <c r="E368" s="1">
        <v>2260</v>
      </c>
      <c r="F368" s="1">
        <v>28</v>
      </c>
      <c r="G368" s="13">
        <f>Table[[#This Row],[Return Value]]/Table[[#This Row],[Sell Value]]</f>
        <v>1.2389380530973451E-2</v>
      </c>
      <c r="H368" s="1" t="s">
        <v>3</v>
      </c>
      <c r="I368" s="1">
        <v>35</v>
      </c>
      <c r="J368" s="14">
        <f>Table[[#This Row],[Sell Value]]*Table[[#This Row],[Selling Price]]</f>
        <v>79100</v>
      </c>
      <c r="K368" s="1" t="s">
        <v>4</v>
      </c>
      <c r="L368" s="1" t="s">
        <v>47</v>
      </c>
      <c r="M368" s="1" t="s">
        <v>22</v>
      </c>
      <c r="N368" s="1">
        <v>0.2</v>
      </c>
      <c r="O368" s="1" t="s">
        <v>82</v>
      </c>
      <c r="P368" s="1" t="s">
        <v>65</v>
      </c>
    </row>
    <row r="369" spans="1:16" x14ac:dyDescent="0.25">
      <c r="A369" s="1">
        <v>358337177</v>
      </c>
      <c r="B369" s="1" t="s">
        <v>12</v>
      </c>
      <c r="C369" s="1" t="s">
        <v>2</v>
      </c>
      <c r="D369" s="1">
        <v>48367</v>
      </c>
      <c r="E369" s="1">
        <v>4533</v>
      </c>
      <c r="F369" s="1">
        <v>26</v>
      </c>
      <c r="G369" s="13">
        <f>Table[[#This Row],[Return Value]]/Table[[#This Row],[Sell Value]]</f>
        <v>5.7357158614604019E-3</v>
      </c>
      <c r="H369" s="1" t="s">
        <v>3</v>
      </c>
      <c r="I369" s="1">
        <v>48</v>
      </c>
      <c r="J369" s="14">
        <f>Table[[#This Row],[Sell Value]]*Table[[#This Row],[Selling Price]]</f>
        <v>217584</v>
      </c>
      <c r="K369" s="1" t="s">
        <v>4</v>
      </c>
      <c r="L369" s="1" t="s">
        <v>51</v>
      </c>
      <c r="M369" s="1" t="s">
        <v>48</v>
      </c>
      <c r="N369" s="1">
        <v>0.2</v>
      </c>
      <c r="O369" s="1" t="s">
        <v>81</v>
      </c>
      <c r="P369" s="1" t="s">
        <v>66</v>
      </c>
    </row>
    <row r="370" spans="1:16" x14ac:dyDescent="0.25">
      <c r="A370" s="1">
        <v>805235619</v>
      </c>
      <c r="B370" s="1" t="s">
        <v>16</v>
      </c>
      <c r="C370" s="1" t="s">
        <v>17</v>
      </c>
      <c r="D370" s="1">
        <v>47763</v>
      </c>
      <c r="E370" s="1">
        <v>4144</v>
      </c>
      <c r="F370" s="1">
        <v>11</v>
      </c>
      <c r="G370" s="13">
        <f>Table[[#This Row],[Return Value]]/Table[[#This Row],[Sell Value]]</f>
        <v>2.6544401544401543E-3</v>
      </c>
      <c r="H370" s="1" t="s">
        <v>3</v>
      </c>
      <c r="I370" s="1">
        <v>37</v>
      </c>
      <c r="J370" s="14">
        <f>Table[[#This Row],[Sell Value]]*Table[[#This Row],[Selling Price]]</f>
        <v>153328</v>
      </c>
      <c r="K370" s="1" t="s">
        <v>4</v>
      </c>
      <c r="L370" s="1" t="s">
        <v>54</v>
      </c>
      <c r="M370" s="1" t="s">
        <v>6</v>
      </c>
      <c r="N370" s="1">
        <v>0.2</v>
      </c>
      <c r="O370" s="1" t="s">
        <v>81</v>
      </c>
      <c r="P370" s="1" t="s">
        <v>11</v>
      </c>
    </row>
    <row r="371" spans="1:16" x14ac:dyDescent="0.25">
      <c r="A371" s="1">
        <v>744556997</v>
      </c>
      <c r="B371" s="1" t="s">
        <v>20</v>
      </c>
      <c r="C371" s="1" t="s">
        <v>17</v>
      </c>
      <c r="D371" s="1">
        <v>48015</v>
      </c>
      <c r="E371" s="1">
        <v>1692</v>
      </c>
      <c r="F371" s="1">
        <v>19</v>
      </c>
      <c r="G371" s="13">
        <f>Table[[#This Row],[Return Value]]/Table[[#This Row],[Sell Value]]</f>
        <v>1.1229314420803783E-2</v>
      </c>
      <c r="H371" s="1" t="s">
        <v>3</v>
      </c>
      <c r="I371" s="1">
        <v>26</v>
      </c>
      <c r="J371" s="14">
        <f>Table[[#This Row],[Sell Value]]*Table[[#This Row],[Selling Price]]</f>
        <v>43992</v>
      </c>
      <c r="K371" s="1" t="s">
        <v>4</v>
      </c>
      <c r="L371" s="1" t="s">
        <v>57</v>
      </c>
      <c r="M371" s="1" t="s">
        <v>14</v>
      </c>
      <c r="N371" s="1">
        <v>0.2</v>
      </c>
      <c r="O371" s="1" t="s">
        <v>81</v>
      </c>
      <c r="P371" s="1" t="s">
        <v>58</v>
      </c>
    </row>
    <row r="372" spans="1:16" x14ac:dyDescent="0.25">
      <c r="A372" s="1">
        <v>487196834</v>
      </c>
      <c r="B372" s="1" t="s">
        <v>24</v>
      </c>
      <c r="C372" s="1" t="s">
        <v>2</v>
      </c>
      <c r="D372" s="1">
        <v>47745</v>
      </c>
      <c r="E372" s="1">
        <v>3320</v>
      </c>
      <c r="F372" s="1">
        <v>13</v>
      </c>
      <c r="G372" s="13">
        <f>Table[[#This Row],[Return Value]]/Table[[#This Row],[Sell Value]]</f>
        <v>3.9156626506024099E-3</v>
      </c>
      <c r="H372" s="1" t="s">
        <v>3</v>
      </c>
      <c r="I372" s="1">
        <v>36</v>
      </c>
      <c r="J372" s="14">
        <f>Table[[#This Row],[Sell Value]]*Table[[#This Row],[Selling Price]]</f>
        <v>119520</v>
      </c>
      <c r="K372" s="1" t="s">
        <v>4</v>
      </c>
      <c r="L372" s="1" t="s">
        <v>5</v>
      </c>
      <c r="M372" s="1" t="s">
        <v>6</v>
      </c>
      <c r="N372" s="1">
        <v>0.2</v>
      </c>
      <c r="O372" s="1" t="s">
        <v>81</v>
      </c>
      <c r="P372" s="1" t="s">
        <v>39</v>
      </c>
    </row>
    <row r="373" spans="1:16" x14ac:dyDescent="0.25">
      <c r="A373" s="1">
        <v>856397065</v>
      </c>
      <c r="B373" s="1" t="s">
        <v>27</v>
      </c>
      <c r="C373" s="1" t="s">
        <v>2</v>
      </c>
      <c r="D373" s="1">
        <v>47815</v>
      </c>
      <c r="E373" s="1">
        <v>3317</v>
      </c>
      <c r="F373" s="1">
        <v>31</v>
      </c>
      <c r="G373" s="13">
        <f>Table[[#This Row],[Return Value]]/Table[[#This Row],[Sell Value]]</f>
        <v>9.3457943925233638E-3</v>
      </c>
      <c r="H373" s="1" t="s">
        <v>3</v>
      </c>
      <c r="I373" s="1">
        <v>27</v>
      </c>
      <c r="J373" s="14">
        <f>Table[[#This Row],[Sell Value]]*Table[[#This Row],[Selling Price]]</f>
        <v>89559</v>
      </c>
      <c r="K373" s="1" t="s">
        <v>4</v>
      </c>
      <c r="L373" s="1" t="s">
        <v>9</v>
      </c>
      <c r="M373" s="1" t="s">
        <v>33</v>
      </c>
      <c r="N373" s="1">
        <v>0.2</v>
      </c>
      <c r="O373" s="1" t="s">
        <v>82</v>
      </c>
      <c r="P373" s="1" t="s">
        <v>19</v>
      </c>
    </row>
    <row r="374" spans="1:16" x14ac:dyDescent="0.25">
      <c r="A374" s="1">
        <v>5254101</v>
      </c>
      <c r="B374" s="1" t="s">
        <v>32</v>
      </c>
      <c r="C374" s="1" t="s">
        <v>17</v>
      </c>
      <c r="D374" s="1">
        <v>47555</v>
      </c>
      <c r="E374" s="1">
        <v>1195</v>
      </c>
      <c r="F374" s="1">
        <v>28</v>
      </c>
      <c r="G374" s="13">
        <f>Table[[#This Row],[Return Value]]/Table[[#This Row],[Sell Value]]</f>
        <v>2.3430962343096235E-2</v>
      </c>
      <c r="H374" s="1" t="s">
        <v>3</v>
      </c>
      <c r="I374" s="1">
        <v>47</v>
      </c>
      <c r="J374" s="14">
        <f>Table[[#This Row],[Sell Value]]*Table[[#This Row],[Selling Price]]</f>
        <v>56165</v>
      </c>
      <c r="K374" s="1" t="s">
        <v>4</v>
      </c>
      <c r="L374" s="1" t="s">
        <v>13</v>
      </c>
      <c r="M374" s="1" t="s">
        <v>44</v>
      </c>
      <c r="N374" s="1">
        <v>0.2</v>
      </c>
      <c r="O374" s="1" t="s">
        <v>82</v>
      </c>
      <c r="P374" s="1" t="s">
        <v>55</v>
      </c>
    </row>
    <row r="375" spans="1:16" x14ac:dyDescent="0.25">
      <c r="A375" s="1">
        <v>238962431</v>
      </c>
      <c r="B375" s="1" t="s">
        <v>34</v>
      </c>
      <c r="C375" s="1" t="s">
        <v>2</v>
      </c>
      <c r="D375" s="1">
        <v>47492</v>
      </c>
      <c r="E375" s="1">
        <v>3125</v>
      </c>
      <c r="F375" s="1">
        <v>50</v>
      </c>
      <c r="G375" s="13">
        <f>Table[[#This Row],[Return Value]]/Table[[#This Row],[Sell Value]]</f>
        <v>1.6E-2</v>
      </c>
      <c r="H375" s="1" t="s">
        <v>3</v>
      </c>
      <c r="I375" s="1">
        <v>25</v>
      </c>
      <c r="J375" s="14">
        <f>Table[[#This Row],[Sell Value]]*Table[[#This Row],[Selling Price]]</f>
        <v>78125</v>
      </c>
      <c r="K375" s="1" t="s">
        <v>4</v>
      </c>
      <c r="L375" s="1" t="s">
        <v>18</v>
      </c>
      <c r="M375" s="1" t="s">
        <v>6</v>
      </c>
      <c r="N375" s="1">
        <v>0.2</v>
      </c>
      <c r="O375" s="1" t="s">
        <v>81</v>
      </c>
      <c r="P375" s="1" t="s">
        <v>39</v>
      </c>
    </row>
    <row r="376" spans="1:16" x14ac:dyDescent="0.25">
      <c r="A376" s="1">
        <v>965533716</v>
      </c>
      <c r="B376" s="1" t="s">
        <v>37</v>
      </c>
      <c r="C376" s="1" t="s">
        <v>17</v>
      </c>
      <c r="D376" s="1">
        <v>47727</v>
      </c>
      <c r="E376" s="1">
        <v>2411</v>
      </c>
      <c r="F376" s="1">
        <v>18</v>
      </c>
      <c r="G376" s="13">
        <f>Table[[#This Row],[Return Value]]/Table[[#This Row],[Sell Value]]</f>
        <v>7.4657818332642054E-3</v>
      </c>
      <c r="H376" s="1" t="s">
        <v>3</v>
      </c>
      <c r="I376" s="1">
        <v>40</v>
      </c>
      <c r="J376" s="14">
        <f>Table[[#This Row],[Sell Value]]*Table[[#This Row],[Selling Price]]</f>
        <v>96440</v>
      </c>
      <c r="K376" s="1" t="s">
        <v>4</v>
      </c>
      <c r="L376" s="1" t="s">
        <v>21</v>
      </c>
      <c r="M376" s="1" t="s">
        <v>14</v>
      </c>
      <c r="N376" s="1">
        <v>0.2</v>
      </c>
      <c r="O376" s="1" t="s">
        <v>81</v>
      </c>
      <c r="P376" s="1" t="s">
        <v>60</v>
      </c>
    </row>
    <row r="377" spans="1:16" x14ac:dyDescent="0.25">
      <c r="A377" s="1">
        <v>56526469</v>
      </c>
      <c r="B377" s="1" t="s">
        <v>40</v>
      </c>
      <c r="C377" s="1" t="s">
        <v>17</v>
      </c>
      <c r="D377" s="1">
        <v>47929</v>
      </c>
      <c r="E377" s="1">
        <v>4630</v>
      </c>
      <c r="F377" s="1">
        <v>11</v>
      </c>
      <c r="G377" s="13">
        <f>Table[[#This Row],[Return Value]]/Table[[#This Row],[Sell Value]]</f>
        <v>2.3758099352051837E-3</v>
      </c>
      <c r="H377" s="1" t="s">
        <v>3</v>
      </c>
      <c r="I377" s="1">
        <v>38</v>
      </c>
      <c r="J377" s="14">
        <f>Table[[#This Row],[Sell Value]]*Table[[#This Row],[Selling Price]]</f>
        <v>175940</v>
      </c>
      <c r="K377" s="1" t="s">
        <v>4</v>
      </c>
      <c r="L377" s="1" t="s">
        <v>25</v>
      </c>
      <c r="M377" s="1" t="s">
        <v>14</v>
      </c>
      <c r="N377" s="1">
        <v>0.2</v>
      </c>
      <c r="O377" s="1" t="s">
        <v>82</v>
      </c>
      <c r="P377" s="1" t="s">
        <v>31</v>
      </c>
    </row>
    <row r="378" spans="1:16" x14ac:dyDescent="0.25">
      <c r="A378" s="1">
        <v>884408935</v>
      </c>
      <c r="B378" s="1" t="s">
        <v>42</v>
      </c>
      <c r="C378" s="1" t="s">
        <v>2</v>
      </c>
      <c r="D378" s="1">
        <v>48502</v>
      </c>
      <c r="E378" s="1">
        <v>2387</v>
      </c>
      <c r="F378" s="1">
        <v>24</v>
      </c>
      <c r="G378" s="13">
        <f>Table[[#This Row],[Return Value]]/Table[[#This Row],[Sell Value]]</f>
        <v>1.0054461667364893E-2</v>
      </c>
      <c r="H378" s="1" t="s">
        <v>3</v>
      </c>
      <c r="I378" s="1">
        <v>36</v>
      </c>
      <c r="J378" s="14">
        <f>Table[[#This Row],[Sell Value]]*Table[[#This Row],[Selling Price]]</f>
        <v>85932</v>
      </c>
      <c r="K378" s="1" t="s">
        <v>4</v>
      </c>
      <c r="L378" s="1" t="s">
        <v>29</v>
      </c>
      <c r="M378" s="1" t="s">
        <v>10</v>
      </c>
      <c r="N378" s="1">
        <v>0.2</v>
      </c>
      <c r="O378" s="1" t="s">
        <v>81</v>
      </c>
      <c r="P378" s="1" t="s">
        <v>11</v>
      </c>
    </row>
    <row r="379" spans="1:16" x14ac:dyDescent="0.25">
      <c r="A379" s="1">
        <v>859489898</v>
      </c>
      <c r="B379" s="1" t="s">
        <v>46</v>
      </c>
      <c r="C379" s="1" t="s">
        <v>2</v>
      </c>
      <c r="D379" s="1">
        <v>48517</v>
      </c>
      <c r="E379" s="1">
        <v>2288</v>
      </c>
      <c r="F379" s="1">
        <v>39</v>
      </c>
      <c r="G379" s="13">
        <f>Table[[#This Row],[Return Value]]/Table[[#This Row],[Sell Value]]</f>
        <v>1.7045454545454544E-2</v>
      </c>
      <c r="H379" s="1" t="s">
        <v>3</v>
      </c>
      <c r="I379" s="1">
        <v>22</v>
      </c>
      <c r="J379" s="14">
        <f>Table[[#This Row],[Sell Value]]*Table[[#This Row],[Selling Price]]</f>
        <v>50336</v>
      </c>
      <c r="K379" s="1" t="s">
        <v>4</v>
      </c>
      <c r="L379" s="1" t="s">
        <v>29</v>
      </c>
      <c r="M379" s="1" t="s">
        <v>10</v>
      </c>
      <c r="N379" s="1">
        <v>0.2</v>
      </c>
      <c r="O379" s="1" t="s">
        <v>82</v>
      </c>
      <c r="P379" s="1" t="s">
        <v>23</v>
      </c>
    </row>
    <row r="380" spans="1:16" x14ac:dyDescent="0.25">
      <c r="A380" s="1">
        <v>308904112</v>
      </c>
      <c r="B380" s="1" t="s">
        <v>50</v>
      </c>
      <c r="C380" s="1" t="s">
        <v>2</v>
      </c>
      <c r="D380" s="1">
        <v>47748</v>
      </c>
      <c r="E380" s="1">
        <v>3248</v>
      </c>
      <c r="F380" s="1">
        <v>26</v>
      </c>
      <c r="G380" s="13">
        <f>Table[[#This Row],[Return Value]]/Table[[#This Row],[Sell Value]]</f>
        <v>8.0049261083743849E-3</v>
      </c>
      <c r="H380" s="1" t="s">
        <v>3</v>
      </c>
      <c r="I380" s="1">
        <v>23</v>
      </c>
      <c r="J380" s="14">
        <f>Table[[#This Row],[Sell Value]]*Table[[#This Row],[Selling Price]]</f>
        <v>74704</v>
      </c>
      <c r="K380" s="1" t="s">
        <v>4</v>
      </c>
      <c r="L380" s="1" t="s">
        <v>35</v>
      </c>
      <c r="M380" s="1" t="s">
        <v>59</v>
      </c>
      <c r="N380" s="1">
        <v>0.2</v>
      </c>
      <c r="O380" s="1" t="s">
        <v>81</v>
      </c>
      <c r="P380" s="1" t="s">
        <v>52</v>
      </c>
    </row>
    <row r="381" spans="1:16" x14ac:dyDescent="0.25">
      <c r="A381" s="1">
        <v>786884351</v>
      </c>
      <c r="B381" s="1" t="s">
        <v>53</v>
      </c>
      <c r="C381" s="1" t="s">
        <v>2</v>
      </c>
      <c r="D381" s="1">
        <v>47687</v>
      </c>
      <c r="E381" s="1">
        <v>2526</v>
      </c>
      <c r="F381" s="1">
        <v>37</v>
      </c>
      <c r="G381" s="13">
        <f>Table[[#This Row],[Return Value]]/Table[[#This Row],[Sell Value]]</f>
        <v>1.4647664291369754E-2</v>
      </c>
      <c r="H381" s="1" t="s">
        <v>3</v>
      </c>
      <c r="I381" s="1">
        <v>26</v>
      </c>
      <c r="J381" s="14">
        <f>Table[[#This Row],[Sell Value]]*Table[[#This Row],[Selling Price]]</f>
        <v>65676</v>
      </c>
      <c r="K381" s="1" t="s">
        <v>4</v>
      </c>
      <c r="L381" s="1" t="s">
        <v>38</v>
      </c>
      <c r="M381" s="1" t="s">
        <v>48</v>
      </c>
      <c r="N381" s="1">
        <v>0.2</v>
      </c>
      <c r="O381" s="1" t="s">
        <v>82</v>
      </c>
      <c r="P381" s="1" t="s">
        <v>65</v>
      </c>
    </row>
    <row r="382" spans="1:16" x14ac:dyDescent="0.25">
      <c r="A382" s="1">
        <v>582018669</v>
      </c>
      <c r="B382" s="1" t="s">
        <v>56</v>
      </c>
      <c r="C382" s="1" t="s">
        <v>2</v>
      </c>
      <c r="D382" s="1">
        <v>48502</v>
      </c>
      <c r="E382" s="1">
        <v>2046</v>
      </c>
      <c r="F382" s="1">
        <v>31</v>
      </c>
      <c r="G382" s="13">
        <f>Table[[#This Row],[Return Value]]/Table[[#This Row],[Sell Value]]</f>
        <v>1.5151515151515152E-2</v>
      </c>
      <c r="H382" s="1" t="s">
        <v>3</v>
      </c>
      <c r="I382" s="1">
        <v>49</v>
      </c>
      <c r="J382" s="14">
        <f>Table[[#This Row],[Sell Value]]*Table[[#This Row],[Selling Price]]</f>
        <v>100254</v>
      </c>
      <c r="K382" s="1" t="s">
        <v>4</v>
      </c>
      <c r="L382" s="1" t="s">
        <v>41</v>
      </c>
      <c r="M382" s="1" t="s">
        <v>48</v>
      </c>
      <c r="N382" s="1">
        <v>0.2</v>
      </c>
      <c r="O382" s="1" t="s">
        <v>81</v>
      </c>
      <c r="P382" s="1" t="s">
        <v>66</v>
      </c>
    </row>
    <row r="383" spans="1:16" x14ac:dyDescent="0.25">
      <c r="A383" s="1">
        <v>50275812</v>
      </c>
      <c r="B383" s="1" t="s">
        <v>1</v>
      </c>
      <c r="C383" s="1" t="s">
        <v>2</v>
      </c>
      <c r="D383" s="1">
        <v>48418</v>
      </c>
      <c r="E383" s="1">
        <v>4411</v>
      </c>
      <c r="F383" s="1">
        <v>15</v>
      </c>
      <c r="G383" s="13">
        <f>Table[[#This Row],[Return Value]]/Table[[#This Row],[Sell Value]]</f>
        <v>3.4005894355021537E-3</v>
      </c>
      <c r="H383" s="1" t="s">
        <v>3</v>
      </c>
      <c r="I383" s="1">
        <v>20</v>
      </c>
      <c r="J383" s="14">
        <f>Table[[#This Row],[Sell Value]]*Table[[#This Row],[Selling Price]]</f>
        <v>88220</v>
      </c>
      <c r="K383" s="1" t="s">
        <v>4</v>
      </c>
      <c r="L383" s="1" t="s">
        <v>43</v>
      </c>
      <c r="M383" s="1" t="s">
        <v>22</v>
      </c>
      <c r="N383" s="1">
        <v>0.2</v>
      </c>
      <c r="O383" s="1" t="s">
        <v>82</v>
      </c>
      <c r="P383" s="1" t="s">
        <v>45</v>
      </c>
    </row>
    <row r="384" spans="1:16" x14ac:dyDescent="0.25">
      <c r="A384" s="1">
        <v>668700405</v>
      </c>
      <c r="B384" s="1" t="s">
        <v>8</v>
      </c>
      <c r="C384" s="1" t="s">
        <v>2</v>
      </c>
      <c r="D384" s="1">
        <v>48069</v>
      </c>
      <c r="E384" s="1">
        <v>1482</v>
      </c>
      <c r="F384" s="1">
        <v>33</v>
      </c>
      <c r="G384" s="13">
        <f>Table[[#This Row],[Return Value]]/Table[[#This Row],[Sell Value]]</f>
        <v>2.2267206477732792E-2</v>
      </c>
      <c r="H384" s="1" t="s">
        <v>3</v>
      </c>
      <c r="I384" s="1">
        <v>49</v>
      </c>
      <c r="J384" s="14">
        <f>Table[[#This Row],[Sell Value]]*Table[[#This Row],[Selling Price]]</f>
        <v>72618</v>
      </c>
      <c r="K384" s="1" t="s">
        <v>4</v>
      </c>
      <c r="L384" s="1" t="s">
        <v>47</v>
      </c>
      <c r="M384" s="1" t="s">
        <v>44</v>
      </c>
      <c r="N384" s="1">
        <v>0.2</v>
      </c>
      <c r="O384" s="1" t="s">
        <v>81</v>
      </c>
      <c r="P384" s="1" t="s">
        <v>66</v>
      </c>
    </row>
    <row r="385" spans="1:16" x14ac:dyDescent="0.25">
      <c r="A385" s="1">
        <v>357955912</v>
      </c>
      <c r="B385" s="1" t="s">
        <v>12</v>
      </c>
      <c r="C385" s="1" t="s">
        <v>2</v>
      </c>
      <c r="D385" s="1">
        <v>48466</v>
      </c>
      <c r="E385" s="1">
        <v>1647</v>
      </c>
      <c r="F385" s="1">
        <v>28</v>
      </c>
      <c r="G385" s="13">
        <f>Table[[#This Row],[Return Value]]/Table[[#This Row],[Sell Value]]</f>
        <v>1.700060716454159E-2</v>
      </c>
      <c r="H385" s="1" t="s">
        <v>3</v>
      </c>
      <c r="I385" s="1">
        <v>48</v>
      </c>
      <c r="J385" s="14">
        <f>Table[[#This Row],[Sell Value]]*Table[[#This Row],[Selling Price]]</f>
        <v>79056</v>
      </c>
      <c r="K385" s="1" t="s">
        <v>4</v>
      </c>
      <c r="L385" s="1" t="s">
        <v>51</v>
      </c>
      <c r="M385" s="1" t="s">
        <v>6</v>
      </c>
      <c r="N385" s="1">
        <v>0.2</v>
      </c>
      <c r="O385" s="1" t="s">
        <v>81</v>
      </c>
      <c r="P385" s="1" t="s">
        <v>67</v>
      </c>
    </row>
    <row r="386" spans="1:16" x14ac:dyDescent="0.25">
      <c r="A386" s="1">
        <v>612468039</v>
      </c>
      <c r="B386" s="1" t="s">
        <v>16</v>
      </c>
      <c r="C386" s="1" t="s">
        <v>17</v>
      </c>
      <c r="D386" s="1">
        <v>47618</v>
      </c>
      <c r="E386" s="1">
        <v>1798</v>
      </c>
      <c r="F386" s="1">
        <v>18</v>
      </c>
      <c r="G386" s="13">
        <f>Table[[#This Row],[Return Value]]/Table[[#This Row],[Sell Value]]</f>
        <v>1.0011123470522803E-2</v>
      </c>
      <c r="H386" s="1" t="s">
        <v>3</v>
      </c>
      <c r="I386" s="1">
        <v>31</v>
      </c>
      <c r="J386" s="14">
        <f>Table[[#This Row],[Sell Value]]*Table[[#This Row],[Selling Price]]</f>
        <v>55738</v>
      </c>
      <c r="K386" s="1" t="s">
        <v>4</v>
      </c>
      <c r="L386" s="1" t="s">
        <v>54</v>
      </c>
      <c r="M386" s="1" t="s">
        <v>10</v>
      </c>
      <c r="N386" s="1">
        <v>0.2</v>
      </c>
      <c r="O386" s="1" t="s">
        <v>81</v>
      </c>
      <c r="P386" s="1" t="s">
        <v>62</v>
      </c>
    </row>
    <row r="387" spans="1:16" x14ac:dyDescent="0.25">
      <c r="A387" s="1">
        <v>341351921</v>
      </c>
      <c r="B387" s="1" t="s">
        <v>20</v>
      </c>
      <c r="C387" s="1" t="s">
        <v>17</v>
      </c>
      <c r="D387" s="1">
        <v>47573</v>
      </c>
      <c r="E387" s="1">
        <v>1432</v>
      </c>
      <c r="F387" s="1">
        <v>26</v>
      </c>
      <c r="G387" s="13">
        <f>Table[[#This Row],[Return Value]]/Table[[#This Row],[Sell Value]]</f>
        <v>1.8156424581005588E-2</v>
      </c>
      <c r="H387" s="1" t="s">
        <v>3</v>
      </c>
      <c r="I387" s="1">
        <v>21</v>
      </c>
      <c r="J387" s="14">
        <f>Table[[#This Row],[Sell Value]]*Table[[#This Row],[Selling Price]]</f>
        <v>30072</v>
      </c>
      <c r="K387" s="1" t="s">
        <v>4</v>
      </c>
      <c r="L387" s="1" t="s">
        <v>57</v>
      </c>
      <c r="M387" s="1" t="s">
        <v>61</v>
      </c>
      <c r="N387" s="1">
        <v>0.2</v>
      </c>
      <c r="O387" s="1" t="s">
        <v>82</v>
      </c>
      <c r="P387" s="1" t="s">
        <v>55</v>
      </c>
    </row>
    <row r="388" spans="1:16" x14ac:dyDescent="0.25">
      <c r="A388" s="1">
        <v>922536509</v>
      </c>
      <c r="B388" s="1" t="s">
        <v>24</v>
      </c>
      <c r="C388" s="1" t="s">
        <v>2</v>
      </c>
      <c r="D388" s="1">
        <v>48065</v>
      </c>
      <c r="E388" s="1">
        <v>3264</v>
      </c>
      <c r="F388" s="1">
        <v>19</v>
      </c>
      <c r="G388" s="13">
        <f>Table[[#This Row],[Return Value]]/Table[[#This Row],[Sell Value]]</f>
        <v>5.8210784313725492E-3</v>
      </c>
      <c r="H388" s="1" t="s">
        <v>3</v>
      </c>
      <c r="I388" s="1">
        <v>33</v>
      </c>
      <c r="J388" s="14">
        <f>Table[[#This Row],[Sell Value]]*Table[[#This Row],[Selling Price]]</f>
        <v>107712</v>
      </c>
      <c r="K388" s="1" t="s">
        <v>4</v>
      </c>
      <c r="L388" s="1" t="s">
        <v>5</v>
      </c>
      <c r="M388" s="1" t="s">
        <v>61</v>
      </c>
      <c r="N388" s="1">
        <v>0.2</v>
      </c>
      <c r="O388" s="1" t="s">
        <v>81</v>
      </c>
      <c r="P388" s="1" t="s">
        <v>60</v>
      </c>
    </row>
    <row r="389" spans="1:16" x14ac:dyDescent="0.25">
      <c r="A389" s="1">
        <v>159350700</v>
      </c>
      <c r="B389" s="1" t="s">
        <v>27</v>
      </c>
      <c r="C389" s="1" t="s">
        <v>2</v>
      </c>
      <c r="D389" s="1">
        <v>47702</v>
      </c>
      <c r="E389" s="1">
        <v>4984</v>
      </c>
      <c r="F389" s="1">
        <v>46</v>
      </c>
      <c r="G389" s="13">
        <f>Table[[#This Row],[Return Value]]/Table[[#This Row],[Sell Value]]</f>
        <v>9.2295345104333876E-3</v>
      </c>
      <c r="H389" s="1" t="s">
        <v>3</v>
      </c>
      <c r="I389" s="1">
        <v>30</v>
      </c>
      <c r="J389" s="14">
        <f>Table[[#This Row],[Sell Value]]*Table[[#This Row],[Selling Price]]</f>
        <v>149520</v>
      </c>
      <c r="K389" s="1" t="s">
        <v>4</v>
      </c>
      <c r="L389" s="1" t="s">
        <v>9</v>
      </c>
      <c r="M389" s="1" t="s">
        <v>59</v>
      </c>
      <c r="N389" s="1">
        <v>0.2</v>
      </c>
      <c r="O389" s="1" t="s">
        <v>82</v>
      </c>
      <c r="P389" s="1" t="s">
        <v>19</v>
      </c>
    </row>
    <row r="390" spans="1:16" x14ac:dyDescent="0.25">
      <c r="A390" s="1">
        <v>951368012</v>
      </c>
      <c r="B390" s="1" t="s">
        <v>32</v>
      </c>
      <c r="C390" s="1" t="s">
        <v>17</v>
      </c>
      <c r="D390" s="1">
        <v>47516</v>
      </c>
      <c r="E390" s="1">
        <v>4801</v>
      </c>
      <c r="F390" s="1">
        <v>43</v>
      </c>
      <c r="G390" s="13">
        <f>Table[[#This Row],[Return Value]]/Table[[#This Row],[Sell Value]]</f>
        <v>8.9564674026244538E-3</v>
      </c>
      <c r="H390" s="1" t="s">
        <v>28</v>
      </c>
      <c r="I390" s="1">
        <v>40</v>
      </c>
      <c r="J390" s="14">
        <f>Table[[#This Row],[Sell Value]]*Table[[#This Row],[Selling Price]]</f>
        <v>192040</v>
      </c>
      <c r="K390" s="1" t="s">
        <v>4</v>
      </c>
      <c r="L390" s="1" t="s">
        <v>13</v>
      </c>
      <c r="M390" s="1" t="s">
        <v>6</v>
      </c>
      <c r="N390" s="1">
        <v>0.2</v>
      </c>
      <c r="O390" s="1" t="s">
        <v>82</v>
      </c>
      <c r="P390" s="1" t="s">
        <v>66</v>
      </c>
    </row>
    <row r="391" spans="1:16" x14ac:dyDescent="0.25">
      <c r="A391" s="1">
        <v>994151866</v>
      </c>
      <c r="B391" s="1" t="s">
        <v>34</v>
      </c>
      <c r="C391" s="1" t="s">
        <v>2</v>
      </c>
      <c r="D391" s="1">
        <v>47862</v>
      </c>
      <c r="E391" s="1">
        <v>3322</v>
      </c>
      <c r="F391" s="1">
        <v>22</v>
      </c>
      <c r="G391" s="13">
        <f>Table[[#This Row],[Return Value]]/Table[[#This Row],[Sell Value]]</f>
        <v>6.6225165562913907E-3</v>
      </c>
      <c r="H391" s="1" t="s">
        <v>28</v>
      </c>
      <c r="I391" s="1">
        <v>41</v>
      </c>
      <c r="J391" s="14">
        <f>Table[[#This Row],[Sell Value]]*Table[[#This Row],[Selling Price]]</f>
        <v>136202</v>
      </c>
      <c r="K391" s="1" t="s">
        <v>4</v>
      </c>
      <c r="L391" s="1" t="s">
        <v>18</v>
      </c>
      <c r="M391" s="1" t="s">
        <v>6</v>
      </c>
      <c r="N391" s="1">
        <v>0.2</v>
      </c>
      <c r="O391" s="1" t="s">
        <v>82</v>
      </c>
      <c r="P391" s="1" t="s">
        <v>52</v>
      </c>
    </row>
    <row r="392" spans="1:16" x14ac:dyDescent="0.25">
      <c r="A392" s="1">
        <v>227315267</v>
      </c>
      <c r="B392" s="1" t="s">
        <v>37</v>
      </c>
      <c r="C392" s="1" t="s">
        <v>17</v>
      </c>
      <c r="D392" s="1">
        <v>48174</v>
      </c>
      <c r="E392" s="1">
        <v>3842</v>
      </c>
      <c r="F392" s="1">
        <v>36</v>
      </c>
      <c r="G392" s="13">
        <f>Table[[#This Row],[Return Value]]/Table[[#This Row],[Sell Value]]</f>
        <v>9.3701197293076521E-3</v>
      </c>
      <c r="H392" s="1" t="s">
        <v>3</v>
      </c>
      <c r="I392" s="1">
        <v>23</v>
      </c>
      <c r="J392" s="14">
        <f>Table[[#This Row],[Sell Value]]*Table[[#This Row],[Selling Price]]</f>
        <v>88366</v>
      </c>
      <c r="K392" s="1" t="s">
        <v>4</v>
      </c>
      <c r="L392" s="1" t="s">
        <v>21</v>
      </c>
      <c r="M392" s="1" t="s">
        <v>30</v>
      </c>
      <c r="N392" s="1">
        <v>0.2</v>
      </c>
      <c r="O392" s="1" t="s">
        <v>82</v>
      </c>
      <c r="P392" s="1" t="s">
        <v>11</v>
      </c>
    </row>
    <row r="393" spans="1:16" x14ac:dyDescent="0.25">
      <c r="A393" s="1">
        <v>951507426</v>
      </c>
      <c r="B393" s="1" t="s">
        <v>40</v>
      </c>
      <c r="C393" s="1" t="s">
        <v>17</v>
      </c>
      <c r="D393" s="1">
        <v>48216</v>
      </c>
      <c r="E393" s="1">
        <v>1037</v>
      </c>
      <c r="F393" s="1">
        <v>13</v>
      </c>
      <c r="G393" s="13">
        <f>Table[[#This Row],[Return Value]]/Table[[#This Row],[Sell Value]]</f>
        <v>1.253616200578592E-2</v>
      </c>
      <c r="H393" s="1" t="s">
        <v>3</v>
      </c>
      <c r="I393" s="1">
        <v>30</v>
      </c>
      <c r="J393" s="14">
        <f>Table[[#This Row],[Sell Value]]*Table[[#This Row],[Selling Price]]</f>
        <v>31110</v>
      </c>
      <c r="K393" s="1" t="s">
        <v>4</v>
      </c>
      <c r="L393" s="1" t="s">
        <v>25</v>
      </c>
      <c r="M393" s="1" t="s">
        <v>59</v>
      </c>
      <c r="N393" s="1">
        <v>0.2</v>
      </c>
      <c r="O393" s="1" t="s">
        <v>81</v>
      </c>
      <c r="P393" s="1" t="s">
        <v>39</v>
      </c>
    </row>
    <row r="394" spans="1:16" x14ac:dyDescent="0.25">
      <c r="A394" s="1">
        <v>837952620</v>
      </c>
      <c r="B394" s="1" t="s">
        <v>42</v>
      </c>
      <c r="C394" s="1" t="s">
        <v>2</v>
      </c>
      <c r="D394" s="1">
        <v>47881</v>
      </c>
      <c r="E394" s="1">
        <v>4521</v>
      </c>
      <c r="F394" s="1">
        <v>40</v>
      </c>
      <c r="G394" s="13">
        <f>Table[[#This Row],[Return Value]]/Table[[#This Row],[Sell Value]]</f>
        <v>8.8476000884760014E-3</v>
      </c>
      <c r="H394" s="1" t="s">
        <v>3</v>
      </c>
      <c r="I394" s="1">
        <v>46</v>
      </c>
      <c r="J394" s="14">
        <f>Table[[#This Row],[Sell Value]]*Table[[#This Row],[Selling Price]]</f>
        <v>207966</v>
      </c>
      <c r="K394" s="1" t="s">
        <v>4</v>
      </c>
      <c r="L394" s="1" t="s">
        <v>29</v>
      </c>
      <c r="M394" s="1" t="s">
        <v>22</v>
      </c>
      <c r="N394" s="1">
        <v>0.2</v>
      </c>
      <c r="O394" s="1" t="s">
        <v>81</v>
      </c>
      <c r="P394" s="1" t="s">
        <v>49</v>
      </c>
    </row>
    <row r="395" spans="1:16" x14ac:dyDescent="0.25">
      <c r="A395" s="1">
        <v>806365175</v>
      </c>
      <c r="B395" s="1" t="s">
        <v>46</v>
      </c>
      <c r="C395" s="1" t="s">
        <v>2</v>
      </c>
      <c r="D395" s="1">
        <v>48360</v>
      </c>
      <c r="E395" s="1">
        <v>4520</v>
      </c>
      <c r="F395" s="1">
        <v>18</v>
      </c>
      <c r="G395" s="13">
        <f>Table[[#This Row],[Return Value]]/Table[[#This Row],[Sell Value]]</f>
        <v>3.9823008849557522E-3</v>
      </c>
      <c r="H395" s="1" t="s">
        <v>3</v>
      </c>
      <c r="I395" s="1">
        <v>29</v>
      </c>
      <c r="J395" s="14">
        <f>Table[[#This Row],[Sell Value]]*Table[[#This Row],[Selling Price]]</f>
        <v>131080</v>
      </c>
      <c r="K395" s="1" t="s">
        <v>4</v>
      </c>
      <c r="L395" s="1" t="s">
        <v>29</v>
      </c>
      <c r="M395" s="1" t="s">
        <v>26</v>
      </c>
      <c r="N395" s="1">
        <v>0.2</v>
      </c>
      <c r="O395" s="1" t="s">
        <v>82</v>
      </c>
      <c r="P395" s="1" t="s">
        <v>52</v>
      </c>
    </row>
    <row r="396" spans="1:16" x14ac:dyDescent="0.25">
      <c r="A396" s="1">
        <v>678325819</v>
      </c>
      <c r="B396" s="1" t="s">
        <v>12</v>
      </c>
      <c r="C396" s="1" t="s">
        <v>2</v>
      </c>
      <c r="D396" s="1">
        <v>47857</v>
      </c>
      <c r="E396" s="1">
        <v>1687</v>
      </c>
      <c r="F396" s="1">
        <v>43</v>
      </c>
      <c r="G396" s="13">
        <f>Table[[#This Row],[Return Value]]/Table[[#This Row],[Sell Value]]</f>
        <v>2.5489033787788974E-2</v>
      </c>
      <c r="H396" s="1" t="s">
        <v>3</v>
      </c>
      <c r="I396" s="1">
        <v>33</v>
      </c>
      <c r="J396" s="14">
        <f>Table[[#This Row],[Sell Value]]*Table[[#This Row],[Selling Price]]</f>
        <v>55671</v>
      </c>
      <c r="K396" s="1" t="s">
        <v>4</v>
      </c>
      <c r="L396" s="1" t="s">
        <v>35</v>
      </c>
      <c r="M396" s="1" t="s">
        <v>26</v>
      </c>
      <c r="N396" s="1">
        <v>0.2</v>
      </c>
      <c r="O396" s="1" t="s">
        <v>82</v>
      </c>
      <c r="P396" s="1" t="s">
        <v>63</v>
      </c>
    </row>
    <row r="397" spans="1:16" x14ac:dyDescent="0.25">
      <c r="A397" s="1">
        <v>387648927</v>
      </c>
      <c r="B397" s="1" t="s">
        <v>16</v>
      </c>
      <c r="C397" s="1" t="s">
        <v>17</v>
      </c>
      <c r="D397" s="1">
        <v>47680</v>
      </c>
      <c r="E397" s="1">
        <v>3907</v>
      </c>
      <c r="F397" s="1">
        <v>36</v>
      </c>
      <c r="G397" s="13">
        <f>Table[[#This Row],[Return Value]]/Table[[#This Row],[Sell Value]]</f>
        <v>9.2142308676734074E-3</v>
      </c>
      <c r="H397" s="1" t="s">
        <v>3</v>
      </c>
      <c r="I397" s="1">
        <v>47</v>
      </c>
      <c r="J397" s="14">
        <f>Table[[#This Row],[Sell Value]]*Table[[#This Row],[Selling Price]]</f>
        <v>183629</v>
      </c>
      <c r="K397" s="1" t="s">
        <v>4</v>
      </c>
      <c r="L397" s="1" t="s">
        <v>38</v>
      </c>
      <c r="M397" s="1" t="s">
        <v>6</v>
      </c>
      <c r="N397" s="1">
        <v>0.2</v>
      </c>
      <c r="O397" s="1" t="s">
        <v>81</v>
      </c>
      <c r="P397" s="1" t="s">
        <v>15</v>
      </c>
    </row>
    <row r="398" spans="1:16" x14ac:dyDescent="0.25">
      <c r="A398" s="1">
        <v>409639775</v>
      </c>
      <c r="B398" s="1" t="s">
        <v>20</v>
      </c>
      <c r="C398" s="1" t="s">
        <v>17</v>
      </c>
      <c r="D398" s="1">
        <v>47928</v>
      </c>
      <c r="E398" s="1">
        <v>1013</v>
      </c>
      <c r="F398" s="1">
        <v>45</v>
      </c>
      <c r="G398" s="13">
        <f>Table[[#This Row],[Return Value]]/Table[[#This Row],[Sell Value]]</f>
        <v>4.4422507403751234E-2</v>
      </c>
      <c r="H398" s="1" t="s">
        <v>3</v>
      </c>
      <c r="I398" s="1">
        <v>42</v>
      </c>
      <c r="J398" s="14">
        <f>Table[[#This Row],[Sell Value]]*Table[[#This Row],[Selling Price]]</f>
        <v>42546</v>
      </c>
      <c r="K398" s="1" t="s">
        <v>4</v>
      </c>
      <c r="L398" s="1" t="s">
        <v>41</v>
      </c>
      <c r="M398" s="1" t="s">
        <v>61</v>
      </c>
      <c r="N398" s="1">
        <v>0.2</v>
      </c>
      <c r="O398" s="1" t="s">
        <v>81</v>
      </c>
      <c r="P398" s="1" t="s">
        <v>62</v>
      </c>
    </row>
    <row r="399" spans="1:16" x14ac:dyDescent="0.25">
      <c r="A399" s="1">
        <v>937208840</v>
      </c>
      <c r="B399" s="1" t="s">
        <v>24</v>
      </c>
      <c r="C399" s="1" t="s">
        <v>2</v>
      </c>
      <c r="D399" s="1">
        <v>48155</v>
      </c>
      <c r="E399" s="1">
        <v>2759</v>
      </c>
      <c r="F399" s="1">
        <v>36</v>
      </c>
      <c r="G399" s="13">
        <f>Table[[#This Row],[Return Value]]/Table[[#This Row],[Sell Value]]</f>
        <v>1.3048205871692642E-2</v>
      </c>
      <c r="H399" s="1" t="s">
        <v>3</v>
      </c>
      <c r="I399" s="1">
        <v>29</v>
      </c>
      <c r="J399" s="14">
        <f>Table[[#This Row],[Sell Value]]*Table[[#This Row],[Selling Price]]</f>
        <v>80011</v>
      </c>
      <c r="K399" s="1" t="s">
        <v>4</v>
      </c>
      <c r="L399" s="1" t="s">
        <v>43</v>
      </c>
      <c r="M399" s="1" t="s">
        <v>48</v>
      </c>
      <c r="N399" s="1">
        <v>0.2</v>
      </c>
      <c r="O399" s="1" t="s">
        <v>82</v>
      </c>
      <c r="P399" s="1" t="s">
        <v>60</v>
      </c>
    </row>
    <row r="400" spans="1:16" x14ac:dyDescent="0.25">
      <c r="A400" s="1">
        <v>256624467</v>
      </c>
      <c r="B400" s="1" t="s">
        <v>27</v>
      </c>
      <c r="C400" s="1" t="s">
        <v>2</v>
      </c>
      <c r="D400" s="1">
        <v>48258</v>
      </c>
      <c r="E400" s="1">
        <v>1065</v>
      </c>
      <c r="F400" s="1">
        <v>44</v>
      </c>
      <c r="G400" s="13">
        <f>Table[[#This Row],[Return Value]]/Table[[#This Row],[Sell Value]]</f>
        <v>4.1314553990610327E-2</v>
      </c>
      <c r="H400" s="1" t="s">
        <v>3</v>
      </c>
      <c r="I400" s="1">
        <v>36</v>
      </c>
      <c r="J400" s="14">
        <f>Table[[#This Row],[Sell Value]]*Table[[#This Row],[Selling Price]]</f>
        <v>38340</v>
      </c>
      <c r="K400" s="1" t="s">
        <v>4</v>
      </c>
      <c r="L400" s="1" t="s">
        <v>47</v>
      </c>
      <c r="M400" s="1" t="s">
        <v>30</v>
      </c>
      <c r="N400" s="1">
        <v>0.2</v>
      </c>
      <c r="O400" s="1" t="s">
        <v>81</v>
      </c>
      <c r="P400" s="1" t="s">
        <v>60</v>
      </c>
    </row>
    <row r="401" spans="1:16" x14ac:dyDescent="0.25">
      <c r="A401" s="1">
        <v>523128234</v>
      </c>
      <c r="B401" s="1" t="s">
        <v>32</v>
      </c>
      <c r="C401" s="1" t="s">
        <v>17</v>
      </c>
      <c r="D401" s="1">
        <v>48099</v>
      </c>
      <c r="E401" s="1">
        <v>2701</v>
      </c>
      <c r="F401" s="1">
        <v>10</v>
      </c>
      <c r="G401" s="13">
        <f>Table[[#This Row],[Return Value]]/Table[[#This Row],[Sell Value]]</f>
        <v>3.7023324694557573E-3</v>
      </c>
      <c r="H401" s="1" t="s">
        <v>3</v>
      </c>
      <c r="I401" s="1">
        <v>24</v>
      </c>
      <c r="J401" s="14">
        <f>Table[[#This Row],[Sell Value]]*Table[[#This Row],[Selling Price]]</f>
        <v>64824</v>
      </c>
      <c r="K401" s="1" t="s">
        <v>4</v>
      </c>
      <c r="L401" s="1" t="s">
        <v>51</v>
      </c>
      <c r="M401" s="1" t="s">
        <v>61</v>
      </c>
      <c r="N401" s="1">
        <v>0.2</v>
      </c>
      <c r="O401" s="1" t="s">
        <v>82</v>
      </c>
      <c r="P401" s="1" t="s">
        <v>11</v>
      </c>
    </row>
    <row r="402" spans="1:16" x14ac:dyDescent="0.25">
      <c r="A402" s="1">
        <v>973627291</v>
      </c>
      <c r="B402" s="1" t="s">
        <v>34</v>
      </c>
      <c r="C402" s="1" t="s">
        <v>2</v>
      </c>
      <c r="D402" s="1">
        <v>48463</v>
      </c>
      <c r="E402" s="1">
        <v>1871</v>
      </c>
      <c r="F402" s="1">
        <v>42</v>
      </c>
      <c r="G402" s="13">
        <f>Table[[#This Row],[Return Value]]/Table[[#This Row],[Sell Value]]</f>
        <v>2.2447888829502941E-2</v>
      </c>
      <c r="H402" s="1" t="s">
        <v>3</v>
      </c>
      <c r="I402" s="1">
        <v>26</v>
      </c>
      <c r="J402" s="14">
        <f>Table[[#This Row],[Sell Value]]*Table[[#This Row],[Selling Price]]</f>
        <v>48646</v>
      </c>
      <c r="K402" s="1" t="s">
        <v>4</v>
      </c>
      <c r="L402" s="1" t="s">
        <v>54</v>
      </c>
      <c r="M402" s="1" t="s">
        <v>14</v>
      </c>
      <c r="N402" s="1">
        <v>0.2</v>
      </c>
      <c r="O402" s="1" t="s">
        <v>81</v>
      </c>
      <c r="P402" s="1" t="s">
        <v>11</v>
      </c>
    </row>
    <row r="403" spans="1:16" x14ac:dyDescent="0.25">
      <c r="A403" s="1">
        <v>414676374</v>
      </c>
      <c r="B403" s="1" t="s">
        <v>37</v>
      </c>
      <c r="C403" s="1" t="s">
        <v>17</v>
      </c>
      <c r="D403" s="1">
        <v>48265</v>
      </c>
      <c r="E403" s="1">
        <v>4292</v>
      </c>
      <c r="F403" s="1">
        <v>18</v>
      </c>
      <c r="G403" s="13">
        <f>Table[[#This Row],[Return Value]]/Table[[#This Row],[Sell Value]]</f>
        <v>4.1938490214352281E-3</v>
      </c>
      <c r="H403" s="1" t="s">
        <v>3</v>
      </c>
      <c r="I403" s="1">
        <v>36</v>
      </c>
      <c r="J403" s="14">
        <f>Table[[#This Row],[Sell Value]]*Table[[#This Row],[Selling Price]]</f>
        <v>154512</v>
      </c>
      <c r="K403" s="1" t="s">
        <v>4</v>
      </c>
      <c r="L403" s="1" t="s">
        <v>57</v>
      </c>
      <c r="M403" s="1" t="s">
        <v>61</v>
      </c>
      <c r="N403" s="1">
        <v>0.2</v>
      </c>
      <c r="O403" s="1" t="s">
        <v>81</v>
      </c>
      <c r="P403" s="1" t="s">
        <v>67</v>
      </c>
    </row>
    <row r="404" spans="1:16" x14ac:dyDescent="0.25">
      <c r="A404" s="1">
        <v>792896553</v>
      </c>
      <c r="B404" s="1" t="s">
        <v>40</v>
      </c>
      <c r="C404" s="1" t="s">
        <v>17</v>
      </c>
      <c r="D404" s="1">
        <v>48344</v>
      </c>
      <c r="E404" s="1">
        <v>3047</v>
      </c>
      <c r="F404" s="1">
        <v>24</v>
      </c>
      <c r="G404" s="13">
        <f>Table[[#This Row],[Return Value]]/Table[[#This Row],[Sell Value]]</f>
        <v>7.8765999343616677E-3</v>
      </c>
      <c r="H404" s="1" t="s">
        <v>3</v>
      </c>
      <c r="I404" s="1">
        <v>41</v>
      </c>
      <c r="J404" s="14">
        <f>Table[[#This Row],[Sell Value]]*Table[[#This Row],[Selling Price]]</f>
        <v>124927</v>
      </c>
      <c r="K404" s="1" t="s">
        <v>4</v>
      </c>
      <c r="L404" s="1" t="s">
        <v>5</v>
      </c>
      <c r="M404" s="1" t="s">
        <v>10</v>
      </c>
      <c r="N404" s="1">
        <v>0.2</v>
      </c>
      <c r="O404" s="1" t="s">
        <v>82</v>
      </c>
      <c r="P404" s="1" t="s">
        <v>36</v>
      </c>
    </row>
    <row r="405" spans="1:16" x14ac:dyDescent="0.25">
      <c r="A405" s="1">
        <v>986892627</v>
      </c>
      <c r="B405" s="1" t="s">
        <v>42</v>
      </c>
      <c r="C405" s="1" t="s">
        <v>2</v>
      </c>
      <c r="D405" s="1">
        <v>48053</v>
      </c>
      <c r="E405" s="1">
        <v>1687</v>
      </c>
      <c r="F405" s="1">
        <v>20</v>
      </c>
      <c r="G405" s="13">
        <f>Table[[#This Row],[Return Value]]/Table[[#This Row],[Sell Value]]</f>
        <v>1.1855364552459988E-2</v>
      </c>
      <c r="H405" s="1" t="s">
        <v>3</v>
      </c>
      <c r="I405" s="1">
        <v>28</v>
      </c>
      <c r="J405" s="14">
        <f>Table[[#This Row],[Sell Value]]*Table[[#This Row],[Selling Price]]</f>
        <v>47236</v>
      </c>
      <c r="K405" s="1" t="s">
        <v>4</v>
      </c>
      <c r="L405" s="1" t="s">
        <v>9</v>
      </c>
      <c r="M405" s="1" t="s">
        <v>22</v>
      </c>
      <c r="N405" s="1">
        <v>0.2</v>
      </c>
      <c r="O405" s="1" t="s">
        <v>82</v>
      </c>
      <c r="P405" s="1" t="s">
        <v>36</v>
      </c>
    </row>
    <row r="406" spans="1:16" x14ac:dyDescent="0.25">
      <c r="A406" s="1">
        <v>904196464</v>
      </c>
      <c r="B406" s="1" t="s">
        <v>46</v>
      </c>
      <c r="C406" s="1" t="s">
        <v>2</v>
      </c>
      <c r="D406" s="1">
        <v>48297</v>
      </c>
      <c r="E406" s="1">
        <v>2635</v>
      </c>
      <c r="F406" s="1">
        <v>29</v>
      </c>
      <c r="G406" s="13">
        <f>Table[[#This Row],[Return Value]]/Table[[#This Row],[Sell Value]]</f>
        <v>1.1005692599620493E-2</v>
      </c>
      <c r="H406" s="1" t="s">
        <v>3</v>
      </c>
      <c r="I406" s="1">
        <v>35</v>
      </c>
      <c r="J406" s="14">
        <f>Table[[#This Row],[Sell Value]]*Table[[#This Row],[Selling Price]]</f>
        <v>92225</v>
      </c>
      <c r="K406" s="1" t="s">
        <v>4</v>
      </c>
      <c r="L406" s="1" t="s">
        <v>13</v>
      </c>
      <c r="M406" s="1" t="s">
        <v>30</v>
      </c>
      <c r="N406" s="1">
        <v>0.2</v>
      </c>
      <c r="O406" s="1" t="s">
        <v>81</v>
      </c>
      <c r="P406" s="1" t="s">
        <v>7</v>
      </c>
    </row>
    <row r="407" spans="1:16" x14ac:dyDescent="0.25">
      <c r="A407" s="1">
        <v>920826362</v>
      </c>
      <c r="B407" s="1" t="s">
        <v>50</v>
      </c>
      <c r="C407" s="1" t="s">
        <v>2</v>
      </c>
      <c r="D407" s="1">
        <v>47815</v>
      </c>
      <c r="E407" s="1">
        <v>2299</v>
      </c>
      <c r="F407" s="1">
        <v>20</v>
      </c>
      <c r="G407" s="13">
        <f>Table[[#This Row],[Return Value]]/Table[[#This Row],[Sell Value]]</f>
        <v>8.6994345367551115E-3</v>
      </c>
      <c r="H407" s="1" t="s">
        <v>3</v>
      </c>
      <c r="I407" s="1">
        <v>37</v>
      </c>
      <c r="J407" s="14">
        <f>Table[[#This Row],[Sell Value]]*Table[[#This Row],[Selling Price]]</f>
        <v>85063</v>
      </c>
      <c r="K407" s="1" t="s">
        <v>4</v>
      </c>
      <c r="L407" s="1" t="s">
        <v>18</v>
      </c>
      <c r="M407" s="1" t="s">
        <v>10</v>
      </c>
      <c r="N407" s="1">
        <v>0.2</v>
      </c>
      <c r="O407" s="1" t="s">
        <v>81</v>
      </c>
      <c r="P407" s="1" t="s">
        <v>36</v>
      </c>
    </row>
    <row r="408" spans="1:16" x14ac:dyDescent="0.25">
      <c r="A408" s="1">
        <v>33427584</v>
      </c>
      <c r="B408" s="1" t="s">
        <v>53</v>
      </c>
      <c r="C408" s="1" t="s">
        <v>2</v>
      </c>
      <c r="D408" s="1">
        <v>48308</v>
      </c>
      <c r="E408" s="1">
        <v>4528</v>
      </c>
      <c r="F408" s="1">
        <v>46</v>
      </c>
      <c r="G408" s="13">
        <f>Table[[#This Row],[Return Value]]/Table[[#This Row],[Sell Value]]</f>
        <v>1.0159010600706713E-2</v>
      </c>
      <c r="H408" s="1" t="s">
        <v>3</v>
      </c>
      <c r="I408" s="1">
        <v>41</v>
      </c>
      <c r="J408" s="14">
        <f>Table[[#This Row],[Sell Value]]*Table[[#This Row],[Selling Price]]</f>
        <v>185648</v>
      </c>
      <c r="K408" s="1" t="s">
        <v>4</v>
      </c>
      <c r="L408" s="1" t="s">
        <v>21</v>
      </c>
      <c r="M408" s="1" t="s">
        <v>61</v>
      </c>
      <c r="N408" s="1">
        <v>0.2</v>
      </c>
      <c r="O408" s="1" t="s">
        <v>82</v>
      </c>
      <c r="P408" s="1" t="s">
        <v>11</v>
      </c>
    </row>
    <row r="409" spans="1:16" x14ac:dyDescent="0.25">
      <c r="A409" s="1">
        <v>54534382</v>
      </c>
      <c r="B409" s="1" t="s">
        <v>56</v>
      </c>
      <c r="C409" s="1" t="s">
        <v>2</v>
      </c>
      <c r="D409" s="1">
        <v>47599</v>
      </c>
      <c r="E409" s="1">
        <v>2365</v>
      </c>
      <c r="F409" s="1">
        <v>25</v>
      </c>
      <c r="G409" s="13">
        <f>Table[[#This Row],[Return Value]]/Table[[#This Row],[Sell Value]]</f>
        <v>1.0570824524312896E-2</v>
      </c>
      <c r="H409" s="1" t="s">
        <v>3</v>
      </c>
      <c r="I409" s="1">
        <v>34</v>
      </c>
      <c r="J409" s="14">
        <f>Table[[#This Row],[Sell Value]]*Table[[#This Row],[Selling Price]]</f>
        <v>80410</v>
      </c>
      <c r="K409" s="1" t="s">
        <v>4</v>
      </c>
      <c r="L409" s="1" t="s">
        <v>25</v>
      </c>
      <c r="M409" s="1" t="s">
        <v>22</v>
      </c>
      <c r="N409" s="1">
        <v>0.2</v>
      </c>
      <c r="O409" s="1" t="s">
        <v>82</v>
      </c>
      <c r="P409" s="1" t="s">
        <v>45</v>
      </c>
    </row>
    <row r="410" spans="1:16" x14ac:dyDescent="0.25">
      <c r="A410" s="1">
        <v>153539830</v>
      </c>
      <c r="B410" s="1" t="s">
        <v>1</v>
      </c>
      <c r="C410" s="1" t="s">
        <v>2</v>
      </c>
      <c r="D410" s="1">
        <v>48041</v>
      </c>
      <c r="E410" s="1">
        <v>3919</v>
      </c>
      <c r="F410" s="1">
        <v>46</v>
      </c>
      <c r="G410" s="13">
        <f>Table[[#This Row],[Return Value]]/Table[[#This Row],[Sell Value]]</f>
        <v>1.1737688185761675E-2</v>
      </c>
      <c r="H410" s="1" t="s">
        <v>28</v>
      </c>
      <c r="I410" s="1">
        <v>43</v>
      </c>
      <c r="J410" s="14">
        <f>Table[[#This Row],[Sell Value]]*Table[[#This Row],[Selling Price]]</f>
        <v>168517</v>
      </c>
      <c r="K410" s="1" t="s">
        <v>4</v>
      </c>
      <c r="L410" s="1" t="s">
        <v>29</v>
      </c>
      <c r="M410" s="1" t="s">
        <v>59</v>
      </c>
      <c r="N410" s="1">
        <v>0.2</v>
      </c>
      <c r="O410" s="1" t="s">
        <v>81</v>
      </c>
      <c r="P410" s="1" t="s">
        <v>65</v>
      </c>
    </row>
    <row r="411" spans="1:16" x14ac:dyDescent="0.25">
      <c r="A411" s="1">
        <v>513141817</v>
      </c>
      <c r="B411" s="1" t="s">
        <v>8</v>
      </c>
      <c r="C411" s="1" t="s">
        <v>2</v>
      </c>
      <c r="D411" s="1">
        <v>47533</v>
      </c>
      <c r="E411" s="1">
        <v>4250</v>
      </c>
      <c r="F411" s="1">
        <v>24</v>
      </c>
      <c r="G411" s="13">
        <f>Table[[#This Row],[Return Value]]/Table[[#This Row],[Sell Value]]</f>
        <v>5.6470588235294121E-3</v>
      </c>
      <c r="H411" s="1" t="s">
        <v>64</v>
      </c>
      <c r="I411" s="1">
        <v>39</v>
      </c>
      <c r="J411" s="14">
        <f>Table[[#This Row],[Sell Value]]*Table[[#This Row],[Selling Price]]</f>
        <v>165750</v>
      </c>
      <c r="K411" s="1" t="s">
        <v>4</v>
      </c>
      <c r="L411" s="1" t="s">
        <v>29</v>
      </c>
      <c r="M411" s="1" t="s">
        <v>22</v>
      </c>
      <c r="N411" s="1">
        <v>0.2</v>
      </c>
      <c r="O411" s="1" t="s">
        <v>81</v>
      </c>
      <c r="P411" s="1" t="s">
        <v>58</v>
      </c>
    </row>
    <row r="412" spans="1:16" x14ac:dyDescent="0.25">
      <c r="A412" s="1">
        <v>958515770</v>
      </c>
      <c r="B412" s="1" t="s">
        <v>12</v>
      </c>
      <c r="C412" s="1" t="s">
        <v>2</v>
      </c>
      <c r="D412" s="1">
        <v>47656</v>
      </c>
      <c r="E412" s="1">
        <v>3962</v>
      </c>
      <c r="F412" s="1">
        <v>15</v>
      </c>
      <c r="G412" s="13">
        <f>Table[[#This Row],[Return Value]]/Table[[#This Row],[Sell Value]]</f>
        <v>3.7859666834931852E-3</v>
      </c>
      <c r="H412" s="1" t="s">
        <v>3</v>
      </c>
      <c r="I412" s="1">
        <v>49</v>
      </c>
      <c r="J412" s="14">
        <f>Table[[#This Row],[Sell Value]]*Table[[#This Row],[Selling Price]]</f>
        <v>194138</v>
      </c>
      <c r="K412" s="1" t="s">
        <v>4</v>
      </c>
      <c r="L412" s="1" t="s">
        <v>35</v>
      </c>
      <c r="M412" s="1" t="s">
        <v>44</v>
      </c>
      <c r="N412" s="1">
        <v>0.2</v>
      </c>
      <c r="O412" s="1" t="s">
        <v>81</v>
      </c>
      <c r="P412" s="1" t="s">
        <v>62</v>
      </c>
    </row>
    <row r="413" spans="1:16" x14ac:dyDescent="0.25">
      <c r="A413" s="1">
        <v>899388065</v>
      </c>
      <c r="B413" s="1" t="s">
        <v>16</v>
      </c>
      <c r="C413" s="1" t="s">
        <v>17</v>
      </c>
      <c r="D413" s="1">
        <v>48214</v>
      </c>
      <c r="E413" s="1">
        <v>3393</v>
      </c>
      <c r="F413" s="1">
        <v>31</v>
      </c>
      <c r="G413" s="13">
        <f>Table[[#This Row],[Return Value]]/Table[[#This Row],[Sell Value]]</f>
        <v>9.1364574123194812E-3</v>
      </c>
      <c r="H413" s="1" t="s">
        <v>3</v>
      </c>
      <c r="I413" s="1">
        <v>47</v>
      </c>
      <c r="J413" s="14">
        <f>Table[[#This Row],[Sell Value]]*Table[[#This Row],[Selling Price]]</f>
        <v>159471</v>
      </c>
      <c r="K413" s="1" t="s">
        <v>4</v>
      </c>
      <c r="L413" s="1" t="s">
        <v>38</v>
      </c>
      <c r="M413" s="1" t="s">
        <v>10</v>
      </c>
      <c r="N413" s="1">
        <v>0.2</v>
      </c>
      <c r="O413" s="1" t="s">
        <v>81</v>
      </c>
      <c r="P413" s="1" t="s">
        <v>55</v>
      </c>
    </row>
    <row r="414" spans="1:16" x14ac:dyDescent="0.25">
      <c r="A414" s="1">
        <v>634814089</v>
      </c>
      <c r="B414" s="1" t="s">
        <v>20</v>
      </c>
      <c r="C414" s="1" t="s">
        <v>17</v>
      </c>
      <c r="D414" s="1">
        <v>48086</v>
      </c>
      <c r="E414" s="1">
        <v>3144</v>
      </c>
      <c r="F414" s="1">
        <v>28</v>
      </c>
      <c r="G414" s="13">
        <f>Table[[#This Row],[Return Value]]/Table[[#This Row],[Sell Value]]</f>
        <v>8.9058524173027988E-3</v>
      </c>
      <c r="H414" s="1" t="s">
        <v>28</v>
      </c>
      <c r="I414" s="1">
        <v>39</v>
      </c>
      <c r="J414" s="14">
        <f>Table[[#This Row],[Sell Value]]*Table[[#This Row],[Selling Price]]</f>
        <v>122616</v>
      </c>
      <c r="K414" s="1" t="s">
        <v>4</v>
      </c>
      <c r="L414" s="1" t="s">
        <v>41</v>
      </c>
      <c r="M414" s="1" t="s">
        <v>48</v>
      </c>
      <c r="N414" s="1">
        <v>0.2</v>
      </c>
      <c r="O414" s="1" t="s">
        <v>82</v>
      </c>
      <c r="P414" s="1" t="s">
        <v>60</v>
      </c>
    </row>
    <row r="415" spans="1:16" x14ac:dyDescent="0.25">
      <c r="A415" s="1">
        <v>653046066</v>
      </c>
      <c r="B415" s="1" t="s">
        <v>24</v>
      </c>
      <c r="C415" s="1" t="s">
        <v>2</v>
      </c>
      <c r="D415" s="1">
        <v>48157</v>
      </c>
      <c r="E415" s="1">
        <v>3169</v>
      </c>
      <c r="F415" s="1">
        <v>48</v>
      </c>
      <c r="G415" s="13">
        <f>Table[[#This Row],[Return Value]]/Table[[#This Row],[Sell Value]]</f>
        <v>1.5146733985484381E-2</v>
      </c>
      <c r="H415" s="1" t="s">
        <v>3</v>
      </c>
      <c r="I415" s="1">
        <v>49</v>
      </c>
      <c r="J415" s="14">
        <f>Table[[#This Row],[Sell Value]]*Table[[#This Row],[Selling Price]]</f>
        <v>155281</v>
      </c>
      <c r="K415" s="1" t="s">
        <v>4</v>
      </c>
      <c r="L415" s="1" t="s">
        <v>43</v>
      </c>
      <c r="M415" s="1" t="s">
        <v>44</v>
      </c>
      <c r="N415" s="1">
        <v>0.2</v>
      </c>
      <c r="O415" s="1" t="s">
        <v>81</v>
      </c>
      <c r="P415" s="1" t="s">
        <v>65</v>
      </c>
    </row>
    <row r="416" spans="1:16" x14ac:dyDescent="0.25">
      <c r="A416" s="1">
        <v>13988356</v>
      </c>
      <c r="B416" s="1" t="s">
        <v>27</v>
      </c>
      <c r="C416" s="1" t="s">
        <v>2</v>
      </c>
      <c r="D416" s="1">
        <v>48510</v>
      </c>
      <c r="E416" s="1">
        <v>2680</v>
      </c>
      <c r="F416" s="1">
        <v>43</v>
      </c>
      <c r="G416" s="13">
        <f>Table[[#This Row],[Return Value]]/Table[[#This Row],[Sell Value]]</f>
        <v>1.6044776119402984E-2</v>
      </c>
      <c r="H416" s="1" t="s">
        <v>3</v>
      </c>
      <c r="I416" s="1">
        <v>49</v>
      </c>
      <c r="J416" s="14">
        <f>Table[[#This Row],[Sell Value]]*Table[[#This Row],[Selling Price]]</f>
        <v>131320</v>
      </c>
      <c r="K416" s="1" t="s">
        <v>4</v>
      </c>
      <c r="L416" s="1" t="s">
        <v>47</v>
      </c>
      <c r="M416" s="1" t="s">
        <v>10</v>
      </c>
      <c r="N416" s="1">
        <v>0.2</v>
      </c>
      <c r="O416" s="1" t="s">
        <v>82</v>
      </c>
      <c r="P416" s="1" t="s">
        <v>58</v>
      </c>
    </row>
    <row r="417" spans="1:16" x14ac:dyDescent="0.25">
      <c r="A417" s="1">
        <v>491883478</v>
      </c>
      <c r="B417" s="1" t="s">
        <v>32</v>
      </c>
      <c r="C417" s="1" t="s">
        <v>17</v>
      </c>
      <c r="D417" s="1">
        <v>47754</v>
      </c>
      <c r="E417" s="1">
        <v>4442</v>
      </c>
      <c r="F417" s="1">
        <v>45</v>
      </c>
      <c r="G417" s="13">
        <f>Table[[#This Row],[Return Value]]/Table[[#This Row],[Sell Value]]</f>
        <v>1.0130571814497974E-2</v>
      </c>
      <c r="H417" s="1" t="s">
        <v>28</v>
      </c>
      <c r="I417" s="1">
        <v>47</v>
      </c>
      <c r="J417" s="14">
        <f>Table[[#This Row],[Sell Value]]*Table[[#This Row],[Selling Price]]</f>
        <v>208774</v>
      </c>
      <c r="K417" s="1" t="s">
        <v>4</v>
      </c>
      <c r="L417" s="1" t="s">
        <v>51</v>
      </c>
      <c r="M417" s="1" t="s">
        <v>33</v>
      </c>
      <c r="N417" s="1">
        <v>0.2</v>
      </c>
      <c r="O417" s="1" t="s">
        <v>81</v>
      </c>
      <c r="P417" s="1" t="s">
        <v>7</v>
      </c>
    </row>
    <row r="418" spans="1:16" x14ac:dyDescent="0.25">
      <c r="A418" s="1">
        <v>302573945</v>
      </c>
      <c r="B418" s="1" t="s">
        <v>34</v>
      </c>
      <c r="C418" s="1" t="s">
        <v>2</v>
      </c>
      <c r="D418" s="1">
        <v>48234</v>
      </c>
      <c r="E418" s="1">
        <v>2337</v>
      </c>
      <c r="F418" s="1">
        <v>18</v>
      </c>
      <c r="G418" s="13">
        <f>Table[[#This Row],[Return Value]]/Table[[#This Row],[Sell Value]]</f>
        <v>7.7021822849807449E-3</v>
      </c>
      <c r="H418" s="1" t="s">
        <v>3</v>
      </c>
      <c r="I418" s="1">
        <v>25</v>
      </c>
      <c r="J418" s="14">
        <f>Table[[#This Row],[Sell Value]]*Table[[#This Row],[Selling Price]]</f>
        <v>58425</v>
      </c>
      <c r="K418" s="1" t="s">
        <v>4</v>
      </c>
      <c r="L418" s="1" t="s">
        <v>54</v>
      </c>
      <c r="M418" s="1" t="s">
        <v>44</v>
      </c>
      <c r="N418" s="1">
        <v>0.2</v>
      </c>
      <c r="O418" s="1" t="s">
        <v>81</v>
      </c>
      <c r="P418" s="1" t="s">
        <v>52</v>
      </c>
    </row>
    <row r="419" spans="1:16" x14ac:dyDescent="0.25">
      <c r="A419" s="1">
        <v>222851619</v>
      </c>
      <c r="B419" s="1" t="s">
        <v>37</v>
      </c>
      <c r="C419" s="1" t="s">
        <v>17</v>
      </c>
      <c r="D419" s="1">
        <v>48268</v>
      </c>
      <c r="E419" s="1">
        <v>3201</v>
      </c>
      <c r="F419" s="1">
        <v>16</v>
      </c>
      <c r="G419" s="13">
        <f>Table[[#This Row],[Return Value]]/Table[[#This Row],[Sell Value]]</f>
        <v>4.9984379881287096E-3</v>
      </c>
      <c r="H419" s="1" t="s">
        <v>3</v>
      </c>
      <c r="I419" s="1">
        <v>42</v>
      </c>
      <c r="J419" s="14">
        <f>Table[[#This Row],[Sell Value]]*Table[[#This Row],[Selling Price]]</f>
        <v>134442</v>
      </c>
      <c r="K419" s="1" t="s">
        <v>4</v>
      </c>
      <c r="L419" s="1" t="s">
        <v>57</v>
      </c>
      <c r="M419" s="1" t="s">
        <v>44</v>
      </c>
      <c r="N419" s="1">
        <v>0.2</v>
      </c>
      <c r="O419" s="1" t="s">
        <v>82</v>
      </c>
      <c r="P419" s="1" t="s">
        <v>55</v>
      </c>
    </row>
    <row r="420" spans="1:16" x14ac:dyDescent="0.25">
      <c r="A420" s="1">
        <v>653849314</v>
      </c>
      <c r="B420" s="1" t="s">
        <v>40</v>
      </c>
      <c r="C420" s="1" t="s">
        <v>17</v>
      </c>
      <c r="D420" s="1">
        <v>47715</v>
      </c>
      <c r="E420" s="1">
        <v>1631</v>
      </c>
      <c r="F420" s="1">
        <v>19</v>
      </c>
      <c r="G420" s="13">
        <f>Table[[#This Row],[Return Value]]/Table[[#This Row],[Sell Value]]</f>
        <v>1.1649294911097487E-2</v>
      </c>
      <c r="H420" s="1" t="s">
        <v>3</v>
      </c>
      <c r="I420" s="1">
        <v>30</v>
      </c>
      <c r="J420" s="14">
        <f>Table[[#This Row],[Sell Value]]*Table[[#This Row],[Selling Price]]</f>
        <v>48930</v>
      </c>
      <c r="K420" s="1" t="s">
        <v>4</v>
      </c>
      <c r="L420" s="1" t="s">
        <v>5</v>
      </c>
      <c r="M420" s="1" t="s">
        <v>30</v>
      </c>
      <c r="N420" s="1">
        <v>0.2</v>
      </c>
      <c r="O420" s="1" t="s">
        <v>81</v>
      </c>
      <c r="P420" s="1" t="s">
        <v>11</v>
      </c>
    </row>
    <row r="421" spans="1:16" x14ac:dyDescent="0.25">
      <c r="A421" s="1">
        <v>467315940</v>
      </c>
      <c r="B421" s="1" t="s">
        <v>42</v>
      </c>
      <c r="C421" s="1" t="s">
        <v>2</v>
      </c>
      <c r="D421" s="1">
        <v>48096</v>
      </c>
      <c r="E421" s="1">
        <v>3167</v>
      </c>
      <c r="F421" s="1">
        <v>38</v>
      </c>
      <c r="G421" s="13">
        <f>Table[[#This Row],[Return Value]]/Table[[#This Row],[Sell Value]]</f>
        <v>1.1998736975055258E-2</v>
      </c>
      <c r="H421" s="1" t="s">
        <v>3</v>
      </c>
      <c r="I421" s="1">
        <v>41</v>
      </c>
      <c r="J421" s="14">
        <f>Table[[#This Row],[Sell Value]]*Table[[#This Row],[Selling Price]]</f>
        <v>129847</v>
      </c>
      <c r="K421" s="1" t="s">
        <v>4</v>
      </c>
      <c r="L421" s="1" t="s">
        <v>9</v>
      </c>
      <c r="M421" s="1" t="s">
        <v>33</v>
      </c>
      <c r="N421" s="1">
        <v>0.2</v>
      </c>
      <c r="O421" s="1" t="s">
        <v>81</v>
      </c>
      <c r="P421" s="1" t="s">
        <v>66</v>
      </c>
    </row>
    <row r="422" spans="1:16" x14ac:dyDescent="0.25">
      <c r="A422" s="1">
        <v>86558851</v>
      </c>
      <c r="B422" s="1" t="s">
        <v>46</v>
      </c>
      <c r="C422" s="1" t="s">
        <v>2</v>
      </c>
      <c r="D422" s="1">
        <v>48378</v>
      </c>
      <c r="E422" s="1">
        <v>3353</v>
      </c>
      <c r="F422" s="1">
        <v>36</v>
      </c>
      <c r="G422" s="13">
        <f>Table[[#This Row],[Return Value]]/Table[[#This Row],[Sell Value]]</f>
        <v>1.0736653742916791E-2</v>
      </c>
      <c r="H422" s="1" t="s">
        <v>3</v>
      </c>
      <c r="I422" s="1">
        <v>36</v>
      </c>
      <c r="J422" s="14">
        <f>Table[[#This Row],[Sell Value]]*Table[[#This Row],[Selling Price]]</f>
        <v>120708</v>
      </c>
      <c r="K422" s="1" t="s">
        <v>4</v>
      </c>
      <c r="L422" s="1" t="s">
        <v>13</v>
      </c>
      <c r="M422" s="1" t="s">
        <v>48</v>
      </c>
      <c r="N422" s="1">
        <v>0.2</v>
      </c>
      <c r="O422" s="1" t="s">
        <v>82</v>
      </c>
      <c r="P422" s="1" t="s">
        <v>67</v>
      </c>
    </row>
    <row r="423" spans="1:16" x14ac:dyDescent="0.25">
      <c r="A423" s="1">
        <v>647793679</v>
      </c>
      <c r="B423" s="1" t="s">
        <v>50</v>
      </c>
      <c r="C423" s="1" t="s">
        <v>2</v>
      </c>
      <c r="D423" s="1">
        <v>47540</v>
      </c>
      <c r="E423" s="1">
        <v>3525</v>
      </c>
      <c r="F423" s="1">
        <v>11</v>
      </c>
      <c r="G423" s="13">
        <f>Table[[#This Row],[Return Value]]/Table[[#This Row],[Sell Value]]</f>
        <v>3.1205673758865249E-3</v>
      </c>
      <c r="H423" s="1" t="s">
        <v>3</v>
      </c>
      <c r="I423" s="1">
        <v>30</v>
      </c>
      <c r="J423" s="14">
        <f>Table[[#This Row],[Sell Value]]*Table[[#This Row],[Selling Price]]</f>
        <v>105750</v>
      </c>
      <c r="K423" s="1" t="s">
        <v>4</v>
      </c>
      <c r="L423" s="1" t="s">
        <v>18</v>
      </c>
      <c r="M423" s="1" t="s">
        <v>14</v>
      </c>
      <c r="N423" s="1">
        <v>0.2</v>
      </c>
      <c r="O423" s="1" t="s">
        <v>81</v>
      </c>
      <c r="P423" s="1" t="s">
        <v>66</v>
      </c>
    </row>
    <row r="424" spans="1:16" x14ac:dyDescent="0.25">
      <c r="A424" s="1">
        <v>806350469</v>
      </c>
      <c r="B424" s="1" t="s">
        <v>53</v>
      </c>
      <c r="C424" s="1" t="s">
        <v>2</v>
      </c>
      <c r="D424" s="1">
        <v>47901</v>
      </c>
      <c r="E424" s="1">
        <v>1708</v>
      </c>
      <c r="F424" s="1">
        <v>31</v>
      </c>
      <c r="G424" s="13">
        <f>Table[[#This Row],[Return Value]]/Table[[#This Row],[Sell Value]]</f>
        <v>1.8149882903981264E-2</v>
      </c>
      <c r="H424" s="1" t="s">
        <v>3</v>
      </c>
      <c r="I424" s="1">
        <v>39</v>
      </c>
      <c r="J424" s="14">
        <f>Table[[#This Row],[Sell Value]]*Table[[#This Row],[Selling Price]]</f>
        <v>66612</v>
      </c>
      <c r="K424" s="1" t="s">
        <v>4</v>
      </c>
      <c r="L424" s="1" t="s">
        <v>21</v>
      </c>
      <c r="M424" s="1" t="s">
        <v>10</v>
      </c>
      <c r="N424" s="1">
        <v>0.2</v>
      </c>
      <c r="O424" s="1" t="s">
        <v>81</v>
      </c>
      <c r="P424" s="1" t="s">
        <v>67</v>
      </c>
    </row>
    <row r="425" spans="1:16" x14ac:dyDescent="0.25">
      <c r="A425" s="1">
        <v>661858154</v>
      </c>
      <c r="B425" s="1" t="s">
        <v>56</v>
      </c>
      <c r="C425" s="1" t="s">
        <v>2</v>
      </c>
      <c r="D425" s="1">
        <v>48141</v>
      </c>
      <c r="E425" s="1">
        <v>1084</v>
      </c>
      <c r="F425" s="1">
        <v>45</v>
      </c>
      <c r="G425" s="13">
        <f>Table[[#This Row],[Return Value]]/Table[[#This Row],[Sell Value]]</f>
        <v>4.1512915129151291E-2</v>
      </c>
      <c r="H425" s="1" t="s">
        <v>3</v>
      </c>
      <c r="I425" s="1">
        <v>23</v>
      </c>
      <c r="J425" s="14">
        <f>Table[[#This Row],[Sell Value]]*Table[[#This Row],[Selling Price]]</f>
        <v>24932</v>
      </c>
      <c r="K425" s="1" t="s">
        <v>4</v>
      </c>
      <c r="L425" s="1" t="s">
        <v>25</v>
      </c>
      <c r="M425" s="1" t="s">
        <v>26</v>
      </c>
      <c r="N425" s="1">
        <v>0.2</v>
      </c>
      <c r="O425" s="1" t="s">
        <v>82</v>
      </c>
      <c r="P425" s="1" t="s">
        <v>15</v>
      </c>
    </row>
    <row r="426" spans="1:16" x14ac:dyDescent="0.25">
      <c r="A426" s="1">
        <v>90782674</v>
      </c>
      <c r="B426" s="1" t="s">
        <v>1</v>
      </c>
      <c r="C426" s="1" t="s">
        <v>2</v>
      </c>
      <c r="D426" s="1">
        <v>48322</v>
      </c>
      <c r="E426" s="1">
        <v>1168</v>
      </c>
      <c r="F426" s="1">
        <v>23</v>
      </c>
      <c r="G426" s="13">
        <f>Table[[#This Row],[Return Value]]/Table[[#This Row],[Sell Value]]</f>
        <v>1.9691780821917807E-2</v>
      </c>
      <c r="H426" s="1" t="s">
        <v>3</v>
      </c>
      <c r="I426" s="1">
        <v>26</v>
      </c>
      <c r="J426" s="14">
        <f>Table[[#This Row],[Sell Value]]*Table[[#This Row],[Selling Price]]</f>
        <v>30368</v>
      </c>
      <c r="K426" s="1" t="s">
        <v>4</v>
      </c>
      <c r="L426" s="1" t="s">
        <v>29</v>
      </c>
      <c r="M426" s="1" t="s">
        <v>33</v>
      </c>
      <c r="N426" s="1">
        <v>0.2</v>
      </c>
      <c r="O426" s="1" t="s">
        <v>82</v>
      </c>
      <c r="P426" s="1" t="s">
        <v>39</v>
      </c>
    </row>
    <row r="427" spans="1:16" x14ac:dyDescent="0.25">
      <c r="A427" s="1">
        <v>288492273</v>
      </c>
      <c r="B427" s="1" t="s">
        <v>8</v>
      </c>
      <c r="C427" s="1" t="s">
        <v>2</v>
      </c>
      <c r="D427" s="1">
        <v>48252</v>
      </c>
      <c r="E427" s="1">
        <v>3273</v>
      </c>
      <c r="F427" s="1">
        <v>19</v>
      </c>
      <c r="G427" s="13">
        <f>Table[[#This Row],[Return Value]]/Table[[#This Row],[Sell Value]]</f>
        <v>5.8050717995722576E-3</v>
      </c>
      <c r="H427" s="1" t="s">
        <v>3</v>
      </c>
      <c r="I427" s="1">
        <v>22</v>
      </c>
      <c r="J427" s="14">
        <f>Table[[#This Row],[Sell Value]]*Table[[#This Row],[Selling Price]]</f>
        <v>72006</v>
      </c>
      <c r="K427" s="1" t="s">
        <v>4</v>
      </c>
      <c r="L427" s="1" t="s">
        <v>29</v>
      </c>
      <c r="M427" s="1" t="s">
        <v>59</v>
      </c>
      <c r="N427" s="1">
        <v>0.2</v>
      </c>
      <c r="O427" s="1" t="s">
        <v>82</v>
      </c>
      <c r="P427" s="1" t="s">
        <v>45</v>
      </c>
    </row>
    <row r="428" spans="1:16" x14ac:dyDescent="0.25">
      <c r="A428" s="1">
        <v>136800186</v>
      </c>
      <c r="B428" s="1" t="s">
        <v>12</v>
      </c>
      <c r="C428" s="1" t="s">
        <v>2</v>
      </c>
      <c r="D428" s="1">
        <v>47694</v>
      </c>
      <c r="E428" s="1">
        <v>1491</v>
      </c>
      <c r="F428" s="1">
        <v>10</v>
      </c>
      <c r="G428" s="13">
        <f>Table[[#This Row],[Return Value]]/Table[[#This Row],[Sell Value]]</f>
        <v>6.7069081153588199E-3</v>
      </c>
      <c r="H428" s="1" t="s">
        <v>3</v>
      </c>
      <c r="I428" s="1">
        <v>23</v>
      </c>
      <c r="J428" s="14">
        <f>Table[[#This Row],[Sell Value]]*Table[[#This Row],[Selling Price]]</f>
        <v>34293</v>
      </c>
      <c r="K428" s="1" t="s">
        <v>4</v>
      </c>
      <c r="L428" s="1" t="s">
        <v>35</v>
      </c>
      <c r="M428" s="1" t="s">
        <v>6</v>
      </c>
      <c r="N428" s="1">
        <v>0.2</v>
      </c>
      <c r="O428" s="1" t="s">
        <v>82</v>
      </c>
      <c r="P428" s="1" t="s">
        <v>11</v>
      </c>
    </row>
    <row r="429" spans="1:16" x14ac:dyDescent="0.25">
      <c r="A429" s="1">
        <v>351091524</v>
      </c>
      <c r="B429" s="1" t="s">
        <v>16</v>
      </c>
      <c r="C429" s="1" t="s">
        <v>17</v>
      </c>
      <c r="D429" s="1">
        <v>48052</v>
      </c>
      <c r="E429" s="1">
        <v>2437</v>
      </c>
      <c r="F429" s="1">
        <v>25</v>
      </c>
      <c r="G429" s="13">
        <f>Table[[#This Row],[Return Value]]/Table[[#This Row],[Sell Value]]</f>
        <v>1.0258514567090685E-2</v>
      </c>
      <c r="H429" s="1" t="s">
        <v>28</v>
      </c>
      <c r="I429" s="1">
        <v>33</v>
      </c>
      <c r="J429" s="14">
        <f>Table[[#This Row],[Sell Value]]*Table[[#This Row],[Selling Price]]</f>
        <v>80421</v>
      </c>
      <c r="K429" s="1" t="s">
        <v>4</v>
      </c>
      <c r="L429" s="1" t="s">
        <v>38</v>
      </c>
      <c r="M429" s="1" t="s">
        <v>26</v>
      </c>
      <c r="N429" s="1">
        <v>0.2</v>
      </c>
      <c r="O429" s="1" t="s">
        <v>81</v>
      </c>
      <c r="P429" s="1" t="s">
        <v>66</v>
      </c>
    </row>
    <row r="430" spans="1:16" x14ac:dyDescent="0.25">
      <c r="A430" s="1">
        <v>454943575</v>
      </c>
      <c r="B430" s="1" t="s">
        <v>20</v>
      </c>
      <c r="C430" s="1" t="s">
        <v>17</v>
      </c>
      <c r="D430" s="1">
        <v>47745</v>
      </c>
      <c r="E430" s="1">
        <v>2240</v>
      </c>
      <c r="F430" s="1">
        <v>32</v>
      </c>
      <c r="G430" s="13">
        <f>Table[[#This Row],[Return Value]]/Table[[#This Row],[Sell Value]]</f>
        <v>1.4285714285714285E-2</v>
      </c>
      <c r="H430" s="1" t="s">
        <v>3</v>
      </c>
      <c r="I430" s="1">
        <v>45</v>
      </c>
      <c r="J430" s="14">
        <f>Table[[#This Row],[Sell Value]]*Table[[#This Row],[Selling Price]]</f>
        <v>100800</v>
      </c>
      <c r="K430" s="1" t="s">
        <v>4</v>
      </c>
      <c r="L430" s="1" t="s">
        <v>41</v>
      </c>
      <c r="M430" s="1" t="s">
        <v>44</v>
      </c>
      <c r="N430" s="1">
        <v>0.2</v>
      </c>
      <c r="O430" s="1" t="s">
        <v>81</v>
      </c>
      <c r="P430" s="1" t="s">
        <v>23</v>
      </c>
    </row>
    <row r="431" spans="1:16" x14ac:dyDescent="0.25">
      <c r="A431" s="1">
        <v>617849231</v>
      </c>
      <c r="B431" s="1" t="s">
        <v>24</v>
      </c>
      <c r="C431" s="1" t="s">
        <v>2</v>
      </c>
      <c r="D431" s="1">
        <v>47836</v>
      </c>
      <c r="E431" s="1">
        <v>4576</v>
      </c>
      <c r="F431" s="1">
        <v>11</v>
      </c>
      <c r="G431" s="13">
        <f>Table[[#This Row],[Return Value]]/Table[[#This Row],[Sell Value]]</f>
        <v>2.403846153846154E-3</v>
      </c>
      <c r="H431" s="1" t="s">
        <v>3</v>
      </c>
      <c r="I431" s="1">
        <v>36</v>
      </c>
      <c r="J431" s="14">
        <f>Table[[#This Row],[Sell Value]]*Table[[#This Row],[Selling Price]]</f>
        <v>164736</v>
      </c>
      <c r="K431" s="1" t="s">
        <v>4</v>
      </c>
      <c r="L431" s="1" t="s">
        <v>43</v>
      </c>
      <c r="M431" s="1" t="s">
        <v>14</v>
      </c>
      <c r="N431" s="1">
        <v>0.2</v>
      </c>
      <c r="O431" s="1" t="s">
        <v>82</v>
      </c>
      <c r="P431" s="1" t="s">
        <v>19</v>
      </c>
    </row>
    <row r="432" spans="1:16" x14ac:dyDescent="0.25">
      <c r="A432" s="1">
        <v>821116751</v>
      </c>
      <c r="B432" s="1" t="s">
        <v>27</v>
      </c>
      <c r="C432" s="1" t="s">
        <v>2</v>
      </c>
      <c r="D432" s="1">
        <v>48095</v>
      </c>
      <c r="E432" s="1">
        <v>3047</v>
      </c>
      <c r="F432" s="1">
        <v>46</v>
      </c>
      <c r="G432" s="13">
        <f>Table[[#This Row],[Return Value]]/Table[[#This Row],[Sell Value]]</f>
        <v>1.5096816540859863E-2</v>
      </c>
      <c r="H432" s="1" t="s">
        <v>3</v>
      </c>
      <c r="I432" s="1">
        <v>50</v>
      </c>
      <c r="J432" s="14">
        <f>Table[[#This Row],[Sell Value]]*Table[[#This Row],[Selling Price]]</f>
        <v>152350</v>
      </c>
      <c r="K432" s="1" t="s">
        <v>4</v>
      </c>
      <c r="L432" s="1" t="s">
        <v>47</v>
      </c>
      <c r="M432" s="1" t="s">
        <v>48</v>
      </c>
      <c r="N432" s="1">
        <v>0.2</v>
      </c>
      <c r="O432" s="1" t="s">
        <v>82</v>
      </c>
      <c r="P432" s="1" t="s">
        <v>67</v>
      </c>
    </row>
    <row r="433" spans="1:16" x14ac:dyDescent="0.25">
      <c r="A433" s="1">
        <v>33303852</v>
      </c>
      <c r="B433" s="1" t="s">
        <v>32</v>
      </c>
      <c r="C433" s="1" t="s">
        <v>17</v>
      </c>
      <c r="D433" s="1">
        <v>48103</v>
      </c>
      <c r="E433" s="1">
        <v>2757</v>
      </c>
      <c r="F433" s="1">
        <v>37</v>
      </c>
      <c r="G433" s="13">
        <f>Table[[#This Row],[Return Value]]/Table[[#This Row],[Sell Value]]</f>
        <v>1.3420384475879579E-2</v>
      </c>
      <c r="H433" s="1" t="s">
        <v>3</v>
      </c>
      <c r="I433" s="1">
        <v>26</v>
      </c>
      <c r="J433" s="14">
        <f>Table[[#This Row],[Sell Value]]*Table[[#This Row],[Selling Price]]</f>
        <v>71682</v>
      </c>
      <c r="K433" s="1" t="s">
        <v>4</v>
      </c>
      <c r="L433" s="1" t="s">
        <v>51</v>
      </c>
      <c r="M433" s="1" t="s">
        <v>6</v>
      </c>
      <c r="N433" s="1">
        <v>0.2</v>
      </c>
      <c r="O433" s="1" t="s">
        <v>82</v>
      </c>
      <c r="P433" s="1" t="s">
        <v>23</v>
      </c>
    </row>
    <row r="434" spans="1:16" x14ac:dyDescent="0.25">
      <c r="A434" s="1">
        <v>488819718</v>
      </c>
      <c r="B434" s="1" t="s">
        <v>34</v>
      </c>
      <c r="C434" s="1" t="s">
        <v>2</v>
      </c>
      <c r="D434" s="1">
        <v>48252</v>
      </c>
      <c r="E434" s="1">
        <v>4215</v>
      </c>
      <c r="F434" s="1">
        <v>45</v>
      </c>
      <c r="G434" s="13">
        <f>Table[[#This Row],[Return Value]]/Table[[#This Row],[Sell Value]]</f>
        <v>1.0676156583629894E-2</v>
      </c>
      <c r="H434" s="1" t="s">
        <v>3</v>
      </c>
      <c r="I434" s="1">
        <v>41</v>
      </c>
      <c r="J434" s="14">
        <f>Table[[#This Row],[Sell Value]]*Table[[#This Row],[Selling Price]]</f>
        <v>172815</v>
      </c>
      <c r="K434" s="1" t="s">
        <v>4</v>
      </c>
      <c r="L434" s="1" t="s">
        <v>54</v>
      </c>
      <c r="M434" s="1" t="s">
        <v>30</v>
      </c>
      <c r="N434" s="1">
        <v>0.2</v>
      </c>
      <c r="O434" s="1" t="s">
        <v>82</v>
      </c>
      <c r="P434" s="1" t="s">
        <v>55</v>
      </c>
    </row>
    <row r="435" spans="1:16" x14ac:dyDescent="0.25">
      <c r="A435" s="1">
        <v>37640480</v>
      </c>
      <c r="B435" s="1" t="s">
        <v>37</v>
      </c>
      <c r="C435" s="1" t="s">
        <v>17</v>
      </c>
      <c r="D435" s="1">
        <v>47658</v>
      </c>
      <c r="E435" s="1">
        <v>4447</v>
      </c>
      <c r="F435" s="1">
        <v>25</v>
      </c>
      <c r="G435" s="13">
        <f>Table[[#This Row],[Return Value]]/Table[[#This Row],[Sell Value]]</f>
        <v>5.621767483696874E-3</v>
      </c>
      <c r="H435" s="1" t="s">
        <v>3</v>
      </c>
      <c r="I435" s="1">
        <v>27</v>
      </c>
      <c r="J435" s="14">
        <f>Table[[#This Row],[Sell Value]]*Table[[#This Row],[Selling Price]]</f>
        <v>120069</v>
      </c>
      <c r="K435" s="1" t="s">
        <v>4</v>
      </c>
      <c r="L435" s="1" t="s">
        <v>57</v>
      </c>
      <c r="M435" s="1" t="s">
        <v>14</v>
      </c>
      <c r="N435" s="1">
        <v>0.2</v>
      </c>
      <c r="O435" s="1" t="s">
        <v>81</v>
      </c>
      <c r="P435" s="1" t="s">
        <v>36</v>
      </c>
    </row>
    <row r="436" spans="1:16" x14ac:dyDescent="0.25">
      <c r="A436" s="1">
        <v>598434825</v>
      </c>
      <c r="B436" s="1" t="s">
        <v>40</v>
      </c>
      <c r="C436" s="1" t="s">
        <v>17</v>
      </c>
      <c r="D436" s="1">
        <v>48190</v>
      </c>
      <c r="E436" s="1">
        <v>4912</v>
      </c>
      <c r="F436" s="1">
        <v>14</v>
      </c>
      <c r="G436" s="13">
        <f>Table[[#This Row],[Return Value]]/Table[[#This Row],[Sell Value]]</f>
        <v>2.8501628664495114E-3</v>
      </c>
      <c r="H436" s="1" t="s">
        <v>3</v>
      </c>
      <c r="I436" s="1">
        <v>38</v>
      </c>
      <c r="J436" s="14">
        <f>Table[[#This Row],[Sell Value]]*Table[[#This Row],[Selling Price]]</f>
        <v>186656</v>
      </c>
      <c r="K436" s="1" t="s">
        <v>4</v>
      </c>
      <c r="L436" s="1" t="s">
        <v>5</v>
      </c>
      <c r="M436" s="1" t="s">
        <v>61</v>
      </c>
      <c r="N436" s="1">
        <v>0.2</v>
      </c>
      <c r="O436" s="1" t="s">
        <v>81</v>
      </c>
      <c r="P436" s="1" t="s">
        <v>19</v>
      </c>
    </row>
    <row r="437" spans="1:16" x14ac:dyDescent="0.25">
      <c r="A437" s="1">
        <v>964424187</v>
      </c>
      <c r="B437" s="1" t="s">
        <v>42</v>
      </c>
      <c r="C437" s="1" t="s">
        <v>2</v>
      </c>
      <c r="D437" s="1">
        <v>48193</v>
      </c>
      <c r="E437" s="1">
        <v>3440</v>
      </c>
      <c r="F437" s="1">
        <v>19</v>
      </c>
      <c r="G437" s="13">
        <f>Table[[#This Row],[Return Value]]/Table[[#This Row],[Sell Value]]</f>
        <v>5.5232558139534883E-3</v>
      </c>
      <c r="H437" s="1" t="s">
        <v>3</v>
      </c>
      <c r="I437" s="1">
        <v>43</v>
      </c>
      <c r="J437" s="14">
        <f>Table[[#This Row],[Sell Value]]*Table[[#This Row],[Selling Price]]</f>
        <v>147920</v>
      </c>
      <c r="K437" s="1" t="s">
        <v>4</v>
      </c>
      <c r="L437" s="1" t="s">
        <v>9</v>
      </c>
      <c r="M437" s="1" t="s">
        <v>14</v>
      </c>
      <c r="N437" s="1">
        <v>0.2</v>
      </c>
      <c r="O437" s="1" t="s">
        <v>81</v>
      </c>
      <c r="P437" s="1" t="s">
        <v>67</v>
      </c>
    </row>
    <row r="438" spans="1:16" x14ac:dyDescent="0.25">
      <c r="A438" s="1">
        <v>375899569</v>
      </c>
      <c r="B438" s="1" t="s">
        <v>46</v>
      </c>
      <c r="C438" s="1" t="s">
        <v>2</v>
      </c>
      <c r="D438" s="1">
        <v>48104</v>
      </c>
      <c r="E438" s="1">
        <v>1708</v>
      </c>
      <c r="F438" s="1">
        <v>42</v>
      </c>
      <c r="G438" s="13">
        <f>Table[[#This Row],[Return Value]]/Table[[#This Row],[Sell Value]]</f>
        <v>2.4590163934426229E-2</v>
      </c>
      <c r="H438" s="1" t="s">
        <v>3</v>
      </c>
      <c r="I438" s="1">
        <v>31</v>
      </c>
      <c r="J438" s="14">
        <f>Table[[#This Row],[Sell Value]]*Table[[#This Row],[Selling Price]]</f>
        <v>52948</v>
      </c>
      <c r="K438" s="1" t="s">
        <v>4</v>
      </c>
      <c r="L438" s="1" t="s">
        <v>13</v>
      </c>
      <c r="M438" s="1" t="s">
        <v>26</v>
      </c>
      <c r="N438" s="1">
        <v>0.2</v>
      </c>
      <c r="O438" s="1" t="s">
        <v>81</v>
      </c>
      <c r="P438" s="1" t="s">
        <v>66</v>
      </c>
    </row>
    <row r="439" spans="1:16" x14ac:dyDescent="0.25">
      <c r="A439" s="1">
        <v>222709871</v>
      </c>
      <c r="B439" s="1" t="s">
        <v>12</v>
      </c>
      <c r="C439" s="1" t="s">
        <v>2</v>
      </c>
      <c r="D439" s="1">
        <v>48473</v>
      </c>
      <c r="E439" s="1">
        <v>1353</v>
      </c>
      <c r="F439" s="1">
        <v>22</v>
      </c>
      <c r="G439" s="13">
        <f>Table[[#This Row],[Return Value]]/Table[[#This Row],[Sell Value]]</f>
        <v>1.6260162601626018E-2</v>
      </c>
      <c r="H439" s="1" t="s">
        <v>3</v>
      </c>
      <c r="I439" s="1">
        <v>45</v>
      </c>
      <c r="J439" s="14">
        <f>Table[[#This Row],[Sell Value]]*Table[[#This Row],[Selling Price]]</f>
        <v>60885</v>
      </c>
      <c r="K439" s="1" t="s">
        <v>4</v>
      </c>
      <c r="L439" s="1" t="s">
        <v>18</v>
      </c>
      <c r="M439" s="1" t="s">
        <v>6</v>
      </c>
      <c r="N439" s="1">
        <v>0.2</v>
      </c>
      <c r="O439" s="1" t="s">
        <v>82</v>
      </c>
      <c r="P439" s="1" t="s">
        <v>65</v>
      </c>
    </row>
    <row r="440" spans="1:16" x14ac:dyDescent="0.25">
      <c r="A440" s="1">
        <v>854738723</v>
      </c>
      <c r="B440" s="1" t="s">
        <v>16</v>
      </c>
      <c r="C440" s="1" t="s">
        <v>17</v>
      </c>
      <c r="D440" s="1">
        <v>47721</v>
      </c>
      <c r="E440" s="1">
        <v>3936</v>
      </c>
      <c r="F440" s="1">
        <v>25</v>
      </c>
      <c r="G440" s="13">
        <f>Table[[#This Row],[Return Value]]/Table[[#This Row],[Sell Value]]</f>
        <v>6.3516260162601625E-3</v>
      </c>
      <c r="H440" s="1" t="s">
        <v>3</v>
      </c>
      <c r="I440" s="1">
        <v>42</v>
      </c>
      <c r="J440" s="14">
        <f>Table[[#This Row],[Sell Value]]*Table[[#This Row],[Selling Price]]</f>
        <v>165312</v>
      </c>
      <c r="K440" s="1" t="s">
        <v>4</v>
      </c>
      <c r="L440" s="1" t="s">
        <v>21</v>
      </c>
      <c r="M440" s="1" t="s">
        <v>6</v>
      </c>
      <c r="N440" s="1">
        <v>0.2</v>
      </c>
      <c r="O440" s="1" t="s">
        <v>81</v>
      </c>
      <c r="P440" s="1" t="s">
        <v>7</v>
      </c>
    </row>
    <row r="441" spans="1:16" x14ac:dyDescent="0.25">
      <c r="A441" s="1">
        <v>904387163</v>
      </c>
      <c r="B441" s="1" t="s">
        <v>20</v>
      </c>
      <c r="C441" s="1" t="s">
        <v>17</v>
      </c>
      <c r="D441" s="1">
        <v>48545</v>
      </c>
      <c r="E441" s="1">
        <v>4631</v>
      </c>
      <c r="F441" s="1">
        <v>38</v>
      </c>
      <c r="G441" s="13">
        <f>Table[[#This Row],[Return Value]]/Table[[#This Row],[Sell Value]]</f>
        <v>8.2055711509393219E-3</v>
      </c>
      <c r="H441" s="1" t="s">
        <v>28</v>
      </c>
      <c r="I441" s="1">
        <v>36</v>
      </c>
      <c r="J441" s="14">
        <f>Table[[#This Row],[Sell Value]]*Table[[#This Row],[Selling Price]]</f>
        <v>166716</v>
      </c>
      <c r="K441" s="1" t="s">
        <v>4</v>
      </c>
      <c r="L441" s="1" t="s">
        <v>25</v>
      </c>
      <c r="M441" s="1" t="s">
        <v>44</v>
      </c>
      <c r="N441" s="1">
        <v>0.2</v>
      </c>
      <c r="O441" s="1" t="s">
        <v>81</v>
      </c>
      <c r="P441" s="1" t="s">
        <v>31</v>
      </c>
    </row>
    <row r="442" spans="1:16" x14ac:dyDescent="0.25">
      <c r="A442" s="1">
        <v>224061762</v>
      </c>
      <c r="B442" s="1" t="s">
        <v>24</v>
      </c>
      <c r="C442" s="1" t="s">
        <v>2</v>
      </c>
      <c r="D442" s="1">
        <v>47639</v>
      </c>
      <c r="E442" s="1">
        <v>2991</v>
      </c>
      <c r="F442" s="1">
        <v>36</v>
      </c>
      <c r="G442" s="13">
        <f>Table[[#This Row],[Return Value]]/Table[[#This Row],[Sell Value]]</f>
        <v>1.2036108324974924E-2</v>
      </c>
      <c r="H442" s="1" t="s">
        <v>3</v>
      </c>
      <c r="I442" s="1">
        <v>38</v>
      </c>
      <c r="J442" s="14">
        <f>Table[[#This Row],[Sell Value]]*Table[[#This Row],[Selling Price]]</f>
        <v>113658</v>
      </c>
      <c r="K442" s="1" t="s">
        <v>4</v>
      </c>
      <c r="L442" s="1" t="s">
        <v>29</v>
      </c>
      <c r="M442" s="1" t="s">
        <v>33</v>
      </c>
      <c r="N442" s="1">
        <v>0.2</v>
      </c>
      <c r="O442" s="1" t="s">
        <v>82</v>
      </c>
      <c r="P442" s="1" t="s">
        <v>62</v>
      </c>
    </row>
    <row r="443" spans="1:16" x14ac:dyDescent="0.25">
      <c r="A443" s="1">
        <v>896791277</v>
      </c>
      <c r="B443" s="1" t="s">
        <v>27</v>
      </c>
      <c r="C443" s="1" t="s">
        <v>2</v>
      </c>
      <c r="D443" s="1">
        <v>48294</v>
      </c>
      <c r="E443" s="1">
        <v>2489</v>
      </c>
      <c r="F443" s="1">
        <v>45</v>
      </c>
      <c r="G443" s="13">
        <f>Table[[#This Row],[Return Value]]/Table[[#This Row],[Sell Value]]</f>
        <v>1.8079550020088389E-2</v>
      </c>
      <c r="H443" s="1" t="s">
        <v>3</v>
      </c>
      <c r="I443" s="1">
        <v>29</v>
      </c>
      <c r="J443" s="14">
        <f>Table[[#This Row],[Sell Value]]*Table[[#This Row],[Selling Price]]</f>
        <v>72181</v>
      </c>
      <c r="K443" s="1" t="s">
        <v>4</v>
      </c>
      <c r="L443" s="1" t="s">
        <v>29</v>
      </c>
      <c r="M443" s="1" t="s">
        <v>30</v>
      </c>
      <c r="N443" s="1">
        <v>0.2</v>
      </c>
      <c r="O443" s="1" t="s">
        <v>82</v>
      </c>
      <c r="P443" s="1" t="s">
        <v>45</v>
      </c>
    </row>
    <row r="444" spans="1:16" x14ac:dyDescent="0.25">
      <c r="A444" s="1">
        <v>958001141</v>
      </c>
      <c r="B444" s="1" t="s">
        <v>32</v>
      </c>
      <c r="C444" s="1" t="s">
        <v>17</v>
      </c>
      <c r="D444" s="1">
        <v>47698</v>
      </c>
      <c r="E444" s="1">
        <v>1459</v>
      </c>
      <c r="F444" s="1">
        <v>35</v>
      </c>
      <c r="G444" s="13">
        <f>Table[[#This Row],[Return Value]]/Table[[#This Row],[Sell Value]]</f>
        <v>2.3989033584647018E-2</v>
      </c>
      <c r="H444" s="1" t="s">
        <v>3</v>
      </c>
      <c r="I444" s="1">
        <v>38</v>
      </c>
      <c r="J444" s="14">
        <f>Table[[#This Row],[Sell Value]]*Table[[#This Row],[Selling Price]]</f>
        <v>55442</v>
      </c>
      <c r="K444" s="1" t="s">
        <v>4</v>
      </c>
      <c r="L444" s="1" t="s">
        <v>35</v>
      </c>
      <c r="M444" s="1" t="s">
        <v>61</v>
      </c>
      <c r="N444" s="1">
        <v>0.2</v>
      </c>
      <c r="O444" s="1" t="s">
        <v>81</v>
      </c>
      <c r="P444" s="1" t="s">
        <v>45</v>
      </c>
    </row>
    <row r="445" spans="1:16" x14ac:dyDescent="0.25">
      <c r="A445" s="1">
        <v>799748866</v>
      </c>
      <c r="B445" s="1" t="s">
        <v>34</v>
      </c>
      <c r="C445" s="1" t="s">
        <v>2</v>
      </c>
      <c r="D445" s="1">
        <v>47855</v>
      </c>
      <c r="E445" s="1">
        <v>2156</v>
      </c>
      <c r="F445" s="1">
        <v>16</v>
      </c>
      <c r="G445" s="13">
        <f>Table[[#This Row],[Return Value]]/Table[[#This Row],[Sell Value]]</f>
        <v>7.4211502782931356E-3</v>
      </c>
      <c r="H445" s="1" t="s">
        <v>3</v>
      </c>
      <c r="I445" s="1">
        <v>23</v>
      </c>
      <c r="J445" s="14">
        <f>Table[[#This Row],[Sell Value]]*Table[[#This Row],[Selling Price]]</f>
        <v>49588</v>
      </c>
      <c r="K445" s="1" t="s">
        <v>4</v>
      </c>
      <c r="L445" s="1" t="s">
        <v>38</v>
      </c>
      <c r="M445" s="1" t="s">
        <v>61</v>
      </c>
      <c r="N445" s="1">
        <v>0.2</v>
      </c>
      <c r="O445" s="1" t="s">
        <v>82</v>
      </c>
      <c r="P445" s="1" t="s">
        <v>66</v>
      </c>
    </row>
    <row r="446" spans="1:16" x14ac:dyDescent="0.25">
      <c r="A446" s="1">
        <v>413415766</v>
      </c>
      <c r="B446" s="1" t="s">
        <v>37</v>
      </c>
      <c r="C446" s="1" t="s">
        <v>17</v>
      </c>
      <c r="D446" s="1">
        <v>47861</v>
      </c>
      <c r="E446" s="1">
        <v>2476</v>
      </c>
      <c r="F446" s="1">
        <v>43</v>
      </c>
      <c r="G446" s="13">
        <f>Table[[#This Row],[Return Value]]/Table[[#This Row],[Sell Value]]</f>
        <v>1.7366720516962843E-2</v>
      </c>
      <c r="H446" s="1" t="s">
        <v>3</v>
      </c>
      <c r="I446" s="1">
        <v>50</v>
      </c>
      <c r="J446" s="14">
        <f>Table[[#This Row],[Sell Value]]*Table[[#This Row],[Selling Price]]</f>
        <v>123800</v>
      </c>
      <c r="K446" s="1" t="s">
        <v>4</v>
      </c>
      <c r="L446" s="1" t="s">
        <v>41</v>
      </c>
      <c r="M446" s="1" t="s">
        <v>26</v>
      </c>
      <c r="N446" s="1">
        <v>0.2</v>
      </c>
      <c r="O446" s="1" t="s">
        <v>82</v>
      </c>
      <c r="P446" s="1" t="s">
        <v>62</v>
      </c>
    </row>
    <row r="447" spans="1:16" x14ac:dyDescent="0.25">
      <c r="A447" s="1">
        <v>208240097</v>
      </c>
      <c r="B447" s="1" t="s">
        <v>40</v>
      </c>
      <c r="C447" s="1" t="s">
        <v>17</v>
      </c>
      <c r="D447" s="1">
        <v>47928</v>
      </c>
      <c r="E447" s="1">
        <v>3489</v>
      </c>
      <c r="F447" s="1">
        <v>40</v>
      </c>
      <c r="G447" s="13">
        <f>Table[[#This Row],[Return Value]]/Table[[#This Row],[Sell Value]]</f>
        <v>1.1464603038119804E-2</v>
      </c>
      <c r="H447" s="1" t="s">
        <v>3</v>
      </c>
      <c r="I447" s="1">
        <v>45</v>
      </c>
      <c r="J447" s="14">
        <f>Table[[#This Row],[Sell Value]]*Table[[#This Row],[Selling Price]]</f>
        <v>157005</v>
      </c>
      <c r="K447" s="1" t="s">
        <v>4</v>
      </c>
      <c r="L447" s="1" t="s">
        <v>43</v>
      </c>
      <c r="M447" s="1" t="s">
        <v>6</v>
      </c>
      <c r="N447" s="1">
        <v>0.2</v>
      </c>
      <c r="O447" s="1" t="s">
        <v>81</v>
      </c>
      <c r="P447" s="1" t="s">
        <v>60</v>
      </c>
    </row>
    <row r="448" spans="1:16" x14ac:dyDescent="0.25">
      <c r="A448" s="1">
        <v>507549842</v>
      </c>
      <c r="B448" s="1" t="s">
        <v>42</v>
      </c>
      <c r="C448" s="1" t="s">
        <v>2</v>
      </c>
      <c r="D448" s="1">
        <v>48350</v>
      </c>
      <c r="E448" s="1">
        <v>2896</v>
      </c>
      <c r="F448" s="1">
        <v>30</v>
      </c>
      <c r="G448" s="13">
        <f>Table[[#This Row],[Return Value]]/Table[[#This Row],[Sell Value]]</f>
        <v>1.0359116022099447E-2</v>
      </c>
      <c r="H448" s="1" t="s">
        <v>3</v>
      </c>
      <c r="I448" s="1">
        <v>27</v>
      </c>
      <c r="J448" s="14">
        <f>Table[[#This Row],[Sell Value]]*Table[[#This Row],[Selling Price]]</f>
        <v>78192</v>
      </c>
      <c r="K448" s="1" t="s">
        <v>4</v>
      </c>
      <c r="L448" s="1" t="s">
        <v>47</v>
      </c>
      <c r="M448" s="1" t="s">
        <v>33</v>
      </c>
      <c r="N448" s="1">
        <v>0.2</v>
      </c>
      <c r="O448" s="1" t="s">
        <v>82</v>
      </c>
      <c r="P448" s="1" t="s">
        <v>7</v>
      </c>
    </row>
    <row r="449" spans="1:16" x14ac:dyDescent="0.25">
      <c r="A449" s="1">
        <v>244625643</v>
      </c>
      <c r="B449" s="1" t="s">
        <v>46</v>
      </c>
      <c r="C449" s="1" t="s">
        <v>2</v>
      </c>
      <c r="D449" s="1">
        <v>47860</v>
      </c>
      <c r="E449" s="1">
        <v>4369</v>
      </c>
      <c r="F449" s="1">
        <v>10</v>
      </c>
      <c r="G449" s="13">
        <f>Table[[#This Row],[Return Value]]/Table[[#This Row],[Sell Value]]</f>
        <v>2.2888532845044634E-3</v>
      </c>
      <c r="H449" s="1" t="s">
        <v>3</v>
      </c>
      <c r="I449" s="1">
        <v>43</v>
      </c>
      <c r="J449" s="14">
        <f>Table[[#This Row],[Sell Value]]*Table[[#This Row],[Selling Price]]</f>
        <v>187867</v>
      </c>
      <c r="K449" s="1" t="s">
        <v>4</v>
      </c>
      <c r="L449" s="1" t="s">
        <v>51</v>
      </c>
      <c r="M449" s="1" t="s">
        <v>33</v>
      </c>
      <c r="N449" s="1">
        <v>0.2</v>
      </c>
      <c r="O449" s="1" t="s">
        <v>82</v>
      </c>
      <c r="P449" s="1" t="s">
        <v>23</v>
      </c>
    </row>
    <row r="450" spans="1:16" x14ac:dyDescent="0.25">
      <c r="A450" s="1">
        <v>666417313</v>
      </c>
      <c r="B450" s="1" t="s">
        <v>50</v>
      </c>
      <c r="C450" s="1" t="s">
        <v>2</v>
      </c>
      <c r="D450" s="1">
        <v>48048</v>
      </c>
      <c r="E450" s="1">
        <v>3899</v>
      </c>
      <c r="F450" s="1">
        <v>16</v>
      </c>
      <c r="G450" s="13">
        <f>Table[[#This Row],[Return Value]]/Table[[#This Row],[Sell Value]]</f>
        <v>4.1036163118748394E-3</v>
      </c>
      <c r="H450" s="1" t="s">
        <v>3</v>
      </c>
      <c r="I450" s="1">
        <v>28</v>
      </c>
      <c r="J450" s="14">
        <f>Table[[#This Row],[Sell Value]]*Table[[#This Row],[Selling Price]]</f>
        <v>109172</v>
      </c>
      <c r="K450" s="1" t="s">
        <v>4</v>
      </c>
      <c r="L450" s="1" t="s">
        <v>54</v>
      </c>
      <c r="M450" s="1" t="s">
        <v>10</v>
      </c>
      <c r="N450" s="1">
        <v>0.2</v>
      </c>
      <c r="O450" s="1" t="s">
        <v>81</v>
      </c>
      <c r="P450" s="1" t="s">
        <v>55</v>
      </c>
    </row>
    <row r="451" spans="1:16" x14ac:dyDescent="0.25">
      <c r="A451" s="1">
        <v>905162759</v>
      </c>
      <c r="B451" s="1" t="s">
        <v>53</v>
      </c>
      <c r="C451" s="1" t="s">
        <v>2</v>
      </c>
      <c r="D451" s="1">
        <v>48189</v>
      </c>
      <c r="E451" s="1">
        <v>1140</v>
      </c>
      <c r="F451" s="1">
        <v>20</v>
      </c>
      <c r="G451" s="13">
        <f>Table[[#This Row],[Return Value]]/Table[[#This Row],[Sell Value]]</f>
        <v>1.7543859649122806E-2</v>
      </c>
      <c r="H451" s="1" t="s">
        <v>28</v>
      </c>
      <c r="I451" s="1">
        <v>41</v>
      </c>
      <c r="J451" s="14">
        <f>Table[[#This Row],[Sell Value]]*Table[[#This Row],[Selling Price]]</f>
        <v>46740</v>
      </c>
      <c r="K451" s="1" t="s">
        <v>4</v>
      </c>
      <c r="L451" s="1" t="s">
        <v>57</v>
      </c>
      <c r="M451" s="1" t="s">
        <v>48</v>
      </c>
      <c r="N451" s="1">
        <v>0.2</v>
      </c>
      <c r="O451" s="1" t="s">
        <v>81</v>
      </c>
      <c r="P451" s="1" t="s">
        <v>23</v>
      </c>
    </row>
    <row r="452" spans="1:16" x14ac:dyDescent="0.25">
      <c r="A452" s="1">
        <v>61244217</v>
      </c>
      <c r="B452" s="1" t="s">
        <v>56</v>
      </c>
      <c r="C452" s="1" t="s">
        <v>2</v>
      </c>
      <c r="D452" s="1">
        <v>48438</v>
      </c>
      <c r="E452" s="1">
        <v>1877</v>
      </c>
      <c r="F452" s="1">
        <v>44</v>
      </c>
      <c r="G452" s="13">
        <f>Table[[#This Row],[Return Value]]/Table[[#This Row],[Sell Value]]</f>
        <v>2.3441662226957913E-2</v>
      </c>
      <c r="H452" s="1" t="s">
        <v>3</v>
      </c>
      <c r="I452" s="1">
        <v>43</v>
      </c>
      <c r="J452" s="14">
        <f>Table[[#This Row],[Sell Value]]*Table[[#This Row],[Selling Price]]</f>
        <v>80711</v>
      </c>
      <c r="K452" s="1" t="s">
        <v>4</v>
      </c>
      <c r="L452" s="1" t="s">
        <v>5</v>
      </c>
      <c r="M452" s="1" t="s">
        <v>30</v>
      </c>
      <c r="N452" s="1">
        <v>0.2</v>
      </c>
      <c r="O452" s="1" t="s">
        <v>81</v>
      </c>
      <c r="P452" s="1" t="s">
        <v>23</v>
      </c>
    </row>
    <row r="453" spans="1:16" x14ac:dyDescent="0.25">
      <c r="A453" s="1">
        <v>486605698</v>
      </c>
      <c r="B453" s="1" t="s">
        <v>1</v>
      </c>
      <c r="C453" s="1" t="s">
        <v>2</v>
      </c>
      <c r="D453" s="1">
        <v>48148</v>
      </c>
      <c r="E453" s="1">
        <v>4327</v>
      </c>
      <c r="F453" s="1">
        <v>47</v>
      </c>
      <c r="G453" s="13">
        <f>Table[[#This Row],[Return Value]]/Table[[#This Row],[Sell Value]]</f>
        <v>1.086202911948232E-2</v>
      </c>
      <c r="H453" s="1" t="s">
        <v>3</v>
      </c>
      <c r="I453" s="1">
        <v>49</v>
      </c>
      <c r="J453" s="14">
        <f>Table[[#This Row],[Sell Value]]*Table[[#This Row],[Selling Price]]</f>
        <v>212023</v>
      </c>
      <c r="K453" s="1" t="s">
        <v>4</v>
      </c>
      <c r="L453" s="1" t="s">
        <v>9</v>
      </c>
      <c r="M453" s="1" t="s">
        <v>22</v>
      </c>
      <c r="N453" s="1">
        <v>0.2</v>
      </c>
      <c r="O453" s="1" t="s">
        <v>81</v>
      </c>
      <c r="P453" s="1" t="s">
        <v>45</v>
      </c>
    </row>
    <row r="454" spans="1:16" x14ac:dyDescent="0.25">
      <c r="A454" s="1">
        <v>266183812</v>
      </c>
      <c r="B454" s="1" t="s">
        <v>8</v>
      </c>
      <c r="C454" s="1" t="s">
        <v>2</v>
      </c>
      <c r="D454" s="1">
        <v>48422</v>
      </c>
      <c r="E454" s="1">
        <v>3429</v>
      </c>
      <c r="F454" s="1">
        <v>46</v>
      </c>
      <c r="G454" s="13">
        <f>Table[[#This Row],[Return Value]]/Table[[#This Row],[Sell Value]]</f>
        <v>1.3414989792942549E-2</v>
      </c>
      <c r="H454" s="1" t="s">
        <v>3</v>
      </c>
      <c r="I454" s="1">
        <v>41</v>
      </c>
      <c r="J454" s="14">
        <f>Table[[#This Row],[Sell Value]]*Table[[#This Row],[Selling Price]]</f>
        <v>140589</v>
      </c>
      <c r="K454" s="1" t="s">
        <v>4</v>
      </c>
      <c r="L454" s="1" t="s">
        <v>13</v>
      </c>
      <c r="M454" s="1" t="s">
        <v>59</v>
      </c>
      <c r="N454" s="1">
        <v>0.2</v>
      </c>
      <c r="O454" s="1" t="s">
        <v>81</v>
      </c>
      <c r="P454" s="1" t="s">
        <v>31</v>
      </c>
    </row>
    <row r="455" spans="1:16" x14ac:dyDescent="0.25">
      <c r="A455" s="1">
        <v>417499108</v>
      </c>
      <c r="B455" s="1" t="s">
        <v>12</v>
      </c>
      <c r="C455" s="1" t="s">
        <v>2</v>
      </c>
      <c r="D455" s="1">
        <v>47643</v>
      </c>
      <c r="E455" s="1">
        <v>1434</v>
      </c>
      <c r="F455" s="1">
        <v>27</v>
      </c>
      <c r="G455" s="13">
        <f>Table[[#This Row],[Return Value]]/Table[[#This Row],[Sell Value]]</f>
        <v>1.8828451882845189E-2</v>
      </c>
      <c r="H455" s="1" t="s">
        <v>3</v>
      </c>
      <c r="I455" s="1">
        <v>44</v>
      </c>
      <c r="J455" s="14">
        <f>Table[[#This Row],[Sell Value]]*Table[[#This Row],[Selling Price]]</f>
        <v>63096</v>
      </c>
      <c r="K455" s="1" t="s">
        <v>4</v>
      </c>
      <c r="L455" s="1" t="s">
        <v>18</v>
      </c>
      <c r="M455" s="1" t="s">
        <v>6</v>
      </c>
      <c r="N455" s="1">
        <v>0.2</v>
      </c>
      <c r="O455" s="1" t="s">
        <v>81</v>
      </c>
      <c r="P455" s="1" t="s">
        <v>58</v>
      </c>
    </row>
    <row r="456" spans="1:16" x14ac:dyDescent="0.25">
      <c r="A456" s="1">
        <v>449913114</v>
      </c>
      <c r="B456" s="1" t="s">
        <v>16</v>
      </c>
      <c r="C456" s="1" t="s">
        <v>17</v>
      </c>
      <c r="D456" s="1">
        <v>48421</v>
      </c>
      <c r="E456" s="1">
        <v>4090</v>
      </c>
      <c r="F456" s="1">
        <v>23</v>
      </c>
      <c r="G456" s="13">
        <f>Table[[#This Row],[Return Value]]/Table[[#This Row],[Sell Value]]</f>
        <v>5.623471882640587E-3</v>
      </c>
      <c r="H456" s="1" t="s">
        <v>3</v>
      </c>
      <c r="I456" s="1">
        <v>30</v>
      </c>
      <c r="J456" s="14">
        <f>Table[[#This Row],[Sell Value]]*Table[[#This Row],[Selling Price]]</f>
        <v>122700</v>
      </c>
      <c r="K456" s="1" t="s">
        <v>4</v>
      </c>
      <c r="L456" s="1" t="s">
        <v>21</v>
      </c>
      <c r="M456" s="1" t="s">
        <v>30</v>
      </c>
      <c r="N456" s="1">
        <v>0.2</v>
      </c>
      <c r="O456" s="1" t="s">
        <v>82</v>
      </c>
      <c r="P456" s="1" t="s">
        <v>65</v>
      </c>
    </row>
    <row r="457" spans="1:16" x14ac:dyDescent="0.25">
      <c r="A457" s="1">
        <v>866530408</v>
      </c>
      <c r="B457" s="1" t="s">
        <v>20</v>
      </c>
      <c r="C457" s="1" t="s">
        <v>17</v>
      </c>
      <c r="D457" s="1">
        <v>48388</v>
      </c>
      <c r="E457" s="1">
        <v>1061</v>
      </c>
      <c r="F457" s="1">
        <v>22</v>
      </c>
      <c r="G457" s="13">
        <f>Table[[#This Row],[Return Value]]/Table[[#This Row],[Sell Value]]</f>
        <v>2.0735155513666354E-2</v>
      </c>
      <c r="H457" s="1" t="s">
        <v>28</v>
      </c>
      <c r="I457" s="1">
        <v>30</v>
      </c>
      <c r="J457" s="14">
        <f>Table[[#This Row],[Sell Value]]*Table[[#This Row],[Selling Price]]</f>
        <v>31830</v>
      </c>
      <c r="K457" s="1" t="s">
        <v>4</v>
      </c>
      <c r="L457" s="1" t="s">
        <v>25</v>
      </c>
      <c r="M457" s="1" t="s">
        <v>10</v>
      </c>
      <c r="N457" s="1">
        <v>0.2</v>
      </c>
      <c r="O457" s="1" t="s">
        <v>81</v>
      </c>
      <c r="P457" s="1" t="s">
        <v>49</v>
      </c>
    </row>
    <row r="458" spans="1:16" x14ac:dyDescent="0.25">
      <c r="A458" s="1">
        <v>519868238</v>
      </c>
      <c r="B458" s="1" t="s">
        <v>24</v>
      </c>
      <c r="C458" s="1" t="s">
        <v>2</v>
      </c>
      <c r="D458" s="1">
        <v>47602</v>
      </c>
      <c r="E458" s="1">
        <v>1417</v>
      </c>
      <c r="F458" s="1">
        <v>44</v>
      </c>
      <c r="G458" s="13">
        <f>Table[[#This Row],[Return Value]]/Table[[#This Row],[Sell Value]]</f>
        <v>3.1051517290049402E-2</v>
      </c>
      <c r="H458" s="1" t="s">
        <v>3</v>
      </c>
      <c r="I458" s="1">
        <v>47</v>
      </c>
      <c r="J458" s="14">
        <f>Table[[#This Row],[Sell Value]]*Table[[#This Row],[Selling Price]]</f>
        <v>66599</v>
      </c>
      <c r="K458" s="1" t="s">
        <v>4</v>
      </c>
      <c r="L458" s="1" t="s">
        <v>29</v>
      </c>
      <c r="M458" s="1" t="s">
        <v>48</v>
      </c>
      <c r="N458" s="1">
        <v>0.2</v>
      </c>
      <c r="O458" s="1" t="s">
        <v>81</v>
      </c>
      <c r="P458" s="1" t="s">
        <v>66</v>
      </c>
    </row>
    <row r="459" spans="1:16" x14ac:dyDescent="0.25">
      <c r="A459" s="1">
        <v>344132631</v>
      </c>
      <c r="B459" s="1" t="s">
        <v>27</v>
      </c>
      <c r="C459" s="1" t="s">
        <v>2</v>
      </c>
      <c r="D459" s="1">
        <v>47959</v>
      </c>
      <c r="E459" s="1">
        <v>2398</v>
      </c>
      <c r="F459" s="1">
        <v>14</v>
      </c>
      <c r="G459" s="13">
        <f>Table[[#This Row],[Return Value]]/Table[[#This Row],[Sell Value]]</f>
        <v>5.8381984987489572E-3</v>
      </c>
      <c r="H459" s="1" t="s">
        <v>3</v>
      </c>
      <c r="I459" s="1">
        <v>50</v>
      </c>
      <c r="J459" s="14">
        <f>Table[[#This Row],[Sell Value]]*Table[[#This Row],[Selling Price]]</f>
        <v>119900</v>
      </c>
      <c r="K459" s="1" t="s">
        <v>4</v>
      </c>
      <c r="L459" s="1" t="s">
        <v>29</v>
      </c>
      <c r="M459" s="1" t="s">
        <v>22</v>
      </c>
      <c r="N459" s="1">
        <v>0.2</v>
      </c>
      <c r="O459" s="1" t="s">
        <v>82</v>
      </c>
      <c r="P459" s="1" t="s">
        <v>65</v>
      </c>
    </row>
    <row r="460" spans="1:16" x14ac:dyDescent="0.25">
      <c r="A460" s="1">
        <v>879182135</v>
      </c>
      <c r="B460" s="1" t="s">
        <v>32</v>
      </c>
      <c r="C460" s="1" t="s">
        <v>17</v>
      </c>
      <c r="D460" s="1">
        <v>47666</v>
      </c>
      <c r="E460" s="1">
        <v>1436</v>
      </c>
      <c r="F460" s="1">
        <v>40</v>
      </c>
      <c r="G460" s="13">
        <f>Table[[#This Row],[Return Value]]/Table[[#This Row],[Sell Value]]</f>
        <v>2.7855153203342618E-2</v>
      </c>
      <c r="H460" s="1" t="s">
        <v>3</v>
      </c>
      <c r="I460" s="1">
        <v>36</v>
      </c>
      <c r="J460" s="14">
        <f>Table[[#This Row],[Sell Value]]*Table[[#This Row],[Selling Price]]</f>
        <v>51696</v>
      </c>
      <c r="K460" s="1" t="s">
        <v>4</v>
      </c>
      <c r="L460" s="1" t="s">
        <v>35</v>
      </c>
      <c r="M460" s="1" t="s">
        <v>33</v>
      </c>
      <c r="N460" s="1">
        <v>0.2</v>
      </c>
      <c r="O460" s="1" t="s">
        <v>81</v>
      </c>
      <c r="P460" s="1" t="s">
        <v>63</v>
      </c>
    </row>
    <row r="461" spans="1:16" x14ac:dyDescent="0.25">
      <c r="A461" s="1">
        <v>568787359</v>
      </c>
      <c r="B461" s="1" t="s">
        <v>34</v>
      </c>
      <c r="C461" s="1" t="s">
        <v>2</v>
      </c>
      <c r="D461" s="1">
        <v>47925</v>
      </c>
      <c r="E461" s="1">
        <v>2306</v>
      </c>
      <c r="F461" s="1">
        <v>21</v>
      </c>
      <c r="G461" s="13">
        <f>Table[[#This Row],[Return Value]]/Table[[#This Row],[Sell Value]]</f>
        <v>9.1066782307025144E-3</v>
      </c>
      <c r="H461" s="1" t="s">
        <v>3</v>
      </c>
      <c r="I461" s="1">
        <v>36</v>
      </c>
      <c r="J461" s="14">
        <f>Table[[#This Row],[Sell Value]]*Table[[#This Row],[Selling Price]]</f>
        <v>83016</v>
      </c>
      <c r="K461" s="1" t="s">
        <v>4</v>
      </c>
      <c r="L461" s="1" t="s">
        <v>38</v>
      </c>
      <c r="M461" s="1" t="s">
        <v>14</v>
      </c>
      <c r="N461" s="1">
        <v>0.2</v>
      </c>
      <c r="O461" s="1" t="s">
        <v>81</v>
      </c>
      <c r="P461" s="1" t="s">
        <v>52</v>
      </c>
    </row>
    <row r="462" spans="1:16" x14ac:dyDescent="0.25">
      <c r="A462" s="1">
        <v>464033157</v>
      </c>
      <c r="B462" s="1" t="s">
        <v>37</v>
      </c>
      <c r="C462" s="1" t="s">
        <v>17</v>
      </c>
      <c r="D462" s="1">
        <v>47728</v>
      </c>
      <c r="E462" s="1">
        <v>4600</v>
      </c>
      <c r="F462" s="1">
        <v>48</v>
      </c>
      <c r="G462" s="13">
        <f>Table[[#This Row],[Return Value]]/Table[[#This Row],[Sell Value]]</f>
        <v>1.0434782608695653E-2</v>
      </c>
      <c r="H462" s="1" t="s">
        <v>3</v>
      </c>
      <c r="I462" s="1">
        <v>36</v>
      </c>
      <c r="J462" s="14">
        <f>Table[[#This Row],[Sell Value]]*Table[[#This Row],[Selling Price]]</f>
        <v>165600</v>
      </c>
      <c r="K462" s="1" t="s">
        <v>4</v>
      </c>
      <c r="L462" s="1" t="s">
        <v>41</v>
      </c>
      <c r="M462" s="1" t="s">
        <v>48</v>
      </c>
      <c r="N462" s="1">
        <v>0.2</v>
      </c>
      <c r="O462" s="1" t="s">
        <v>81</v>
      </c>
      <c r="P462" s="1" t="s">
        <v>39</v>
      </c>
    </row>
    <row r="463" spans="1:16" x14ac:dyDescent="0.25">
      <c r="A463" s="1">
        <v>222757131</v>
      </c>
      <c r="B463" s="1" t="s">
        <v>40</v>
      </c>
      <c r="C463" s="1" t="s">
        <v>17</v>
      </c>
      <c r="D463" s="1">
        <v>48266</v>
      </c>
      <c r="E463" s="1">
        <v>4672</v>
      </c>
      <c r="F463" s="1">
        <v>10</v>
      </c>
      <c r="G463" s="13">
        <f>Table[[#This Row],[Return Value]]/Table[[#This Row],[Sell Value]]</f>
        <v>2.1404109589041095E-3</v>
      </c>
      <c r="H463" s="1" t="s">
        <v>3</v>
      </c>
      <c r="I463" s="1">
        <v>37</v>
      </c>
      <c r="J463" s="14">
        <f>Table[[#This Row],[Sell Value]]*Table[[#This Row],[Selling Price]]</f>
        <v>172864</v>
      </c>
      <c r="K463" s="1" t="s">
        <v>4</v>
      </c>
      <c r="L463" s="1" t="s">
        <v>43</v>
      </c>
      <c r="M463" s="1" t="s">
        <v>10</v>
      </c>
      <c r="N463" s="1">
        <v>0.2</v>
      </c>
      <c r="O463" s="1" t="s">
        <v>81</v>
      </c>
      <c r="P463" s="1" t="s">
        <v>55</v>
      </c>
    </row>
    <row r="464" spans="1:16" x14ac:dyDescent="0.25">
      <c r="A464" s="1">
        <v>678942118</v>
      </c>
      <c r="B464" s="1" t="s">
        <v>42</v>
      </c>
      <c r="C464" s="1" t="s">
        <v>2</v>
      </c>
      <c r="D464" s="1">
        <v>47776</v>
      </c>
      <c r="E464" s="1">
        <v>2336</v>
      </c>
      <c r="F464" s="1">
        <v>10</v>
      </c>
      <c r="G464" s="13">
        <f>Table[[#This Row],[Return Value]]/Table[[#This Row],[Sell Value]]</f>
        <v>4.2808219178082189E-3</v>
      </c>
      <c r="H464" s="1" t="s">
        <v>28</v>
      </c>
      <c r="I464" s="1">
        <v>26</v>
      </c>
      <c r="J464" s="14">
        <f>Table[[#This Row],[Sell Value]]*Table[[#This Row],[Selling Price]]</f>
        <v>60736</v>
      </c>
      <c r="K464" s="1" t="s">
        <v>4</v>
      </c>
      <c r="L464" s="1" t="s">
        <v>47</v>
      </c>
      <c r="M464" s="1" t="s">
        <v>6</v>
      </c>
      <c r="N464" s="1">
        <v>0.2</v>
      </c>
      <c r="O464" s="1" t="s">
        <v>82</v>
      </c>
      <c r="P464" s="1" t="s">
        <v>60</v>
      </c>
    </row>
    <row r="465" spans="1:16" x14ac:dyDescent="0.25">
      <c r="A465" s="1">
        <v>641322587</v>
      </c>
      <c r="B465" s="1" t="s">
        <v>46</v>
      </c>
      <c r="C465" s="1" t="s">
        <v>2</v>
      </c>
      <c r="D465" s="1">
        <v>47964</v>
      </c>
      <c r="E465" s="1">
        <v>2312</v>
      </c>
      <c r="F465" s="1">
        <v>37</v>
      </c>
      <c r="G465" s="13">
        <f>Table[[#This Row],[Return Value]]/Table[[#This Row],[Sell Value]]</f>
        <v>1.6003460207612456E-2</v>
      </c>
      <c r="H465" s="1" t="s">
        <v>3</v>
      </c>
      <c r="I465" s="1">
        <v>22</v>
      </c>
      <c r="J465" s="14">
        <f>Table[[#This Row],[Sell Value]]*Table[[#This Row],[Selling Price]]</f>
        <v>50864</v>
      </c>
      <c r="K465" s="1" t="s">
        <v>4</v>
      </c>
      <c r="L465" s="1" t="s">
        <v>51</v>
      </c>
      <c r="M465" s="1" t="s">
        <v>14</v>
      </c>
      <c r="N465" s="1">
        <v>0.2</v>
      </c>
      <c r="O465" s="1" t="s">
        <v>81</v>
      </c>
      <c r="P465" s="1" t="s">
        <v>39</v>
      </c>
    </row>
    <row r="466" spans="1:16" x14ac:dyDescent="0.25">
      <c r="A466" s="1">
        <v>405247412</v>
      </c>
      <c r="B466" s="1" t="s">
        <v>50</v>
      </c>
      <c r="C466" s="1" t="s">
        <v>2</v>
      </c>
      <c r="D466" s="1">
        <v>48123</v>
      </c>
      <c r="E466" s="1">
        <v>2574</v>
      </c>
      <c r="F466" s="1">
        <v>48</v>
      </c>
      <c r="G466" s="13">
        <f>Table[[#This Row],[Return Value]]/Table[[#This Row],[Sell Value]]</f>
        <v>1.8648018648018648E-2</v>
      </c>
      <c r="H466" s="1" t="s">
        <v>3</v>
      </c>
      <c r="I466" s="1">
        <v>23</v>
      </c>
      <c r="J466" s="14">
        <f>Table[[#This Row],[Sell Value]]*Table[[#This Row],[Selling Price]]</f>
        <v>59202</v>
      </c>
      <c r="K466" s="1" t="s">
        <v>4</v>
      </c>
      <c r="L466" s="1" t="s">
        <v>54</v>
      </c>
      <c r="M466" s="1" t="s">
        <v>61</v>
      </c>
      <c r="N466" s="1">
        <v>0.2</v>
      </c>
      <c r="O466" s="1" t="s">
        <v>81</v>
      </c>
      <c r="P466" s="1" t="s">
        <v>65</v>
      </c>
    </row>
    <row r="467" spans="1:16" x14ac:dyDescent="0.25">
      <c r="A467" s="1">
        <v>953792928</v>
      </c>
      <c r="B467" s="1" t="s">
        <v>53</v>
      </c>
      <c r="C467" s="1" t="s">
        <v>2</v>
      </c>
      <c r="D467" s="1">
        <v>47512</v>
      </c>
      <c r="E467" s="1">
        <v>2235</v>
      </c>
      <c r="F467" s="1">
        <v>23</v>
      </c>
      <c r="G467" s="13">
        <f>Table[[#This Row],[Return Value]]/Table[[#This Row],[Sell Value]]</f>
        <v>1.029082774049217E-2</v>
      </c>
      <c r="H467" s="1" t="s">
        <v>3</v>
      </c>
      <c r="I467" s="1">
        <v>20</v>
      </c>
      <c r="J467" s="14">
        <f>Table[[#This Row],[Sell Value]]*Table[[#This Row],[Selling Price]]</f>
        <v>44700</v>
      </c>
      <c r="K467" s="1" t="s">
        <v>4</v>
      </c>
      <c r="L467" s="1" t="s">
        <v>57</v>
      </c>
      <c r="M467" s="1" t="s">
        <v>33</v>
      </c>
      <c r="N467" s="1">
        <v>0.2</v>
      </c>
      <c r="O467" s="1" t="s">
        <v>81</v>
      </c>
      <c r="P467" s="1" t="s">
        <v>36</v>
      </c>
    </row>
    <row r="468" spans="1:16" x14ac:dyDescent="0.25">
      <c r="A468" s="1">
        <v>930811068</v>
      </c>
      <c r="B468" s="1" t="s">
        <v>56</v>
      </c>
      <c r="C468" s="1" t="s">
        <v>2</v>
      </c>
      <c r="D468" s="1">
        <v>47616</v>
      </c>
      <c r="E468" s="1">
        <v>4045</v>
      </c>
      <c r="F468" s="1">
        <v>11</v>
      </c>
      <c r="G468" s="13">
        <f>Table[[#This Row],[Return Value]]/Table[[#This Row],[Sell Value]]</f>
        <v>2.719406674907293E-3</v>
      </c>
      <c r="H468" s="1" t="s">
        <v>3</v>
      </c>
      <c r="I468" s="1">
        <v>28</v>
      </c>
      <c r="J468" s="14">
        <f>Table[[#This Row],[Sell Value]]*Table[[#This Row],[Selling Price]]</f>
        <v>113260</v>
      </c>
      <c r="K468" s="1" t="s">
        <v>4</v>
      </c>
      <c r="L468" s="1" t="s">
        <v>5</v>
      </c>
      <c r="M468" s="1" t="s">
        <v>22</v>
      </c>
      <c r="N468" s="1">
        <v>0.2</v>
      </c>
      <c r="O468" s="1" t="s">
        <v>82</v>
      </c>
      <c r="P468" s="1" t="s">
        <v>15</v>
      </c>
    </row>
    <row r="469" spans="1:16" x14ac:dyDescent="0.25">
      <c r="A469" s="1">
        <v>391686909</v>
      </c>
      <c r="B469" s="1" t="s">
        <v>1</v>
      </c>
      <c r="C469" s="1" t="s">
        <v>2</v>
      </c>
      <c r="D469" s="1">
        <v>47635</v>
      </c>
      <c r="E469" s="1">
        <v>4678</v>
      </c>
      <c r="F469" s="1">
        <v>42</v>
      </c>
      <c r="G469" s="13">
        <f>Table[[#This Row],[Return Value]]/Table[[#This Row],[Sell Value]]</f>
        <v>8.9781958101752893E-3</v>
      </c>
      <c r="H469" s="1" t="s">
        <v>3</v>
      </c>
      <c r="I469" s="1">
        <v>42</v>
      </c>
      <c r="J469" s="14">
        <f>Table[[#This Row],[Sell Value]]*Table[[#This Row],[Selling Price]]</f>
        <v>196476</v>
      </c>
      <c r="K469" s="1" t="s">
        <v>4</v>
      </c>
      <c r="L469" s="1" t="s">
        <v>9</v>
      </c>
      <c r="M469" s="1" t="s">
        <v>14</v>
      </c>
      <c r="N469" s="1">
        <v>0.2</v>
      </c>
      <c r="O469" s="1" t="s">
        <v>81</v>
      </c>
      <c r="P469" s="1" t="s">
        <v>55</v>
      </c>
    </row>
    <row r="470" spans="1:16" x14ac:dyDescent="0.25">
      <c r="A470" s="1">
        <v>901495045</v>
      </c>
      <c r="B470" s="1" t="s">
        <v>8</v>
      </c>
      <c r="C470" s="1" t="s">
        <v>2</v>
      </c>
      <c r="D470" s="1">
        <v>47897</v>
      </c>
      <c r="E470" s="1">
        <v>4106</v>
      </c>
      <c r="F470" s="1">
        <v>44</v>
      </c>
      <c r="G470" s="13">
        <f>Table[[#This Row],[Return Value]]/Table[[#This Row],[Sell Value]]</f>
        <v>1.071602532878714E-2</v>
      </c>
      <c r="H470" s="1" t="s">
        <v>3</v>
      </c>
      <c r="I470" s="1">
        <v>38</v>
      </c>
      <c r="J470" s="14">
        <f>Table[[#This Row],[Sell Value]]*Table[[#This Row],[Selling Price]]</f>
        <v>156028</v>
      </c>
      <c r="K470" s="1" t="s">
        <v>4</v>
      </c>
      <c r="L470" s="1" t="s">
        <v>13</v>
      </c>
      <c r="M470" s="1" t="s">
        <v>48</v>
      </c>
      <c r="N470" s="1">
        <v>0.2</v>
      </c>
      <c r="O470" s="1" t="s">
        <v>82</v>
      </c>
      <c r="P470" s="1" t="s">
        <v>62</v>
      </c>
    </row>
    <row r="471" spans="1:16" x14ac:dyDescent="0.25">
      <c r="A471" s="1">
        <v>92601973</v>
      </c>
      <c r="B471" s="1" t="s">
        <v>12</v>
      </c>
      <c r="C471" s="1" t="s">
        <v>2</v>
      </c>
      <c r="D471" s="1">
        <v>47510</v>
      </c>
      <c r="E471" s="1">
        <v>2583</v>
      </c>
      <c r="F471" s="1">
        <v>19</v>
      </c>
      <c r="G471" s="13">
        <f>Table[[#This Row],[Return Value]]/Table[[#This Row],[Sell Value]]</f>
        <v>7.3557878435927216E-3</v>
      </c>
      <c r="H471" s="1" t="s">
        <v>3</v>
      </c>
      <c r="I471" s="1">
        <v>40</v>
      </c>
      <c r="J471" s="14">
        <f>Table[[#This Row],[Sell Value]]*Table[[#This Row],[Selling Price]]</f>
        <v>103320</v>
      </c>
      <c r="K471" s="1" t="s">
        <v>4</v>
      </c>
      <c r="L471" s="1" t="s">
        <v>18</v>
      </c>
      <c r="M471" s="1" t="s">
        <v>30</v>
      </c>
      <c r="N471" s="1">
        <v>0.2</v>
      </c>
      <c r="O471" s="1" t="s">
        <v>82</v>
      </c>
      <c r="P471" s="1" t="s">
        <v>19</v>
      </c>
    </row>
    <row r="472" spans="1:16" x14ac:dyDescent="0.25">
      <c r="A472" s="1">
        <v>876050770</v>
      </c>
      <c r="B472" s="1" t="s">
        <v>16</v>
      </c>
      <c r="C472" s="1" t="s">
        <v>17</v>
      </c>
      <c r="D472" s="1">
        <v>47992</v>
      </c>
      <c r="E472" s="1">
        <v>3247</v>
      </c>
      <c r="F472" s="1">
        <v>47</v>
      </c>
      <c r="G472" s="13">
        <f>Table[[#This Row],[Return Value]]/Table[[#This Row],[Sell Value]]</f>
        <v>1.4474899907607022E-2</v>
      </c>
      <c r="H472" s="1" t="s">
        <v>3</v>
      </c>
      <c r="I472" s="1">
        <v>36</v>
      </c>
      <c r="J472" s="14">
        <f>Table[[#This Row],[Sell Value]]*Table[[#This Row],[Selling Price]]</f>
        <v>116892</v>
      </c>
      <c r="K472" s="1" t="s">
        <v>4</v>
      </c>
      <c r="L472" s="1" t="s">
        <v>21</v>
      </c>
      <c r="M472" s="1" t="s">
        <v>10</v>
      </c>
      <c r="N472" s="1">
        <v>0.2</v>
      </c>
      <c r="O472" s="1" t="s">
        <v>81</v>
      </c>
      <c r="P472" s="1" t="s">
        <v>49</v>
      </c>
    </row>
    <row r="473" spans="1:16" x14ac:dyDescent="0.25">
      <c r="A473" s="1">
        <v>221497961</v>
      </c>
      <c r="B473" s="1" t="s">
        <v>20</v>
      </c>
      <c r="C473" s="1" t="s">
        <v>17</v>
      </c>
      <c r="D473" s="1">
        <v>47853</v>
      </c>
      <c r="E473" s="1">
        <v>3559</v>
      </c>
      <c r="F473" s="1">
        <v>41</v>
      </c>
      <c r="G473" s="13">
        <f>Table[[#This Row],[Return Value]]/Table[[#This Row],[Sell Value]]</f>
        <v>1.152008991289688E-2</v>
      </c>
      <c r="H473" s="1" t="s">
        <v>3</v>
      </c>
      <c r="I473" s="1">
        <v>40</v>
      </c>
      <c r="J473" s="14">
        <f>Table[[#This Row],[Sell Value]]*Table[[#This Row],[Selling Price]]</f>
        <v>142360</v>
      </c>
      <c r="K473" s="1" t="s">
        <v>4</v>
      </c>
      <c r="L473" s="1" t="s">
        <v>25</v>
      </c>
      <c r="M473" s="1" t="s">
        <v>44</v>
      </c>
      <c r="N473" s="1">
        <v>0.2</v>
      </c>
      <c r="O473" s="1" t="s">
        <v>81</v>
      </c>
      <c r="P473" s="1" t="s">
        <v>7</v>
      </c>
    </row>
    <row r="474" spans="1:16" x14ac:dyDescent="0.25">
      <c r="A474" s="1">
        <v>422090717</v>
      </c>
      <c r="B474" s="1" t="s">
        <v>24</v>
      </c>
      <c r="C474" s="1" t="s">
        <v>2</v>
      </c>
      <c r="D474" s="1">
        <v>47892</v>
      </c>
      <c r="E474" s="1">
        <v>3994</v>
      </c>
      <c r="F474" s="1">
        <v>26</v>
      </c>
      <c r="G474" s="13">
        <f>Table[[#This Row],[Return Value]]/Table[[#This Row],[Sell Value]]</f>
        <v>6.5097646469704559E-3</v>
      </c>
      <c r="H474" s="1" t="s">
        <v>3</v>
      </c>
      <c r="I474" s="1">
        <v>45</v>
      </c>
      <c r="J474" s="14">
        <f>Table[[#This Row],[Sell Value]]*Table[[#This Row],[Selling Price]]</f>
        <v>179730</v>
      </c>
      <c r="K474" s="1" t="s">
        <v>4</v>
      </c>
      <c r="L474" s="1" t="s">
        <v>29</v>
      </c>
      <c r="M474" s="1" t="s">
        <v>33</v>
      </c>
      <c r="N474" s="1">
        <v>0.2</v>
      </c>
      <c r="O474" s="1" t="s">
        <v>81</v>
      </c>
      <c r="P474" s="1" t="s">
        <v>39</v>
      </c>
    </row>
    <row r="475" spans="1:16" x14ac:dyDescent="0.25">
      <c r="A475" s="1">
        <v>626629043</v>
      </c>
      <c r="B475" s="1" t="s">
        <v>27</v>
      </c>
      <c r="C475" s="1" t="s">
        <v>2</v>
      </c>
      <c r="D475" s="1">
        <v>47558</v>
      </c>
      <c r="E475" s="1">
        <v>2467</v>
      </c>
      <c r="F475" s="1">
        <v>17</v>
      </c>
      <c r="G475" s="13">
        <f>Table[[#This Row],[Return Value]]/Table[[#This Row],[Sell Value]]</f>
        <v>6.8909606809890557E-3</v>
      </c>
      <c r="H475" s="1" t="s">
        <v>3</v>
      </c>
      <c r="I475" s="1">
        <v>35</v>
      </c>
      <c r="J475" s="14">
        <f>Table[[#This Row],[Sell Value]]*Table[[#This Row],[Selling Price]]</f>
        <v>86345</v>
      </c>
      <c r="K475" s="1" t="s">
        <v>4</v>
      </c>
      <c r="L475" s="1" t="s">
        <v>29</v>
      </c>
      <c r="M475" s="1" t="s">
        <v>59</v>
      </c>
      <c r="N475" s="1">
        <v>0.2</v>
      </c>
      <c r="O475" s="1" t="s">
        <v>82</v>
      </c>
      <c r="P475" s="1" t="s">
        <v>60</v>
      </c>
    </row>
    <row r="476" spans="1:16" x14ac:dyDescent="0.25">
      <c r="A476" s="1">
        <v>854559162</v>
      </c>
      <c r="B476" s="1" t="s">
        <v>32</v>
      </c>
      <c r="C476" s="1" t="s">
        <v>17</v>
      </c>
      <c r="D476" s="1">
        <v>48385</v>
      </c>
      <c r="E476" s="1">
        <v>1828</v>
      </c>
      <c r="F476" s="1">
        <v>15</v>
      </c>
      <c r="G476" s="13">
        <f>Table[[#This Row],[Return Value]]/Table[[#This Row],[Sell Value]]</f>
        <v>8.2056892778993428E-3</v>
      </c>
      <c r="H476" s="1" t="s">
        <v>3</v>
      </c>
      <c r="I476" s="1">
        <v>41</v>
      </c>
      <c r="J476" s="14">
        <f>Table[[#This Row],[Sell Value]]*Table[[#This Row],[Selling Price]]</f>
        <v>74948</v>
      </c>
      <c r="K476" s="1" t="s">
        <v>4</v>
      </c>
      <c r="L476" s="1" t="s">
        <v>35</v>
      </c>
      <c r="M476" s="1" t="s">
        <v>61</v>
      </c>
      <c r="N476" s="1">
        <v>0.2</v>
      </c>
      <c r="O476" s="1" t="s">
        <v>81</v>
      </c>
      <c r="P476" s="1" t="s">
        <v>36</v>
      </c>
    </row>
    <row r="477" spans="1:16" x14ac:dyDescent="0.25">
      <c r="A477" s="1">
        <v>753171254</v>
      </c>
      <c r="B477" s="1" t="s">
        <v>34</v>
      </c>
      <c r="C477" s="1" t="s">
        <v>2</v>
      </c>
      <c r="D477" s="1">
        <v>48471</v>
      </c>
      <c r="E477" s="1">
        <v>2132</v>
      </c>
      <c r="F477" s="1">
        <v>18</v>
      </c>
      <c r="G477" s="13">
        <f>Table[[#This Row],[Return Value]]/Table[[#This Row],[Sell Value]]</f>
        <v>8.4427767354596627E-3</v>
      </c>
      <c r="H477" s="1" t="s">
        <v>3</v>
      </c>
      <c r="I477" s="1">
        <v>47</v>
      </c>
      <c r="J477" s="14">
        <f>Table[[#This Row],[Sell Value]]*Table[[#This Row],[Selling Price]]</f>
        <v>100204</v>
      </c>
      <c r="K477" s="1" t="s">
        <v>4</v>
      </c>
      <c r="L477" s="1" t="s">
        <v>38</v>
      </c>
      <c r="M477" s="1" t="s">
        <v>10</v>
      </c>
      <c r="N477" s="1">
        <v>0.2</v>
      </c>
      <c r="O477" s="1" t="s">
        <v>82</v>
      </c>
      <c r="P477" s="1" t="s">
        <v>65</v>
      </c>
    </row>
    <row r="478" spans="1:16" x14ac:dyDescent="0.25">
      <c r="A478" s="1">
        <v>317369305</v>
      </c>
      <c r="B478" s="1" t="s">
        <v>37</v>
      </c>
      <c r="C478" s="1" t="s">
        <v>17</v>
      </c>
      <c r="D478" s="1">
        <v>47587</v>
      </c>
      <c r="E478" s="1">
        <v>4297</v>
      </c>
      <c r="F478" s="1">
        <v>49</v>
      </c>
      <c r="G478" s="13">
        <f>Table[[#This Row],[Return Value]]/Table[[#This Row],[Sell Value]]</f>
        <v>1.1403304631138002E-2</v>
      </c>
      <c r="H478" s="1" t="s">
        <v>3</v>
      </c>
      <c r="I478" s="1">
        <v>36</v>
      </c>
      <c r="J478" s="14">
        <f>Table[[#This Row],[Sell Value]]*Table[[#This Row],[Selling Price]]</f>
        <v>154692</v>
      </c>
      <c r="K478" s="1" t="s">
        <v>4</v>
      </c>
      <c r="L478" s="1" t="s">
        <v>41</v>
      </c>
      <c r="M478" s="1" t="s">
        <v>59</v>
      </c>
      <c r="N478" s="1">
        <v>0.2</v>
      </c>
      <c r="O478" s="1" t="s">
        <v>81</v>
      </c>
      <c r="P478" s="1" t="s">
        <v>39</v>
      </c>
    </row>
    <row r="479" spans="1:16" x14ac:dyDescent="0.25">
      <c r="A479" s="1">
        <v>677109582</v>
      </c>
      <c r="B479" s="1" t="s">
        <v>40</v>
      </c>
      <c r="C479" s="1" t="s">
        <v>17</v>
      </c>
      <c r="D479" s="1">
        <v>48145</v>
      </c>
      <c r="E479" s="1">
        <v>4537</v>
      </c>
      <c r="F479" s="1">
        <v>48</v>
      </c>
      <c r="G479" s="13">
        <f>Table[[#This Row],[Return Value]]/Table[[#This Row],[Sell Value]]</f>
        <v>1.0579678201454706E-2</v>
      </c>
      <c r="H479" s="1" t="s">
        <v>3</v>
      </c>
      <c r="I479" s="1">
        <v>35</v>
      </c>
      <c r="J479" s="14">
        <f>Table[[#This Row],[Sell Value]]*Table[[#This Row],[Selling Price]]</f>
        <v>158795</v>
      </c>
      <c r="K479" s="1" t="s">
        <v>4</v>
      </c>
      <c r="L479" s="1" t="s">
        <v>43</v>
      </c>
      <c r="M479" s="1" t="s">
        <v>61</v>
      </c>
      <c r="N479" s="1">
        <v>0.2</v>
      </c>
      <c r="O479" s="1" t="s">
        <v>81</v>
      </c>
      <c r="P479" s="1" t="s">
        <v>49</v>
      </c>
    </row>
    <row r="480" spans="1:16" x14ac:dyDescent="0.25">
      <c r="A480" s="1">
        <v>526001079</v>
      </c>
      <c r="B480" s="1" t="s">
        <v>42</v>
      </c>
      <c r="C480" s="1" t="s">
        <v>2</v>
      </c>
      <c r="D480" s="1">
        <v>48131</v>
      </c>
      <c r="E480" s="1">
        <v>2411</v>
      </c>
      <c r="F480" s="1">
        <v>25</v>
      </c>
      <c r="G480" s="13">
        <f>Table[[#This Row],[Return Value]]/Table[[#This Row],[Sell Value]]</f>
        <v>1.0369141435089175E-2</v>
      </c>
      <c r="H480" s="1" t="s">
        <v>3</v>
      </c>
      <c r="I480" s="1">
        <v>20</v>
      </c>
      <c r="J480" s="14">
        <f>Table[[#This Row],[Sell Value]]*Table[[#This Row],[Selling Price]]</f>
        <v>48220</v>
      </c>
      <c r="K480" s="1" t="s">
        <v>4</v>
      </c>
      <c r="L480" s="1" t="s">
        <v>47</v>
      </c>
      <c r="M480" s="1" t="s">
        <v>61</v>
      </c>
      <c r="N480" s="1">
        <v>0.2</v>
      </c>
      <c r="O480" s="1" t="s">
        <v>82</v>
      </c>
      <c r="P480" s="1" t="s">
        <v>7</v>
      </c>
    </row>
    <row r="481" spans="1:16" x14ac:dyDescent="0.25">
      <c r="A481" s="1">
        <v>503254489</v>
      </c>
      <c r="B481" s="1" t="s">
        <v>46</v>
      </c>
      <c r="C481" s="1" t="s">
        <v>2</v>
      </c>
      <c r="D481" s="1">
        <v>47680</v>
      </c>
      <c r="E481" s="1">
        <v>1364</v>
      </c>
      <c r="F481" s="1">
        <v>20</v>
      </c>
      <c r="G481" s="13">
        <f>Table[[#This Row],[Return Value]]/Table[[#This Row],[Sell Value]]</f>
        <v>1.466275659824047E-2</v>
      </c>
      <c r="H481" s="1" t="s">
        <v>3</v>
      </c>
      <c r="I481" s="1">
        <v>22</v>
      </c>
      <c r="J481" s="14">
        <f>Table[[#This Row],[Sell Value]]*Table[[#This Row],[Selling Price]]</f>
        <v>30008</v>
      </c>
      <c r="K481" s="1" t="s">
        <v>4</v>
      </c>
      <c r="L481" s="1" t="s">
        <v>51</v>
      </c>
      <c r="M481" s="1" t="s">
        <v>48</v>
      </c>
      <c r="N481" s="1">
        <v>0.2</v>
      </c>
      <c r="O481" s="1" t="s">
        <v>81</v>
      </c>
      <c r="P481" s="1" t="s">
        <v>31</v>
      </c>
    </row>
    <row r="482" spans="1:16" x14ac:dyDescent="0.25">
      <c r="A482" s="1">
        <v>336643474</v>
      </c>
      <c r="B482" s="1" t="s">
        <v>12</v>
      </c>
      <c r="C482" s="1" t="s">
        <v>2</v>
      </c>
      <c r="D482" s="1">
        <v>48359</v>
      </c>
      <c r="E482" s="1">
        <v>3730</v>
      </c>
      <c r="F482" s="1">
        <v>22</v>
      </c>
      <c r="G482" s="13">
        <f>Table[[#This Row],[Return Value]]/Table[[#This Row],[Sell Value]]</f>
        <v>5.8981233243967828E-3</v>
      </c>
      <c r="H482" s="1" t="s">
        <v>3</v>
      </c>
      <c r="I482" s="1">
        <v>39</v>
      </c>
      <c r="J482" s="14">
        <f>Table[[#This Row],[Sell Value]]*Table[[#This Row],[Selling Price]]</f>
        <v>145470</v>
      </c>
      <c r="K482" s="1" t="s">
        <v>4</v>
      </c>
      <c r="L482" s="1" t="s">
        <v>54</v>
      </c>
      <c r="M482" s="1" t="s">
        <v>6</v>
      </c>
      <c r="N482" s="1">
        <v>0.2</v>
      </c>
      <c r="O482" s="1" t="s">
        <v>82</v>
      </c>
      <c r="P482" s="1" t="s">
        <v>60</v>
      </c>
    </row>
    <row r="483" spans="1:16" x14ac:dyDescent="0.25">
      <c r="A483" s="1">
        <v>788965174</v>
      </c>
      <c r="B483" s="1" t="s">
        <v>16</v>
      </c>
      <c r="C483" s="1" t="s">
        <v>17</v>
      </c>
      <c r="D483" s="1">
        <v>47683</v>
      </c>
      <c r="E483" s="1">
        <v>4230</v>
      </c>
      <c r="F483" s="1">
        <v>30</v>
      </c>
      <c r="G483" s="13">
        <f>Table[[#This Row],[Return Value]]/Table[[#This Row],[Sell Value]]</f>
        <v>7.0921985815602835E-3</v>
      </c>
      <c r="H483" s="1" t="s">
        <v>3</v>
      </c>
      <c r="I483" s="1">
        <v>40</v>
      </c>
      <c r="J483" s="14">
        <f>Table[[#This Row],[Sell Value]]*Table[[#This Row],[Selling Price]]</f>
        <v>169200</v>
      </c>
      <c r="K483" s="1" t="s">
        <v>4</v>
      </c>
      <c r="L483" s="1" t="s">
        <v>57</v>
      </c>
      <c r="M483" s="1" t="s">
        <v>30</v>
      </c>
      <c r="N483" s="1">
        <v>0.2</v>
      </c>
      <c r="O483" s="1" t="s">
        <v>81</v>
      </c>
      <c r="P483" s="1" t="s">
        <v>49</v>
      </c>
    </row>
    <row r="484" spans="1:16" x14ac:dyDescent="0.25">
      <c r="A484" s="1">
        <v>373055551</v>
      </c>
      <c r="B484" s="1" t="s">
        <v>20</v>
      </c>
      <c r="C484" s="1" t="s">
        <v>17</v>
      </c>
      <c r="D484" s="1">
        <v>48275</v>
      </c>
      <c r="E484" s="1">
        <v>3009</v>
      </c>
      <c r="F484" s="1">
        <v>33</v>
      </c>
      <c r="G484" s="13">
        <f>Table[[#This Row],[Return Value]]/Table[[#This Row],[Sell Value]]</f>
        <v>1.0967098703888335E-2</v>
      </c>
      <c r="H484" s="1" t="s">
        <v>28</v>
      </c>
      <c r="I484" s="1">
        <v>41</v>
      </c>
      <c r="J484" s="14">
        <f>Table[[#This Row],[Sell Value]]*Table[[#This Row],[Selling Price]]</f>
        <v>123369</v>
      </c>
      <c r="K484" s="1" t="s">
        <v>4</v>
      </c>
      <c r="L484" s="1" t="s">
        <v>5</v>
      </c>
      <c r="M484" s="1" t="s">
        <v>26</v>
      </c>
      <c r="N484" s="1">
        <v>0.2</v>
      </c>
      <c r="O484" s="1" t="s">
        <v>81</v>
      </c>
      <c r="P484" s="1" t="s">
        <v>58</v>
      </c>
    </row>
    <row r="485" spans="1:16" x14ac:dyDescent="0.25">
      <c r="A485" s="1">
        <v>547423623</v>
      </c>
      <c r="B485" s="1" t="s">
        <v>24</v>
      </c>
      <c r="C485" s="1" t="s">
        <v>2</v>
      </c>
      <c r="D485" s="1">
        <v>47872</v>
      </c>
      <c r="E485" s="1">
        <v>2994</v>
      </c>
      <c r="F485" s="1">
        <v>22</v>
      </c>
      <c r="G485" s="13">
        <f>Table[[#This Row],[Return Value]]/Table[[#This Row],[Sell Value]]</f>
        <v>7.3480293921175683E-3</v>
      </c>
      <c r="H485" s="1" t="s">
        <v>3</v>
      </c>
      <c r="I485" s="1">
        <v>38</v>
      </c>
      <c r="J485" s="14">
        <f>Table[[#This Row],[Sell Value]]*Table[[#This Row],[Selling Price]]</f>
        <v>113772</v>
      </c>
      <c r="K485" s="1" t="s">
        <v>4</v>
      </c>
      <c r="L485" s="1" t="s">
        <v>9</v>
      </c>
      <c r="M485" s="1" t="s">
        <v>48</v>
      </c>
      <c r="N485" s="1">
        <v>0.2</v>
      </c>
      <c r="O485" s="1" t="s">
        <v>82</v>
      </c>
      <c r="P485" s="1" t="s">
        <v>63</v>
      </c>
    </row>
    <row r="486" spans="1:16" x14ac:dyDescent="0.25">
      <c r="A486" s="1">
        <v>141008728</v>
      </c>
      <c r="B486" s="1" t="s">
        <v>27</v>
      </c>
      <c r="C486" s="1" t="s">
        <v>2</v>
      </c>
      <c r="D486" s="1">
        <v>48119</v>
      </c>
      <c r="E486" s="1">
        <v>3488</v>
      </c>
      <c r="F486" s="1">
        <v>21</v>
      </c>
      <c r="G486" s="13">
        <f>Table[[#This Row],[Return Value]]/Table[[#This Row],[Sell Value]]</f>
        <v>6.0206422018348627E-3</v>
      </c>
      <c r="H486" s="1" t="s">
        <v>3</v>
      </c>
      <c r="I486" s="1">
        <v>47</v>
      </c>
      <c r="J486" s="14">
        <f>Table[[#This Row],[Sell Value]]*Table[[#This Row],[Selling Price]]</f>
        <v>163936</v>
      </c>
      <c r="K486" s="1" t="s">
        <v>4</v>
      </c>
      <c r="L486" s="1" t="s">
        <v>13</v>
      </c>
      <c r="M486" s="1" t="s">
        <v>26</v>
      </c>
      <c r="N486" s="1">
        <v>0.2</v>
      </c>
      <c r="O486" s="1" t="s">
        <v>81</v>
      </c>
      <c r="P486" s="1" t="s">
        <v>39</v>
      </c>
    </row>
    <row r="487" spans="1:16" x14ac:dyDescent="0.25">
      <c r="A487" s="1">
        <v>139440887</v>
      </c>
      <c r="B487" s="1" t="s">
        <v>32</v>
      </c>
      <c r="C487" s="1" t="s">
        <v>17</v>
      </c>
      <c r="D487" s="1">
        <v>47694</v>
      </c>
      <c r="E487" s="1">
        <v>1995</v>
      </c>
      <c r="F487" s="1">
        <v>37</v>
      </c>
      <c r="G487" s="13">
        <f>Table[[#This Row],[Return Value]]/Table[[#This Row],[Sell Value]]</f>
        <v>1.8546365914786967E-2</v>
      </c>
      <c r="H487" s="1" t="s">
        <v>3</v>
      </c>
      <c r="I487" s="1">
        <v>27</v>
      </c>
      <c r="J487" s="14">
        <f>Table[[#This Row],[Sell Value]]*Table[[#This Row],[Selling Price]]</f>
        <v>53865</v>
      </c>
      <c r="K487" s="1" t="s">
        <v>4</v>
      </c>
      <c r="L487" s="1" t="s">
        <v>18</v>
      </c>
      <c r="M487" s="1" t="s">
        <v>59</v>
      </c>
      <c r="N487" s="1">
        <v>0.2</v>
      </c>
      <c r="O487" s="1" t="s">
        <v>82</v>
      </c>
      <c r="P487" s="1" t="s">
        <v>7</v>
      </c>
    </row>
    <row r="488" spans="1:16" x14ac:dyDescent="0.25">
      <c r="A488" s="1">
        <v>99391027</v>
      </c>
      <c r="B488" s="1" t="s">
        <v>34</v>
      </c>
      <c r="C488" s="1" t="s">
        <v>2</v>
      </c>
      <c r="D488" s="1">
        <v>48504</v>
      </c>
      <c r="E488" s="1">
        <v>1166</v>
      </c>
      <c r="F488" s="1">
        <v>27</v>
      </c>
      <c r="G488" s="13">
        <f>Table[[#This Row],[Return Value]]/Table[[#This Row],[Sell Value]]</f>
        <v>2.3156089193825044E-2</v>
      </c>
      <c r="H488" s="1" t="s">
        <v>28</v>
      </c>
      <c r="I488" s="1">
        <v>20</v>
      </c>
      <c r="J488" s="14">
        <f>Table[[#This Row],[Sell Value]]*Table[[#This Row],[Selling Price]]</f>
        <v>23320</v>
      </c>
      <c r="K488" s="1" t="s">
        <v>4</v>
      </c>
      <c r="L488" s="1" t="s">
        <v>21</v>
      </c>
      <c r="M488" s="1" t="s">
        <v>30</v>
      </c>
      <c r="N488" s="1">
        <v>0.2</v>
      </c>
      <c r="O488" s="1" t="s">
        <v>82</v>
      </c>
      <c r="P488" s="1" t="s">
        <v>45</v>
      </c>
    </row>
    <row r="489" spans="1:16" x14ac:dyDescent="0.25">
      <c r="A489" s="1">
        <v>692580597</v>
      </c>
      <c r="B489" s="1" t="s">
        <v>37</v>
      </c>
      <c r="C489" s="1" t="s">
        <v>17</v>
      </c>
      <c r="D489" s="1">
        <v>47787</v>
      </c>
      <c r="E489" s="1">
        <v>1440</v>
      </c>
      <c r="F489" s="1">
        <v>26</v>
      </c>
      <c r="G489" s="13">
        <f>Table[[#This Row],[Return Value]]/Table[[#This Row],[Sell Value]]</f>
        <v>1.8055555555555554E-2</v>
      </c>
      <c r="H489" s="1" t="s">
        <v>3</v>
      </c>
      <c r="I489" s="1">
        <v>39</v>
      </c>
      <c r="J489" s="14">
        <f>Table[[#This Row],[Sell Value]]*Table[[#This Row],[Selling Price]]</f>
        <v>56160</v>
      </c>
      <c r="K489" s="1" t="s">
        <v>4</v>
      </c>
      <c r="L489" s="1" t="s">
        <v>25</v>
      </c>
      <c r="M489" s="1" t="s">
        <v>44</v>
      </c>
      <c r="N489" s="1">
        <v>0.2</v>
      </c>
      <c r="O489" s="1" t="s">
        <v>81</v>
      </c>
      <c r="P489" s="1" t="s">
        <v>60</v>
      </c>
    </row>
    <row r="490" spans="1:16" x14ac:dyDescent="0.25">
      <c r="A490" s="1">
        <v>509927051</v>
      </c>
      <c r="B490" s="1" t="s">
        <v>40</v>
      </c>
      <c r="C490" s="1" t="s">
        <v>17</v>
      </c>
      <c r="D490" s="1">
        <v>48335</v>
      </c>
      <c r="E490" s="1">
        <v>2506</v>
      </c>
      <c r="F490" s="1">
        <v>25</v>
      </c>
      <c r="G490" s="13">
        <f>Table[[#This Row],[Return Value]]/Table[[#This Row],[Sell Value]]</f>
        <v>9.9760574620909818E-3</v>
      </c>
      <c r="H490" s="1" t="s">
        <v>3</v>
      </c>
      <c r="I490" s="1">
        <v>20</v>
      </c>
      <c r="J490" s="14">
        <f>Table[[#This Row],[Sell Value]]*Table[[#This Row],[Selling Price]]</f>
        <v>50120</v>
      </c>
      <c r="K490" s="1" t="s">
        <v>4</v>
      </c>
      <c r="L490" s="1" t="s">
        <v>29</v>
      </c>
      <c r="M490" s="1" t="s">
        <v>30</v>
      </c>
      <c r="N490" s="1">
        <v>0.2</v>
      </c>
      <c r="O490" s="1" t="s">
        <v>81</v>
      </c>
      <c r="P490" s="1" t="s">
        <v>36</v>
      </c>
    </row>
    <row r="491" spans="1:16" x14ac:dyDescent="0.25">
      <c r="A491" s="1">
        <v>905900914</v>
      </c>
      <c r="B491" s="1" t="s">
        <v>42</v>
      </c>
      <c r="C491" s="1" t="s">
        <v>2</v>
      </c>
      <c r="D491" s="1">
        <v>47984</v>
      </c>
      <c r="E491" s="1">
        <v>3440</v>
      </c>
      <c r="F491" s="1">
        <v>27</v>
      </c>
      <c r="G491" s="13">
        <f>Table[[#This Row],[Return Value]]/Table[[#This Row],[Sell Value]]</f>
        <v>7.8488372093023263E-3</v>
      </c>
      <c r="H491" s="1" t="s">
        <v>3</v>
      </c>
      <c r="I491" s="1">
        <v>50</v>
      </c>
      <c r="J491" s="14">
        <f>Table[[#This Row],[Sell Value]]*Table[[#This Row],[Selling Price]]</f>
        <v>172000</v>
      </c>
      <c r="K491" s="1" t="s">
        <v>4</v>
      </c>
      <c r="L491" s="1" t="s">
        <v>29</v>
      </c>
      <c r="M491" s="1" t="s">
        <v>22</v>
      </c>
      <c r="N491" s="1">
        <v>0.2</v>
      </c>
      <c r="O491" s="1" t="s">
        <v>82</v>
      </c>
      <c r="P491" s="1" t="s">
        <v>7</v>
      </c>
    </row>
    <row r="492" spans="1:16" x14ac:dyDescent="0.25">
      <c r="A492" s="1">
        <v>548533405</v>
      </c>
      <c r="B492" s="1" t="s">
        <v>46</v>
      </c>
      <c r="C492" s="1" t="s">
        <v>2</v>
      </c>
      <c r="D492" s="1">
        <v>47561</v>
      </c>
      <c r="E492" s="1">
        <v>1674</v>
      </c>
      <c r="F492" s="1">
        <v>27</v>
      </c>
      <c r="G492" s="13">
        <f>Table[[#This Row],[Return Value]]/Table[[#This Row],[Sell Value]]</f>
        <v>1.6129032258064516E-2</v>
      </c>
      <c r="H492" s="1" t="s">
        <v>3</v>
      </c>
      <c r="I492" s="1">
        <v>48</v>
      </c>
      <c r="J492" s="14">
        <f>Table[[#This Row],[Sell Value]]*Table[[#This Row],[Selling Price]]</f>
        <v>80352</v>
      </c>
      <c r="K492" s="1" t="s">
        <v>4</v>
      </c>
      <c r="L492" s="1" t="s">
        <v>35</v>
      </c>
      <c r="M492" s="1" t="s">
        <v>6</v>
      </c>
      <c r="N492" s="1">
        <v>0.2</v>
      </c>
      <c r="O492" s="1" t="s">
        <v>82</v>
      </c>
      <c r="P492" s="1" t="s">
        <v>19</v>
      </c>
    </row>
    <row r="493" spans="1:16" x14ac:dyDescent="0.25">
      <c r="A493" s="1">
        <v>821569848</v>
      </c>
      <c r="B493" s="1" t="s">
        <v>50</v>
      </c>
      <c r="C493" s="1" t="s">
        <v>2</v>
      </c>
      <c r="D493" s="1">
        <v>47495</v>
      </c>
      <c r="E493" s="1">
        <v>3383</v>
      </c>
      <c r="F493" s="1">
        <v>44</v>
      </c>
      <c r="G493" s="13">
        <f>Table[[#This Row],[Return Value]]/Table[[#This Row],[Sell Value]]</f>
        <v>1.300620750812888E-2</v>
      </c>
      <c r="H493" s="1" t="s">
        <v>3</v>
      </c>
      <c r="I493" s="1">
        <v>26</v>
      </c>
      <c r="J493" s="14">
        <f>Table[[#This Row],[Sell Value]]*Table[[#This Row],[Selling Price]]</f>
        <v>87958</v>
      </c>
      <c r="K493" s="1" t="s">
        <v>4</v>
      </c>
      <c r="L493" s="1" t="s">
        <v>38</v>
      </c>
      <c r="M493" s="1" t="s">
        <v>44</v>
      </c>
      <c r="N493" s="1">
        <v>0.2</v>
      </c>
      <c r="O493" s="1" t="s">
        <v>82</v>
      </c>
      <c r="P493" s="1" t="s">
        <v>65</v>
      </c>
    </row>
    <row r="494" spans="1:16" x14ac:dyDescent="0.25">
      <c r="A494" s="1">
        <v>941943128</v>
      </c>
      <c r="B494" s="1" t="s">
        <v>53</v>
      </c>
      <c r="C494" s="1" t="s">
        <v>2</v>
      </c>
      <c r="D494" s="1">
        <v>48564</v>
      </c>
      <c r="E494" s="1">
        <v>3389</v>
      </c>
      <c r="F494" s="1">
        <v>36</v>
      </c>
      <c r="G494" s="13">
        <f>Table[[#This Row],[Return Value]]/Table[[#This Row],[Sell Value]]</f>
        <v>1.0622602537621718E-2</v>
      </c>
      <c r="H494" s="1" t="s">
        <v>3</v>
      </c>
      <c r="I494" s="1">
        <v>43</v>
      </c>
      <c r="J494" s="14">
        <f>Table[[#This Row],[Sell Value]]*Table[[#This Row],[Selling Price]]</f>
        <v>145727</v>
      </c>
      <c r="K494" s="1" t="s">
        <v>4</v>
      </c>
      <c r="L494" s="1" t="s">
        <v>41</v>
      </c>
      <c r="M494" s="1" t="s">
        <v>6</v>
      </c>
      <c r="N494" s="1">
        <v>0.2</v>
      </c>
      <c r="O494" s="1" t="s">
        <v>81</v>
      </c>
      <c r="P494" s="1" t="s">
        <v>67</v>
      </c>
    </row>
    <row r="495" spans="1:16" x14ac:dyDescent="0.25">
      <c r="A495" s="1">
        <v>629408971</v>
      </c>
      <c r="B495" s="1" t="s">
        <v>56</v>
      </c>
      <c r="C495" s="1" t="s">
        <v>2</v>
      </c>
      <c r="D495" s="1">
        <v>48170</v>
      </c>
      <c r="E495" s="1">
        <v>2600</v>
      </c>
      <c r="F495" s="1">
        <v>33</v>
      </c>
      <c r="G495" s="13">
        <f>Table[[#This Row],[Return Value]]/Table[[#This Row],[Sell Value]]</f>
        <v>1.2692307692307692E-2</v>
      </c>
      <c r="H495" s="1" t="s">
        <v>3</v>
      </c>
      <c r="I495" s="1">
        <v>47</v>
      </c>
      <c r="J495" s="14">
        <f>Table[[#This Row],[Sell Value]]*Table[[#This Row],[Selling Price]]</f>
        <v>122200</v>
      </c>
      <c r="K495" s="1" t="s">
        <v>4</v>
      </c>
      <c r="L495" s="1" t="s">
        <v>43</v>
      </c>
      <c r="M495" s="1" t="s">
        <v>59</v>
      </c>
      <c r="N495" s="1">
        <v>0.2</v>
      </c>
      <c r="O495" s="1" t="s">
        <v>82</v>
      </c>
      <c r="P495" s="1" t="s">
        <v>45</v>
      </c>
    </row>
    <row r="496" spans="1:16" x14ac:dyDescent="0.25">
      <c r="A496" s="1">
        <v>872313864</v>
      </c>
      <c r="B496" s="1" t="s">
        <v>1</v>
      </c>
      <c r="C496" s="1" t="s">
        <v>2</v>
      </c>
      <c r="D496" s="1">
        <v>48352</v>
      </c>
      <c r="E496" s="1">
        <v>3371</v>
      </c>
      <c r="F496" s="1">
        <v>24</v>
      </c>
      <c r="G496" s="13">
        <f>Table[[#This Row],[Return Value]]/Table[[#This Row],[Sell Value]]</f>
        <v>7.1195490952239695E-3</v>
      </c>
      <c r="H496" s="1" t="s">
        <v>28</v>
      </c>
      <c r="I496" s="1">
        <v>33</v>
      </c>
      <c r="J496" s="14">
        <f>Table[[#This Row],[Sell Value]]*Table[[#This Row],[Selling Price]]</f>
        <v>111243</v>
      </c>
      <c r="K496" s="1" t="s">
        <v>4</v>
      </c>
      <c r="L496" s="1" t="s">
        <v>47</v>
      </c>
      <c r="M496" s="1" t="s">
        <v>14</v>
      </c>
      <c r="N496" s="1">
        <v>0.2</v>
      </c>
      <c r="O496" s="1" t="s">
        <v>81</v>
      </c>
      <c r="P496" s="1" t="s">
        <v>67</v>
      </c>
    </row>
    <row r="497" spans="1:16" x14ac:dyDescent="0.25">
      <c r="A497" s="1">
        <v>16078884</v>
      </c>
      <c r="B497" s="1" t="s">
        <v>8</v>
      </c>
      <c r="C497" s="1" t="s">
        <v>2</v>
      </c>
      <c r="D497" s="1">
        <v>48393</v>
      </c>
      <c r="E497" s="1">
        <v>3116</v>
      </c>
      <c r="F497" s="1">
        <v>41</v>
      </c>
      <c r="G497" s="13">
        <f>Table[[#This Row],[Return Value]]/Table[[#This Row],[Sell Value]]</f>
        <v>1.3157894736842105E-2</v>
      </c>
      <c r="H497" s="1" t="s">
        <v>3</v>
      </c>
      <c r="I497" s="1">
        <v>41</v>
      </c>
      <c r="J497" s="14">
        <f>Table[[#This Row],[Sell Value]]*Table[[#This Row],[Selling Price]]</f>
        <v>127756</v>
      </c>
      <c r="K497" s="1" t="s">
        <v>4</v>
      </c>
      <c r="L497" s="1" t="s">
        <v>51</v>
      </c>
      <c r="M497" s="1" t="s">
        <v>59</v>
      </c>
      <c r="N497" s="1">
        <v>0.2</v>
      </c>
      <c r="O497" s="1" t="s">
        <v>81</v>
      </c>
      <c r="P497" s="1" t="s">
        <v>39</v>
      </c>
    </row>
    <row r="498" spans="1:16" x14ac:dyDescent="0.25">
      <c r="A498" s="1">
        <v>266165428</v>
      </c>
      <c r="B498" s="1" t="s">
        <v>12</v>
      </c>
      <c r="C498" s="1" t="s">
        <v>2</v>
      </c>
      <c r="D498" s="1">
        <v>47916</v>
      </c>
      <c r="E498" s="1">
        <v>4310</v>
      </c>
      <c r="F498" s="1">
        <v>12</v>
      </c>
      <c r="G498" s="13">
        <f>Table[[#This Row],[Return Value]]/Table[[#This Row],[Sell Value]]</f>
        <v>2.7842227378190253E-3</v>
      </c>
      <c r="H498" s="1" t="s">
        <v>3</v>
      </c>
      <c r="I498" s="1">
        <v>27</v>
      </c>
      <c r="J498" s="14">
        <f>Table[[#This Row],[Sell Value]]*Table[[#This Row],[Selling Price]]</f>
        <v>116370</v>
      </c>
      <c r="K498" s="1" t="s">
        <v>4</v>
      </c>
      <c r="L498" s="1" t="s">
        <v>54</v>
      </c>
      <c r="M498" s="1" t="s">
        <v>26</v>
      </c>
      <c r="N498" s="1">
        <v>0.2</v>
      </c>
      <c r="O498" s="1" t="s">
        <v>81</v>
      </c>
      <c r="P498" s="1" t="s">
        <v>62</v>
      </c>
    </row>
    <row r="499" spans="1:16" x14ac:dyDescent="0.25">
      <c r="A499" s="1">
        <v>673138016</v>
      </c>
      <c r="B499" s="1" t="s">
        <v>16</v>
      </c>
      <c r="C499" s="1" t="s">
        <v>17</v>
      </c>
      <c r="D499" s="1">
        <v>47902</v>
      </c>
      <c r="E499" s="1">
        <v>3032</v>
      </c>
      <c r="F499" s="1">
        <v>49</v>
      </c>
      <c r="G499" s="13">
        <f>Table[[#This Row],[Return Value]]/Table[[#This Row],[Sell Value]]</f>
        <v>1.6160949868073878E-2</v>
      </c>
      <c r="H499" s="1" t="s">
        <v>3</v>
      </c>
      <c r="I499" s="1">
        <v>35</v>
      </c>
      <c r="J499" s="14">
        <f>Table[[#This Row],[Sell Value]]*Table[[#This Row],[Selling Price]]</f>
        <v>106120</v>
      </c>
      <c r="K499" s="1" t="s">
        <v>4</v>
      </c>
      <c r="L499" s="1" t="s">
        <v>57</v>
      </c>
      <c r="M499" s="1" t="s">
        <v>14</v>
      </c>
      <c r="N499" s="1">
        <v>0.2</v>
      </c>
      <c r="O499" s="1" t="s">
        <v>81</v>
      </c>
      <c r="P499" s="1" t="s">
        <v>15</v>
      </c>
    </row>
    <row r="500" spans="1:16" x14ac:dyDescent="0.25">
      <c r="A500" s="1">
        <v>590855812</v>
      </c>
      <c r="B500" s="1" t="s">
        <v>20</v>
      </c>
      <c r="C500" s="1" t="s">
        <v>17</v>
      </c>
      <c r="D500" s="1">
        <v>47553</v>
      </c>
      <c r="E500" s="1">
        <v>1523</v>
      </c>
      <c r="F500" s="1">
        <v>26</v>
      </c>
      <c r="G500" s="13">
        <f>Table[[#This Row],[Return Value]]/Table[[#This Row],[Sell Value]]</f>
        <v>1.7071569271175313E-2</v>
      </c>
      <c r="H500" s="1" t="s">
        <v>3</v>
      </c>
      <c r="I500" s="1">
        <v>41</v>
      </c>
      <c r="J500" s="14">
        <f>Table[[#This Row],[Sell Value]]*Table[[#This Row],[Selling Price]]</f>
        <v>62443</v>
      </c>
      <c r="K500" s="1" t="s">
        <v>4</v>
      </c>
      <c r="L500" s="1" t="s">
        <v>5</v>
      </c>
      <c r="M500" s="1" t="s">
        <v>61</v>
      </c>
      <c r="N500" s="1">
        <v>0.2</v>
      </c>
      <c r="O500" s="1" t="s">
        <v>81</v>
      </c>
      <c r="P500" s="1" t="s">
        <v>15</v>
      </c>
    </row>
    <row r="501" spans="1:16" x14ac:dyDescent="0.25">
      <c r="A501" s="1">
        <v>617361547</v>
      </c>
      <c r="B501" s="1" t="s">
        <v>24</v>
      </c>
      <c r="C501" s="1" t="s">
        <v>2</v>
      </c>
      <c r="D501" s="1">
        <v>47877</v>
      </c>
      <c r="E501" s="1">
        <v>2350</v>
      </c>
      <c r="F501" s="1">
        <v>25</v>
      </c>
      <c r="G501" s="13">
        <f>Table[[#This Row],[Return Value]]/Table[[#This Row],[Sell Value]]</f>
        <v>1.0638297872340425E-2</v>
      </c>
      <c r="H501" s="1" t="s">
        <v>3</v>
      </c>
      <c r="I501" s="1">
        <v>28</v>
      </c>
      <c r="J501" s="14">
        <f>Table[[#This Row],[Sell Value]]*Table[[#This Row],[Selling Price]]</f>
        <v>65800</v>
      </c>
      <c r="K501" s="1" t="s">
        <v>4</v>
      </c>
      <c r="L501" s="1" t="s">
        <v>9</v>
      </c>
      <c r="M501" s="1" t="s">
        <v>14</v>
      </c>
      <c r="N501" s="1">
        <v>0.2</v>
      </c>
      <c r="O501" s="1" t="s">
        <v>82</v>
      </c>
      <c r="P501" s="1" t="s">
        <v>15</v>
      </c>
    </row>
    <row r="502" spans="1:16" x14ac:dyDescent="0.25">
      <c r="A502" s="1">
        <v>283641749</v>
      </c>
      <c r="B502" s="1" t="s">
        <v>27</v>
      </c>
      <c r="C502" s="1" t="s">
        <v>2</v>
      </c>
      <c r="D502" s="1">
        <v>47639</v>
      </c>
      <c r="E502" s="1">
        <v>3776</v>
      </c>
      <c r="F502" s="1">
        <v>42</v>
      </c>
      <c r="G502" s="13">
        <f>Table[[#This Row],[Return Value]]/Table[[#This Row],[Sell Value]]</f>
        <v>1.1122881355932203E-2</v>
      </c>
      <c r="H502" s="1" t="s">
        <v>3</v>
      </c>
      <c r="I502" s="1">
        <v>38</v>
      </c>
      <c r="J502" s="14">
        <f>Table[[#This Row],[Sell Value]]*Table[[#This Row],[Selling Price]]</f>
        <v>143488</v>
      </c>
      <c r="K502" s="1" t="s">
        <v>4</v>
      </c>
      <c r="L502" s="1" t="s">
        <v>13</v>
      </c>
      <c r="M502" s="1" t="s">
        <v>44</v>
      </c>
      <c r="N502" s="1">
        <v>0.2</v>
      </c>
      <c r="O502" s="1" t="s">
        <v>82</v>
      </c>
      <c r="P502" s="1" t="s">
        <v>19</v>
      </c>
    </row>
    <row r="503" spans="1:16" x14ac:dyDescent="0.25">
      <c r="A503" s="1">
        <v>849900696</v>
      </c>
      <c r="B503" s="1" t="s">
        <v>32</v>
      </c>
      <c r="C503" s="1" t="s">
        <v>17</v>
      </c>
      <c r="D503" s="1">
        <v>48383</v>
      </c>
      <c r="E503" s="1">
        <v>3147</v>
      </c>
      <c r="F503" s="1">
        <v>31</v>
      </c>
      <c r="G503" s="13">
        <f>Table[[#This Row],[Return Value]]/Table[[#This Row],[Sell Value]]</f>
        <v>9.850651414045123E-3</v>
      </c>
      <c r="H503" s="1" t="s">
        <v>3</v>
      </c>
      <c r="I503" s="1">
        <v>37</v>
      </c>
      <c r="J503" s="14">
        <f>Table[[#This Row],[Sell Value]]*Table[[#This Row],[Selling Price]]</f>
        <v>116439</v>
      </c>
      <c r="K503" s="1" t="s">
        <v>4</v>
      </c>
      <c r="L503" s="1" t="s">
        <v>18</v>
      </c>
      <c r="M503" s="1" t="s">
        <v>61</v>
      </c>
      <c r="N503" s="1">
        <v>0.2</v>
      </c>
      <c r="O503" s="1" t="s">
        <v>82</v>
      </c>
      <c r="P503" s="1" t="s">
        <v>58</v>
      </c>
    </row>
    <row r="504" spans="1:16" x14ac:dyDescent="0.25">
      <c r="A504" s="1">
        <v>41632667</v>
      </c>
      <c r="B504" s="1" t="s">
        <v>34</v>
      </c>
      <c r="C504" s="1" t="s">
        <v>2</v>
      </c>
      <c r="D504" s="1">
        <v>48340</v>
      </c>
      <c r="E504" s="1">
        <v>2277</v>
      </c>
      <c r="F504" s="1">
        <v>48</v>
      </c>
      <c r="G504" s="13">
        <f>Table[[#This Row],[Return Value]]/Table[[#This Row],[Sell Value]]</f>
        <v>2.1080368906455864E-2</v>
      </c>
      <c r="H504" s="1" t="s">
        <v>3</v>
      </c>
      <c r="I504" s="1">
        <v>30</v>
      </c>
      <c r="J504" s="14">
        <f>Table[[#This Row],[Sell Value]]*Table[[#This Row],[Selling Price]]</f>
        <v>68310</v>
      </c>
      <c r="K504" s="1" t="s">
        <v>4</v>
      </c>
      <c r="L504" s="1" t="s">
        <v>21</v>
      </c>
      <c r="M504" s="1" t="s">
        <v>48</v>
      </c>
      <c r="N504" s="1">
        <v>0.2</v>
      </c>
      <c r="O504" s="1" t="s">
        <v>81</v>
      </c>
      <c r="P504" s="1" t="s">
        <v>49</v>
      </c>
    </row>
    <row r="505" spans="1:16" x14ac:dyDescent="0.25">
      <c r="A505" s="1">
        <v>445570921</v>
      </c>
      <c r="B505" s="1" t="s">
        <v>37</v>
      </c>
      <c r="C505" s="1" t="s">
        <v>17</v>
      </c>
      <c r="D505" s="1">
        <v>48572</v>
      </c>
      <c r="E505" s="1">
        <v>1802</v>
      </c>
      <c r="F505" s="1">
        <v>43</v>
      </c>
      <c r="G505" s="13">
        <f>Table[[#This Row],[Return Value]]/Table[[#This Row],[Sell Value]]</f>
        <v>2.3862375138734741E-2</v>
      </c>
      <c r="H505" s="1" t="s">
        <v>3</v>
      </c>
      <c r="I505" s="1">
        <v>21</v>
      </c>
      <c r="J505" s="14">
        <f>Table[[#This Row],[Sell Value]]*Table[[#This Row],[Selling Price]]</f>
        <v>37842</v>
      </c>
      <c r="K505" s="1" t="s">
        <v>4</v>
      </c>
      <c r="L505" s="1" t="s">
        <v>25</v>
      </c>
      <c r="M505" s="1" t="s">
        <v>10</v>
      </c>
      <c r="N505" s="1">
        <v>0.2</v>
      </c>
      <c r="O505" s="1" t="s">
        <v>82</v>
      </c>
      <c r="P505" s="1" t="s">
        <v>7</v>
      </c>
    </row>
    <row r="506" spans="1:16" x14ac:dyDescent="0.25">
      <c r="A506" s="1">
        <v>334478098</v>
      </c>
      <c r="B506" s="1" t="s">
        <v>40</v>
      </c>
      <c r="C506" s="1" t="s">
        <v>17</v>
      </c>
      <c r="D506" s="1">
        <v>47655</v>
      </c>
      <c r="E506" s="1">
        <v>3910</v>
      </c>
      <c r="F506" s="1">
        <v>32</v>
      </c>
      <c r="G506" s="13">
        <f>Table[[#This Row],[Return Value]]/Table[[#This Row],[Sell Value]]</f>
        <v>8.1841432225063931E-3</v>
      </c>
      <c r="H506" s="1" t="s">
        <v>3</v>
      </c>
      <c r="I506" s="1">
        <v>38</v>
      </c>
      <c r="J506" s="14">
        <f>Table[[#This Row],[Sell Value]]*Table[[#This Row],[Selling Price]]</f>
        <v>148580</v>
      </c>
      <c r="K506" s="1" t="s">
        <v>4</v>
      </c>
      <c r="L506" s="1" t="s">
        <v>29</v>
      </c>
      <c r="M506" s="1" t="s">
        <v>44</v>
      </c>
      <c r="N506" s="1">
        <v>0.2</v>
      </c>
      <c r="O506" s="1" t="s">
        <v>81</v>
      </c>
      <c r="P506" s="1" t="s">
        <v>7</v>
      </c>
    </row>
    <row r="507" spans="1:16" x14ac:dyDescent="0.25">
      <c r="A507" s="1">
        <v>189298396</v>
      </c>
      <c r="B507" s="1" t="s">
        <v>42</v>
      </c>
      <c r="C507" s="1" t="s">
        <v>2</v>
      </c>
      <c r="D507" s="1">
        <v>48498</v>
      </c>
      <c r="E507" s="1">
        <v>2234</v>
      </c>
      <c r="F507" s="1">
        <v>37</v>
      </c>
      <c r="G507" s="13">
        <f>Table[[#This Row],[Return Value]]/Table[[#This Row],[Sell Value]]</f>
        <v>1.656222023276634E-2</v>
      </c>
      <c r="H507" s="1" t="s">
        <v>28</v>
      </c>
      <c r="I507" s="1">
        <v>43</v>
      </c>
      <c r="J507" s="14">
        <f>Table[[#This Row],[Sell Value]]*Table[[#This Row],[Selling Price]]</f>
        <v>96062</v>
      </c>
      <c r="K507" s="1" t="s">
        <v>4</v>
      </c>
      <c r="L507" s="1" t="s">
        <v>29</v>
      </c>
      <c r="M507" s="1" t="s">
        <v>61</v>
      </c>
      <c r="N507" s="1">
        <v>0.2</v>
      </c>
      <c r="O507" s="1" t="s">
        <v>81</v>
      </c>
      <c r="P507" s="1" t="s">
        <v>36</v>
      </c>
    </row>
    <row r="508" spans="1:16" x14ac:dyDescent="0.25">
      <c r="A508" s="1">
        <v>634825221</v>
      </c>
      <c r="B508" s="1" t="s">
        <v>46</v>
      </c>
      <c r="C508" s="1" t="s">
        <v>2</v>
      </c>
      <c r="D508" s="1">
        <v>48185</v>
      </c>
      <c r="E508" s="1">
        <v>2671</v>
      </c>
      <c r="F508" s="1">
        <v>43</v>
      </c>
      <c r="G508" s="13">
        <f>Table[[#This Row],[Return Value]]/Table[[#This Row],[Sell Value]]</f>
        <v>1.6098839385997755E-2</v>
      </c>
      <c r="H508" s="1" t="s">
        <v>3</v>
      </c>
      <c r="I508" s="1">
        <v>40</v>
      </c>
      <c r="J508" s="14">
        <f>Table[[#This Row],[Sell Value]]*Table[[#This Row],[Selling Price]]</f>
        <v>106840</v>
      </c>
      <c r="K508" s="1" t="s">
        <v>4</v>
      </c>
      <c r="L508" s="1" t="s">
        <v>35</v>
      </c>
      <c r="M508" s="1" t="s">
        <v>26</v>
      </c>
      <c r="N508" s="1">
        <v>0.2</v>
      </c>
      <c r="O508" s="1" t="s">
        <v>82</v>
      </c>
      <c r="P508" s="1" t="s">
        <v>67</v>
      </c>
    </row>
    <row r="509" spans="1:16" x14ac:dyDescent="0.25">
      <c r="A509" s="1">
        <v>184698699</v>
      </c>
      <c r="B509" s="1" t="s">
        <v>50</v>
      </c>
      <c r="C509" s="1" t="s">
        <v>2</v>
      </c>
      <c r="D509" s="1">
        <v>48158</v>
      </c>
      <c r="E509" s="1">
        <v>4135</v>
      </c>
      <c r="F509" s="1">
        <v>35</v>
      </c>
      <c r="G509" s="13">
        <f>Table[[#This Row],[Return Value]]/Table[[#This Row],[Sell Value]]</f>
        <v>8.4643288996372433E-3</v>
      </c>
      <c r="H509" s="1" t="s">
        <v>3</v>
      </c>
      <c r="I509" s="1">
        <v>45</v>
      </c>
      <c r="J509" s="14">
        <f>Table[[#This Row],[Sell Value]]*Table[[#This Row],[Selling Price]]</f>
        <v>186075</v>
      </c>
      <c r="K509" s="1" t="s">
        <v>4</v>
      </c>
      <c r="L509" s="1" t="s">
        <v>38</v>
      </c>
      <c r="M509" s="1" t="s">
        <v>48</v>
      </c>
      <c r="N509" s="1">
        <v>0.2</v>
      </c>
      <c r="O509" s="1" t="s">
        <v>82</v>
      </c>
      <c r="P509" s="1" t="s">
        <v>7</v>
      </c>
    </row>
    <row r="510" spans="1:16" x14ac:dyDescent="0.25">
      <c r="A510" s="1">
        <v>291072606</v>
      </c>
      <c r="B510" s="1" t="s">
        <v>53</v>
      </c>
      <c r="C510" s="1" t="s">
        <v>2</v>
      </c>
      <c r="D510" s="1">
        <v>48500</v>
      </c>
      <c r="E510" s="1">
        <v>4549</v>
      </c>
      <c r="F510" s="1">
        <v>14</v>
      </c>
      <c r="G510" s="13">
        <f>Table[[#This Row],[Return Value]]/Table[[#This Row],[Sell Value]]</f>
        <v>3.0775994724115191E-3</v>
      </c>
      <c r="H510" s="1" t="s">
        <v>3</v>
      </c>
      <c r="I510" s="1">
        <v>26</v>
      </c>
      <c r="J510" s="14">
        <f>Table[[#This Row],[Sell Value]]*Table[[#This Row],[Selling Price]]</f>
        <v>118274</v>
      </c>
      <c r="K510" s="1" t="s">
        <v>4</v>
      </c>
      <c r="L510" s="1" t="s">
        <v>41</v>
      </c>
      <c r="M510" s="1" t="s">
        <v>44</v>
      </c>
      <c r="N510" s="1">
        <v>0.2</v>
      </c>
      <c r="O510" s="1" t="s">
        <v>81</v>
      </c>
      <c r="P510" s="1" t="s">
        <v>45</v>
      </c>
    </row>
    <row r="511" spans="1:16" x14ac:dyDescent="0.25">
      <c r="A511" s="1">
        <v>615833930</v>
      </c>
      <c r="B511" s="1" t="s">
        <v>56</v>
      </c>
      <c r="C511" s="1" t="s">
        <v>2</v>
      </c>
      <c r="D511" s="1">
        <v>48090</v>
      </c>
      <c r="E511" s="1">
        <v>4543</v>
      </c>
      <c r="F511" s="1">
        <v>37</v>
      </c>
      <c r="G511" s="13">
        <f>Table[[#This Row],[Return Value]]/Table[[#This Row],[Sell Value]]</f>
        <v>8.1443979749064501E-3</v>
      </c>
      <c r="H511" s="1" t="s">
        <v>3</v>
      </c>
      <c r="I511" s="1">
        <v>23</v>
      </c>
      <c r="J511" s="14">
        <f>Table[[#This Row],[Sell Value]]*Table[[#This Row],[Selling Price]]</f>
        <v>104489</v>
      </c>
      <c r="K511" s="1" t="s">
        <v>4</v>
      </c>
      <c r="L511" s="1" t="s">
        <v>43</v>
      </c>
      <c r="M511" s="1" t="s">
        <v>6</v>
      </c>
      <c r="N511" s="1">
        <v>0.2</v>
      </c>
      <c r="O511" s="1" t="s">
        <v>82</v>
      </c>
      <c r="P511" s="1" t="s">
        <v>15</v>
      </c>
    </row>
    <row r="512" spans="1:16" x14ac:dyDescent="0.25">
      <c r="A512" s="1">
        <v>240772280</v>
      </c>
      <c r="B512" s="1" t="s">
        <v>1</v>
      </c>
      <c r="C512" s="1" t="s">
        <v>2</v>
      </c>
      <c r="D512" s="1">
        <v>48145</v>
      </c>
      <c r="E512" s="1">
        <v>2948</v>
      </c>
      <c r="F512" s="1">
        <v>43</v>
      </c>
      <c r="G512" s="13">
        <f>Table[[#This Row],[Return Value]]/Table[[#This Row],[Sell Value]]</f>
        <v>1.4586160108548168E-2</v>
      </c>
      <c r="H512" s="1" t="s">
        <v>3</v>
      </c>
      <c r="I512" s="1">
        <v>27</v>
      </c>
      <c r="J512" s="14">
        <f>Table[[#This Row],[Sell Value]]*Table[[#This Row],[Selling Price]]</f>
        <v>79596</v>
      </c>
      <c r="K512" s="1" t="s">
        <v>4</v>
      </c>
      <c r="L512" s="1" t="s">
        <v>47</v>
      </c>
      <c r="M512" s="1" t="s">
        <v>14</v>
      </c>
      <c r="N512" s="1">
        <v>0.2</v>
      </c>
      <c r="O512" s="1" t="s">
        <v>82</v>
      </c>
      <c r="P512" s="1" t="s">
        <v>63</v>
      </c>
    </row>
    <row r="513" spans="1:16" x14ac:dyDescent="0.25">
      <c r="A513" s="1">
        <v>608061101</v>
      </c>
      <c r="B513" s="1" t="s">
        <v>8</v>
      </c>
      <c r="C513" s="1" t="s">
        <v>2</v>
      </c>
      <c r="D513" s="1">
        <v>48344</v>
      </c>
      <c r="E513" s="1">
        <v>2227</v>
      </c>
      <c r="F513" s="1">
        <v>22</v>
      </c>
      <c r="G513" s="13">
        <f>Table[[#This Row],[Return Value]]/Table[[#This Row],[Sell Value]]</f>
        <v>9.8787606645711727E-3</v>
      </c>
      <c r="H513" s="1" t="s">
        <v>3</v>
      </c>
      <c r="I513" s="1">
        <v>21</v>
      </c>
      <c r="J513" s="14">
        <f>Table[[#This Row],[Sell Value]]*Table[[#This Row],[Selling Price]]</f>
        <v>46767</v>
      </c>
      <c r="K513" s="1" t="s">
        <v>4</v>
      </c>
      <c r="L513" s="1" t="s">
        <v>51</v>
      </c>
      <c r="M513" s="1" t="s">
        <v>22</v>
      </c>
      <c r="N513" s="1">
        <v>0.2</v>
      </c>
      <c r="O513" s="1" t="s">
        <v>81</v>
      </c>
      <c r="P513" s="1" t="s">
        <v>15</v>
      </c>
    </row>
    <row r="514" spans="1:16" x14ac:dyDescent="0.25">
      <c r="A514" s="1">
        <v>443926422</v>
      </c>
      <c r="B514" s="1" t="s">
        <v>12</v>
      </c>
      <c r="C514" s="1" t="s">
        <v>2</v>
      </c>
      <c r="D514" s="1">
        <v>48305</v>
      </c>
      <c r="E514" s="1">
        <v>3543</v>
      </c>
      <c r="F514" s="1">
        <v>15</v>
      </c>
      <c r="G514" s="13">
        <f>Table[[#This Row],[Return Value]]/Table[[#This Row],[Sell Value]]</f>
        <v>4.2337002540220152E-3</v>
      </c>
      <c r="H514" s="1" t="s">
        <v>3</v>
      </c>
      <c r="I514" s="1">
        <v>38</v>
      </c>
      <c r="J514" s="14">
        <f>Table[[#This Row],[Sell Value]]*Table[[#This Row],[Selling Price]]</f>
        <v>134634</v>
      </c>
      <c r="K514" s="1" t="s">
        <v>4</v>
      </c>
      <c r="L514" s="1" t="s">
        <v>54</v>
      </c>
      <c r="M514" s="1" t="s">
        <v>44</v>
      </c>
      <c r="N514" s="1">
        <v>0.2</v>
      </c>
      <c r="O514" s="1" t="s">
        <v>82</v>
      </c>
      <c r="P514" s="1" t="s">
        <v>58</v>
      </c>
    </row>
    <row r="515" spans="1:16" x14ac:dyDescent="0.25">
      <c r="A515" s="1">
        <v>43396502</v>
      </c>
      <c r="B515" s="1" t="s">
        <v>16</v>
      </c>
      <c r="C515" s="1" t="s">
        <v>17</v>
      </c>
      <c r="D515" s="1">
        <v>48273</v>
      </c>
      <c r="E515" s="1">
        <v>3390</v>
      </c>
      <c r="F515" s="1">
        <v>46</v>
      </c>
      <c r="G515" s="13">
        <f>Table[[#This Row],[Return Value]]/Table[[#This Row],[Sell Value]]</f>
        <v>1.3569321533923304E-2</v>
      </c>
      <c r="H515" s="1" t="s">
        <v>3</v>
      </c>
      <c r="I515" s="1">
        <v>23</v>
      </c>
      <c r="J515" s="14">
        <f>Table[[#This Row],[Sell Value]]*Table[[#This Row],[Selling Price]]</f>
        <v>77970</v>
      </c>
      <c r="K515" s="1" t="s">
        <v>4</v>
      </c>
      <c r="L515" s="1" t="s">
        <v>57</v>
      </c>
      <c r="M515" s="1" t="s">
        <v>22</v>
      </c>
      <c r="N515" s="1">
        <v>0.2</v>
      </c>
      <c r="O515" s="1" t="s">
        <v>82</v>
      </c>
      <c r="P515" s="1" t="s">
        <v>60</v>
      </c>
    </row>
    <row r="516" spans="1:16" x14ac:dyDescent="0.25">
      <c r="A516" s="1">
        <v>288490387</v>
      </c>
      <c r="B516" s="1" t="s">
        <v>20</v>
      </c>
      <c r="C516" s="1" t="s">
        <v>17</v>
      </c>
      <c r="D516" s="1">
        <v>48266</v>
      </c>
      <c r="E516" s="1">
        <v>4509</v>
      </c>
      <c r="F516" s="1">
        <v>50</v>
      </c>
      <c r="G516" s="13">
        <f>Table[[#This Row],[Return Value]]/Table[[#This Row],[Sell Value]]</f>
        <v>1.1088933244621867E-2</v>
      </c>
      <c r="H516" s="1" t="s">
        <v>3</v>
      </c>
      <c r="I516" s="1">
        <v>45</v>
      </c>
      <c r="J516" s="14">
        <f>Table[[#This Row],[Sell Value]]*Table[[#This Row],[Selling Price]]</f>
        <v>202905</v>
      </c>
      <c r="K516" s="1" t="s">
        <v>4</v>
      </c>
      <c r="L516" s="1" t="s">
        <v>5</v>
      </c>
      <c r="M516" s="1" t="s">
        <v>14</v>
      </c>
      <c r="N516" s="1">
        <v>0.2</v>
      </c>
      <c r="O516" s="1" t="s">
        <v>82</v>
      </c>
      <c r="P516" s="1" t="s">
        <v>23</v>
      </c>
    </row>
    <row r="517" spans="1:16" x14ac:dyDescent="0.25">
      <c r="A517" s="1">
        <v>340056113</v>
      </c>
      <c r="B517" s="1" t="s">
        <v>24</v>
      </c>
      <c r="C517" s="1" t="s">
        <v>2</v>
      </c>
      <c r="D517" s="1">
        <v>48035</v>
      </c>
      <c r="E517" s="1">
        <v>3297</v>
      </c>
      <c r="F517" s="1">
        <v>27</v>
      </c>
      <c r="G517" s="13">
        <f>Table[[#This Row],[Return Value]]/Table[[#This Row],[Sell Value]]</f>
        <v>8.1892629663330302E-3</v>
      </c>
      <c r="H517" s="1" t="s">
        <v>3</v>
      </c>
      <c r="I517" s="1">
        <v>22</v>
      </c>
      <c r="J517" s="14">
        <f>Table[[#This Row],[Sell Value]]*Table[[#This Row],[Selling Price]]</f>
        <v>72534</v>
      </c>
      <c r="K517" s="1" t="s">
        <v>4</v>
      </c>
      <c r="L517" s="1" t="s">
        <v>9</v>
      </c>
      <c r="M517" s="1" t="s">
        <v>26</v>
      </c>
      <c r="N517" s="1">
        <v>0.2</v>
      </c>
      <c r="O517" s="1" t="s">
        <v>82</v>
      </c>
      <c r="P517" s="1" t="s">
        <v>67</v>
      </c>
    </row>
    <row r="518" spans="1:16" x14ac:dyDescent="0.25">
      <c r="A518" s="1">
        <v>287389802</v>
      </c>
      <c r="B518" s="1" t="s">
        <v>27</v>
      </c>
      <c r="C518" s="1" t="s">
        <v>2</v>
      </c>
      <c r="D518" s="1">
        <v>47496</v>
      </c>
      <c r="E518" s="1">
        <v>1593</v>
      </c>
      <c r="F518" s="1">
        <v>47</v>
      </c>
      <c r="G518" s="13">
        <f>Table[[#This Row],[Return Value]]/Table[[#This Row],[Sell Value]]</f>
        <v>2.9504080351537978E-2</v>
      </c>
      <c r="H518" s="1" t="s">
        <v>3</v>
      </c>
      <c r="I518" s="1">
        <v>39</v>
      </c>
      <c r="J518" s="14">
        <f>Table[[#This Row],[Sell Value]]*Table[[#This Row],[Selling Price]]</f>
        <v>62127</v>
      </c>
      <c r="K518" s="1" t="s">
        <v>4</v>
      </c>
      <c r="L518" s="1" t="s">
        <v>13</v>
      </c>
      <c r="M518" s="1" t="s">
        <v>22</v>
      </c>
      <c r="N518" s="1">
        <v>0.2</v>
      </c>
      <c r="O518" s="1" t="s">
        <v>81</v>
      </c>
      <c r="P518" s="1" t="s">
        <v>52</v>
      </c>
    </row>
    <row r="519" spans="1:16" x14ac:dyDescent="0.25">
      <c r="A519" s="1">
        <v>739501426</v>
      </c>
      <c r="B519" s="1" t="s">
        <v>32</v>
      </c>
      <c r="C519" s="1" t="s">
        <v>17</v>
      </c>
      <c r="D519" s="1">
        <v>48324</v>
      </c>
      <c r="E519" s="1">
        <v>1135</v>
      </c>
      <c r="F519" s="1">
        <v>31</v>
      </c>
      <c r="G519" s="13">
        <f>Table[[#This Row],[Return Value]]/Table[[#This Row],[Sell Value]]</f>
        <v>2.7312775330396475E-2</v>
      </c>
      <c r="H519" s="1" t="s">
        <v>3</v>
      </c>
      <c r="I519" s="1">
        <v>32</v>
      </c>
      <c r="J519" s="14">
        <f>Table[[#This Row],[Sell Value]]*Table[[#This Row],[Selling Price]]</f>
        <v>36320</v>
      </c>
      <c r="K519" s="1" t="s">
        <v>4</v>
      </c>
      <c r="L519" s="1" t="s">
        <v>18</v>
      </c>
      <c r="M519" s="1" t="s">
        <v>59</v>
      </c>
      <c r="N519" s="1">
        <v>0.2</v>
      </c>
      <c r="O519" s="1" t="s">
        <v>82</v>
      </c>
      <c r="P519" s="1" t="s">
        <v>39</v>
      </c>
    </row>
    <row r="520" spans="1:16" x14ac:dyDescent="0.25">
      <c r="A520" s="1">
        <v>200842033</v>
      </c>
      <c r="B520" s="1" t="s">
        <v>34</v>
      </c>
      <c r="C520" s="1" t="s">
        <v>2</v>
      </c>
      <c r="D520" s="1">
        <v>48455</v>
      </c>
      <c r="E520" s="1">
        <v>3444</v>
      </c>
      <c r="F520" s="1">
        <v>18</v>
      </c>
      <c r="G520" s="13">
        <f>Table[[#This Row],[Return Value]]/Table[[#This Row],[Sell Value]]</f>
        <v>5.2264808362369342E-3</v>
      </c>
      <c r="H520" s="1" t="s">
        <v>3</v>
      </c>
      <c r="I520" s="1">
        <v>39</v>
      </c>
      <c r="J520" s="14">
        <f>Table[[#This Row],[Sell Value]]*Table[[#This Row],[Selling Price]]</f>
        <v>134316</v>
      </c>
      <c r="K520" s="1" t="s">
        <v>4</v>
      </c>
      <c r="L520" s="1" t="s">
        <v>21</v>
      </c>
      <c r="M520" s="1" t="s">
        <v>14</v>
      </c>
      <c r="N520" s="1">
        <v>0.2</v>
      </c>
      <c r="O520" s="1" t="s">
        <v>81</v>
      </c>
      <c r="P520" s="1" t="s">
        <v>19</v>
      </c>
    </row>
    <row r="521" spans="1:16" x14ac:dyDescent="0.25">
      <c r="A521" s="1">
        <v>585938662</v>
      </c>
      <c r="B521" s="1" t="s">
        <v>37</v>
      </c>
      <c r="C521" s="1" t="s">
        <v>17</v>
      </c>
      <c r="D521" s="1">
        <v>48254</v>
      </c>
      <c r="E521" s="1">
        <v>2013</v>
      </c>
      <c r="F521" s="1">
        <v>13</v>
      </c>
      <c r="G521" s="13">
        <f>Table[[#This Row],[Return Value]]/Table[[#This Row],[Sell Value]]</f>
        <v>6.4580228514654744E-3</v>
      </c>
      <c r="H521" s="1" t="s">
        <v>3</v>
      </c>
      <c r="I521" s="1">
        <v>34</v>
      </c>
      <c r="J521" s="14">
        <f>Table[[#This Row],[Sell Value]]*Table[[#This Row],[Selling Price]]</f>
        <v>68442</v>
      </c>
      <c r="K521" s="1" t="s">
        <v>4</v>
      </c>
      <c r="L521" s="1" t="s">
        <v>25</v>
      </c>
      <c r="M521" s="1" t="s">
        <v>26</v>
      </c>
      <c r="N521" s="1">
        <v>0.2</v>
      </c>
      <c r="O521" s="1" t="s">
        <v>82</v>
      </c>
      <c r="P521" s="1" t="s">
        <v>45</v>
      </c>
    </row>
    <row r="522" spans="1:16" x14ac:dyDescent="0.25">
      <c r="A522" s="1">
        <v>138089561</v>
      </c>
      <c r="B522" s="1" t="s">
        <v>40</v>
      </c>
      <c r="C522" s="1" t="s">
        <v>17</v>
      </c>
      <c r="D522" s="1">
        <v>48398</v>
      </c>
      <c r="E522" s="1">
        <v>3241</v>
      </c>
      <c r="F522" s="1">
        <v>19</v>
      </c>
      <c r="G522" s="13">
        <f>Table[[#This Row],[Return Value]]/Table[[#This Row],[Sell Value]]</f>
        <v>5.8623881518049988E-3</v>
      </c>
      <c r="H522" s="1" t="s">
        <v>3</v>
      </c>
      <c r="I522" s="1">
        <v>39</v>
      </c>
      <c r="J522" s="14">
        <f>Table[[#This Row],[Sell Value]]*Table[[#This Row],[Selling Price]]</f>
        <v>126399</v>
      </c>
      <c r="K522" s="1" t="s">
        <v>4</v>
      </c>
      <c r="L522" s="1" t="s">
        <v>29</v>
      </c>
      <c r="M522" s="1" t="s">
        <v>22</v>
      </c>
      <c r="N522" s="1">
        <v>0.2</v>
      </c>
      <c r="O522" s="1" t="s">
        <v>82</v>
      </c>
      <c r="P522" s="1" t="s">
        <v>58</v>
      </c>
    </row>
    <row r="523" spans="1:16" x14ac:dyDescent="0.25">
      <c r="A523" s="1">
        <v>771973557</v>
      </c>
      <c r="B523" s="1" t="s">
        <v>42</v>
      </c>
      <c r="C523" s="1" t="s">
        <v>2</v>
      </c>
      <c r="D523" s="1">
        <v>48348</v>
      </c>
      <c r="E523" s="1">
        <v>3651</v>
      </c>
      <c r="F523" s="1">
        <v>48</v>
      </c>
      <c r="G523" s="13">
        <f>Table[[#This Row],[Return Value]]/Table[[#This Row],[Sell Value]]</f>
        <v>1.314708299096138E-2</v>
      </c>
      <c r="H523" s="1" t="s">
        <v>3</v>
      </c>
      <c r="I523" s="1">
        <v>48</v>
      </c>
      <c r="J523" s="14">
        <f>Table[[#This Row],[Sell Value]]*Table[[#This Row],[Selling Price]]</f>
        <v>175248</v>
      </c>
      <c r="K523" s="1" t="s">
        <v>4</v>
      </c>
      <c r="L523" s="1" t="s">
        <v>29</v>
      </c>
      <c r="M523" s="1" t="s">
        <v>26</v>
      </c>
      <c r="N523" s="1">
        <v>0.2</v>
      </c>
      <c r="O523" s="1" t="s">
        <v>82</v>
      </c>
      <c r="P523" s="1" t="s">
        <v>66</v>
      </c>
    </row>
    <row r="524" spans="1:16" x14ac:dyDescent="0.25">
      <c r="A524" s="1">
        <v>957440347</v>
      </c>
      <c r="B524" s="1" t="s">
        <v>46</v>
      </c>
      <c r="C524" s="1" t="s">
        <v>2</v>
      </c>
      <c r="D524" s="1">
        <v>47644</v>
      </c>
      <c r="E524" s="1">
        <v>2757</v>
      </c>
      <c r="F524" s="1">
        <v>21</v>
      </c>
      <c r="G524" s="13">
        <f>Table[[#This Row],[Return Value]]/Table[[#This Row],[Sell Value]]</f>
        <v>7.6169749727965181E-3</v>
      </c>
      <c r="H524" s="1" t="s">
        <v>3</v>
      </c>
      <c r="I524" s="1">
        <v>34</v>
      </c>
      <c r="J524" s="14">
        <f>Table[[#This Row],[Sell Value]]*Table[[#This Row],[Selling Price]]</f>
        <v>93738</v>
      </c>
      <c r="K524" s="1" t="s">
        <v>4</v>
      </c>
      <c r="L524" s="1" t="s">
        <v>35</v>
      </c>
      <c r="M524" s="1" t="s">
        <v>48</v>
      </c>
      <c r="N524" s="1">
        <v>0.2</v>
      </c>
      <c r="O524" s="1" t="s">
        <v>81</v>
      </c>
      <c r="P524" s="1" t="s">
        <v>11</v>
      </c>
    </row>
    <row r="525" spans="1:16" x14ac:dyDescent="0.25">
      <c r="A525" s="1">
        <v>21482972</v>
      </c>
      <c r="B525" s="1" t="s">
        <v>12</v>
      </c>
      <c r="C525" s="1" t="s">
        <v>2</v>
      </c>
      <c r="D525" s="1">
        <v>48139</v>
      </c>
      <c r="E525" s="1">
        <v>2014</v>
      </c>
      <c r="F525" s="1">
        <v>14</v>
      </c>
      <c r="G525" s="13">
        <f>Table[[#This Row],[Return Value]]/Table[[#This Row],[Sell Value]]</f>
        <v>6.9513406156901684E-3</v>
      </c>
      <c r="H525" s="1" t="s">
        <v>3</v>
      </c>
      <c r="I525" s="1">
        <v>36</v>
      </c>
      <c r="J525" s="14">
        <f>Table[[#This Row],[Sell Value]]*Table[[#This Row],[Selling Price]]</f>
        <v>72504</v>
      </c>
      <c r="K525" s="1" t="s">
        <v>4</v>
      </c>
      <c r="L525" s="1" t="s">
        <v>38</v>
      </c>
      <c r="M525" s="1" t="s">
        <v>14</v>
      </c>
      <c r="N525" s="1">
        <v>0.2</v>
      </c>
      <c r="O525" s="1" t="s">
        <v>82</v>
      </c>
      <c r="P525" s="1" t="s">
        <v>58</v>
      </c>
    </row>
    <row r="526" spans="1:16" x14ac:dyDescent="0.25">
      <c r="A526" s="1">
        <v>310572126</v>
      </c>
      <c r="B526" s="1" t="s">
        <v>16</v>
      </c>
      <c r="C526" s="1" t="s">
        <v>17</v>
      </c>
      <c r="D526" s="1">
        <v>47534</v>
      </c>
      <c r="E526" s="1">
        <v>4291</v>
      </c>
      <c r="F526" s="1">
        <v>17</v>
      </c>
      <c r="G526" s="13">
        <f>Table[[#This Row],[Return Value]]/Table[[#This Row],[Sell Value]]</f>
        <v>3.9617804707527387E-3</v>
      </c>
      <c r="H526" s="1" t="s">
        <v>3</v>
      </c>
      <c r="I526" s="1">
        <v>45</v>
      </c>
      <c r="J526" s="14">
        <f>Table[[#This Row],[Sell Value]]*Table[[#This Row],[Selling Price]]</f>
        <v>193095</v>
      </c>
      <c r="K526" s="1" t="s">
        <v>4</v>
      </c>
      <c r="L526" s="1" t="s">
        <v>41</v>
      </c>
      <c r="M526" s="1" t="s">
        <v>10</v>
      </c>
      <c r="N526" s="1">
        <v>0.2</v>
      </c>
      <c r="O526" s="1" t="s">
        <v>82</v>
      </c>
      <c r="P526" s="1" t="s">
        <v>31</v>
      </c>
    </row>
    <row r="527" spans="1:16" x14ac:dyDescent="0.25">
      <c r="A527" s="1">
        <v>70669724</v>
      </c>
      <c r="B527" s="1" t="s">
        <v>20</v>
      </c>
      <c r="C527" s="1" t="s">
        <v>17</v>
      </c>
      <c r="D527" s="1">
        <v>47674</v>
      </c>
      <c r="E527" s="1">
        <v>2868</v>
      </c>
      <c r="F527" s="1">
        <v>11</v>
      </c>
      <c r="G527" s="13">
        <f>Table[[#This Row],[Return Value]]/Table[[#This Row],[Sell Value]]</f>
        <v>3.8354253835425384E-3</v>
      </c>
      <c r="H527" s="1" t="s">
        <v>3</v>
      </c>
      <c r="I527" s="1">
        <v>36</v>
      </c>
      <c r="J527" s="14">
        <f>Table[[#This Row],[Sell Value]]*Table[[#This Row],[Selling Price]]</f>
        <v>103248</v>
      </c>
      <c r="K527" s="1" t="s">
        <v>4</v>
      </c>
      <c r="L527" s="1" t="s">
        <v>43</v>
      </c>
      <c r="M527" s="1" t="s">
        <v>33</v>
      </c>
      <c r="N527" s="1">
        <v>0.2</v>
      </c>
      <c r="O527" s="1" t="s">
        <v>81</v>
      </c>
      <c r="P527" s="1" t="s">
        <v>11</v>
      </c>
    </row>
    <row r="528" spans="1:16" x14ac:dyDescent="0.25">
      <c r="A528" s="1">
        <v>542799900</v>
      </c>
      <c r="B528" s="1" t="s">
        <v>24</v>
      </c>
      <c r="C528" s="1" t="s">
        <v>2</v>
      </c>
      <c r="D528" s="1">
        <v>47930</v>
      </c>
      <c r="E528" s="1">
        <v>3895</v>
      </c>
      <c r="F528" s="1">
        <v>34</v>
      </c>
      <c r="G528" s="13">
        <f>Table[[#This Row],[Return Value]]/Table[[#This Row],[Sell Value]]</f>
        <v>8.7291399229781769E-3</v>
      </c>
      <c r="H528" s="1" t="s">
        <v>28</v>
      </c>
      <c r="I528" s="1">
        <v>43</v>
      </c>
      <c r="J528" s="14">
        <f>Table[[#This Row],[Sell Value]]*Table[[#This Row],[Selling Price]]</f>
        <v>167485</v>
      </c>
      <c r="K528" s="1" t="s">
        <v>4</v>
      </c>
      <c r="L528" s="1" t="s">
        <v>47</v>
      </c>
      <c r="M528" s="1" t="s">
        <v>22</v>
      </c>
      <c r="N528" s="1">
        <v>0.2</v>
      </c>
      <c r="O528" s="1" t="s">
        <v>82</v>
      </c>
      <c r="P528" s="1" t="s">
        <v>36</v>
      </c>
    </row>
    <row r="529" spans="1:16" x14ac:dyDescent="0.25">
      <c r="A529" s="1">
        <v>719140657</v>
      </c>
      <c r="B529" s="1" t="s">
        <v>27</v>
      </c>
      <c r="C529" s="1" t="s">
        <v>2</v>
      </c>
      <c r="D529" s="1">
        <v>48250</v>
      </c>
      <c r="E529" s="1">
        <v>2403</v>
      </c>
      <c r="F529" s="1">
        <v>29</v>
      </c>
      <c r="G529" s="13">
        <f>Table[[#This Row],[Return Value]]/Table[[#This Row],[Sell Value]]</f>
        <v>1.2068248023304202E-2</v>
      </c>
      <c r="H529" s="1" t="s">
        <v>3</v>
      </c>
      <c r="I529" s="1">
        <v>42</v>
      </c>
      <c r="J529" s="14">
        <f>Table[[#This Row],[Sell Value]]*Table[[#This Row],[Selling Price]]</f>
        <v>100926</v>
      </c>
      <c r="K529" s="1" t="s">
        <v>4</v>
      </c>
      <c r="L529" s="1" t="s">
        <v>51</v>
      </c>
      <c r="M529" s="1" t="s">
        <v>6</v>
      </c>
      <c r="N529" s="1">
        <v>0.2</v>
      </c>
      <c r="O529" s="1" t="s">
        <v>82</v>
      </c>
      <c r="P529" s="1" t="s">
        <v>55</v>
      </c>
    </row>
    <row r="530" spans="1:16" x14ac:dyDescent="0.25">
      <c r="A530" s="1">
        <v>651868654</v>
      </c>
      <c r="B530" s="1" t="s">
        <v>32</v>
      </c>
      <c r="C530" s="1" t="s">
        <v>17</v>
      </c>
      <c r="D530" s="1">
        <v>47820</v>
      </c>
      <c r="E530" s="1">
        <v>1257</v>
      </c>
      <c r="F530" s="1">
        <v>18</v>
      </c>
      <c r="G530" s="13">
        <f>Table[[#This Row],[Return Value]]/Table[[#This Row],[Sell Value]]</f>
        <v>1.4319809069212411E-2</v>
      </c>
      <c r="H530" s="1" t="s">
        <v>3</v>
      </c>
      <c r="I530" s="1">
        <v>36</v>
      </c>
      <c r="J530" s="14">
        <f>Table[[#This Row],[Sell Value]]*Table[[#This Row],[Selling Price]]</f>
        <v>45252</v>
      </c>
      <c r="K530" s="1" t="s">
        <v>4</v>
      </c>
      <c r="L530" s="1" t="s">
        <v>54</v>
      </c>
      <c r="M530" s="1" t="s">
        <v>14</v>
      </c>
      <c r="N530" s="1">
        <v>0.2</v>
      </c>
      <c r="O530" s="1" t="s">
        <v>81</v>
      </c>
      <c r="P530" s="1" t="s">
        <v>31</v>
      </c>
    </row>
    <row r="531" spans="1:16" x14ac:dyDescent="0.25">
      <c r="A531" s="1">
        <v>469395456</v>
      </c>
      <c r="B531" s="1" t="s">
        <v>34</v>
      </c>
      <c r="C531" s="1" t="s">
        <v>2</v>
      </c>
      <c r="D531" s="1">
        <v>48029</v>
      </c>
      <c r="E531" s="1">
        <v>3767</v>
      </c>
      <c r="F531" s="1">
        <v>14</v>
      </c>
      <c r="G531" s="13">
        <f>Table[[#This Row],[Return Value]]/Table[[#This Row],[Sell Value]]</f>
        <v>3.7164852667905496E-3</v>
      </c>
      <c r="H531" s="1" t="s">
        <v>3</v>
      </c>
      <c r="I531" s="1">
        <v>48</v>
      </c>
      <c r="J531" s="14">
        <f>Table[[#This Row],[Sell Value]]*Table[[#This Row],[Selling Price]]</f>
        <v>180816</v>
      </c>
      <c r="K531" s="1" t="s">
        <v>4</v>
      </c>
      <c r="L531" s="1" t="s">
        <v>57</v>
      </c>
      <c r="M531" s="1" t="s">
        <v>14</v>
      </c>
      <c r="N531" s="1">
        <v>0.2</v>
      </c>
      <c r="O531" s="1" t="s">
        <v>81</v>
      </c>
      <c r="P531" s="1" t="s">
        <v>15</v>
      </c>
    </row>
    <row r="532" spans="1:16" x14ac:dyDescent="0.25">
      <c r="A532" s="1">
        <v>775829411</v>
      </c>
      <c r="B532" s="1" t="s">
        <v>37</v>
      </c>
      <c r="C532" s="1" t="s">
        <v>17</v>
      </c>
      <c r="D532" s="1">
        <v>47492</v>
      </c>
      <c r="E532" s="1">
        <v>1583</v>
      </c>
      <c r="F532" s="1">
        <v>27</v>
      </c>
      <c r="G532" s="13">
        <f>Table[[#This Row],[Return Value]]/Table[[#This Row],[Sell Value]]</f>
        <v>1.7056222362602652E-2</v>
      </c>
      <c r="H532" s="1" t="s">
        <v>3</v>
      </c>
      <c r="I532" s="1">
        <v>37</v>
      </c>
      <c r="J532" s="14">
        <f>Table[[#This Row],[Sell Value]]*Table[[#This Row],[Selling Price]]</f>
        <v>58571</v>
      </c>
      <c r="K532" s="1" t="s">
        <v>4</v>
      </c>
      <c r="L532" s="1" t="s">
        <v>5</v>
      </c>
      <c r="M532" s="1" t="s">
        <v>59</v>
      </c>
      <c r="N532" s="1">
        <v>0.2</v>
      </c>
      <c r="O532" s="1" t="s">
        <v>82</v>
      </c>
      <c r="P532" s="1" t="s">
        <v>65</v>
      </c>
    </row>
    <row r="533" spans="1:16" x14ac:dyDescent="0.25">
      <c r="A533" s="1">
        <v>605165492</v>
      </c>
      <c r="B533" s="1" t="s">
        <v>40</v>
      </c>
      <c r="C533" s="1" t="s">
        <v>17</v>
      </c>
      <c r="D533" s="1">
        <v>48122</v>
      </c>
      <c r="E533" s="1">
        <v>3526</v>
      </c>
      <c r="F533" s="1">
        <v>34</v>
      </c>
      <c r="G533" s="13">
        <f>Table[[#This Row],[Return Value]]/Table[[#This Row],[Sell Value]]</f>
        <v>9.6426545660805441E-3</v>
      </c>
      <c r="H533" s="1" t="s">
        <v>3</v>
      </c>
      <c r="I533" s="1">
        <v>37</v>
      </c>
      <c r="J533" s="14">
        <f>Table[[#This Row],[Sell Value]]*Table[[#This Row],[Selling Price]]</f>
        <v>130462</v>
      </c>
      <c r="K533" s="1" t="s">
        <v>4</v>
      </c>
      <c r="L533" s="1" t="s">
        <v>9</v>
      </c>
      <c r="M533" s="1" t="s">
        <v>44</v>
      </c>
      <c r="N533" s="1">
        <v>0.2</v>
      </c>
      <c r="O533" s="1" t="s">
        <v>82</v>
      </c>
      <c r="P533" s="1" t="s">
        <v>45</v>
      </c>
    </row>
    <row r="534" spans="1:16" x14ac:dyDescent="0.25">
      <c r="A534" s="1">
        <v>525466568</v>
      </c>
      <c r="B534" s="1" t="s">
        <v>42</v>
      </c>
      <c r="C534" s="1" t="s">
        <v>2</v>
      </c>
      <c r="D534" s="1">
        <v>48375</v>
      </c>
      <c r="E534" s="1">
        <v>2616</v>
      </c>
      <c r="F534" s="1">
        <v>20</v>
      </c>
      <c r="G534" s="13">
        <f>Table[[#This Row],[Return Value]]/Table[[#This Row],[Sell Value]]</f>
        <v>7.6452599388379203E-3</v>
      </c>
      <c r="H534" s="1" t="s">
        <v>3</v>
      </c>
      <c r="I534" s="1">
        <v>42</v>
      </c>
      <c r="J534" s="14">
        <f>Table[[#This Row],[Sell Value]]*Table[[#This Row],[Selling Price]]</f>
        <v>109872</v>
      </c>
      <c r="K534" s="1" t="s">
        <v>4</v>
      </c>
      <c r="L534" s="1" t="s">
        <v>13</v>
      </c>
      <c r="M534" s="1" t="s">
        <v>10</v>
      </c>
      <c r="N534" s="1">
        <v>0.2</v>
      </c>
      <c r="O534" s="1" t="s">
        <v>81</v>
      </c>
      <c r="P534" s="1" t="s">
        <v>31</v>
      </c>
    </row>
    <row r="535" spans="1:16" x14ac:dyDescent="0.25">
      <c r="A535" s="1">
        <v>632391080</v>
      </c>
      <c r="B535" s="1" t="s">
        <v>46</v>
      </c>
      <c r="C535" s="1" t="s">
        <v>2</v>
      </c>
      <c r="D535" s="1">
        <v>47958</v>
      </c>
      <c r="E535" s="1">
        <v>2752</v>
      </c>
      <c r="F535" s="1">
        <v>21</v>
      </c>
      <c r="G535" s="13">
        <f>Table[[#This Row],[Return Value]]/Table[[#This Row],[Sell Value]]</f>
        <v>7.6308139534883718E-3</v>
      </c>
      <c r="H535" s="1" t="s">
        <v>3</v>
      </c>
      <c r="I535" s="1">
        <v>25</v>
      </c>
      <c r="J535" s="14">
        <f>Table[[#This Row],[Sell Value]]*Table[[#This Row],[Selling Price]]</f>
        <v>68800</v>
      </c>
      <c r="K535" s="1" t="s">
        <v>4</v>
      </c>
      <c r="L535" s="1" t="s">
        <v>18</v>
      </c>
      <c r="M535" s="1" t="s">
        <v>61</v>
      </c>
      <c r="N535" s="1">
        <v>0.2</v>
      </c>
      <c r="O535" s="1" t="s">
        <v>82</v>
      </c>
      <c r="P535" s="1" t="s">
        <v>31</v>
      </c>
    </row>
    <row r="536" spans="1:16" x14ac:dyDescent="0.25">
      <c r="A536" s="1">
        <v>801320108</v>
      </c>
      <c r="B536" s="1" t="s">
        <v>50</v>
      </c>
      <c r="C536" s="1" t="s">
        <v>2</v>
      </c>
      <c r="D536" s="1">
        <v>48321</v>
      </c>
      <c r="E536" s="1">
        <v>4852</v>
      </c>
      <c r="F536" s="1">
        <v>21</v>
      </c>
      <c r="G536" s="13">
        <f>Table[[#This Row],[Return Value]]/Table[[#This Row],[Sell Value]]</f>
        <v>4.3281121187139322E-3</v>
      </c>
      <c r="H536" s="1" t="s">
        <v>28</v>
      </c>
      <c r="I536" s="1">
        <v>28</v>
      </c>
      <c r="J536" s="14">
        <f>Table[[#This Row],[Sell Value]]*Table[[#This Row],[Selling Price]]</f>
        <v>135856</v>
      </c>
      <c r="K536" s="1" t="s">
        <v>4</v>
      </c>
      <c r="L536" s="1" t="s">
        <v>21</v>
      </c>
      <c r="M536" s="1" t="s">
        <v>44</v>
      </c>
      <c r="N536" s="1">
        <v>0.2</v>
      </c>
      <c r="O536" s="1" t="s">
        <v>82</v>
      </c>
      <c r="P536" s="1" t="s">
        <v>55</v>
      </c>
    </row>
    <row r="537" spans="1:16" x14ac:dyDescent="0.25">
      <c r="A537" s="1">
        <v>873530906</v>
      </c>
      <c r="B537" s="1" t="s">
        <v>53</v>
      </c>
      <c r="C537" s="1" t="s">
        <v>2</v>
      </c>
      <c r="D537" s="1">
        <v>48426</v>
      </c>
      <c r="E537" s="1">
        <v>1912</v>
      </c>
      <c r="F537" s="1">
        <v>33</v>
      </c>
      <c r="G537" s="13">
        <f>Table[[#This Row],[Return Value]]/Table[[#This Row],[Sell Value]]</f>
        <v>1.7259414225941423E-2</v>
      </c>
      <c r="H537" s="1" t="s">
        <v>3</v>
      </c>
      <c r="I537" s="1">
        <v>26</v>
      </c>
      <c r="J537" s="14">
        <f>Table[[#This Row],[Sell Value]]*Table[[#This Row],[Selling Price]]</f>
        <v>49712</v>
      </c>
      <c r="K537" s="1" t="s">
        <v>4</v>
      </c>
      <c r="L537" s="1" t="s">
        <v>25</v>
      </c>
      <c r="M537" s="1" t="s">
        <v>22</v>
      </c>
      <c r="N537" s="1">
        <v>0.2</v>
      </c>
      <c r="O537" s="1" t="s">
        <v>81</v>
      </c>
      <c r="P537" s="1" t="s">
        <v>55</v>
      </c>
    </row>
    <row r="538" spans="1:16" x14ac:dyDescent="0.25">
      <c r="A538" s="1">
        <v>829742623</v>
      </c>
      <c r="B538" s="1" t="s">
        <v>56</v>
      </c>
      <c r="C538" s="1" t="s">
        <v>2</v>
      </c>
      <c r="D538" s="1">
        <v>48085</v>
      </c>
      <c r="E538" s="1">
        <v>3191</v>
      </c>
      <c r="F538" s="1">
        <v>22</v>
      </c>
      <c r="G538" s="13">
        <f>Table[[#This Row],[Return Value]]/Table[[#This Row],[Sell Value]]</f>
        <v>6.8943904732058914E-3</v>
      </c>
      <c r="H538" s="1" t="s">
        <v>3</v>
      </c>
      <c r="I538" s="1">
        <v>22</v>
      </c>
      <c r="J538" s="14">
        <f>Table[[#This Row],[Sell Value]]*Table[[#This Row],[Selling Price]]</f>
        <v>70202</v>
      </c>
      <c r="K538" s="1" t="s">
        <v>4</v>
      </c>
      <c r="L538" s="1" t="s">
        <v>29</v>
      </c>
      <c r="M538" s="1" t="s">
        <v>22</v>
      </c>
      <c r="N538" s="1">
        <v>0.2</v>
      </c>
      <c r="O538" s="1" t="s">
        <v>82</v>
      </c>
      <c r="P538" s="1" t="s">
        <v>52</v>
      </c>
    </row>
    <row r="539" spans="1:16" x14ac:dyDescent="0.25">
      <c r="A539" s="1">
        <v>813723862</v>
      </c>
      <c r="B539" s="1" t="s">
        <v>1</v>
      </c>
      <c r="C539" s="1" t="s">
        <v>2</v>
      </c>
      <c r="D539" s="1">
        <v>47689</v>
      </c>
      <c r="E539" s="1">
        <v>3472</v>
      </c>
      <c r="F539" s="1">
        <v>49</v>
      </c>
      <c r="G539" s="13">
        <f>Table[[#This Row],[Return Value]]/Table[[#This Row],[Sell Value]]</f>
        <v>1.4112903225806451E-2</v>
      </c>
      <c r="H539" s="1" t="s">
        <v>3</v>
      </c>
      <c r="I539" s="1">
        <v>49</v>
      </c>
      <c r="J539" s="14">
        <f>Table[[#This Row],[Sell Value]]*Table[[#This Row],[Selling Price]]</f>
        <v>170128</v>
      </c>
      <c r="K539" s="1" t="s">
        <v>4</v>
      </c>
      <c r="L539" s="1" t="s">
        <v>29</v>
      </c>
      <c r="M539" s="1" t="s">
        <v>22</v>
      </c>
      <c r="N539" s="1">
        <v>0.2</v>
      </c>
      <c r="O539" s="1" t="s">
        <v>81</v>
      </c>
      <c r="P539" s="1" t="s">
        <v>67</v>
      </c>
    </row>
    <row r="540" spans="1:16" x14ac:dyDescent="0.25">
      <c r="A540" s="1">
        <v>604446768</v>
      </c>
      <c r="B540" s="1" t="s">
        <v>8</v>
      </c>
      <c r="C540" s="1" t="s">
        <v>2</v>
      </c>
      <c r="D540" s="1">
        <v>48316</v>
      </c>
      <c r="E540" s="1">
        <v>3641</v>
      </c>
      <c r="F540" s="1">
        <v>42</v>
      </c>
      <c r="G540" s="13">
        <f>Table[[#This Row],[Return Value]]/Table[[#This Row],[Sell Value]]</f>
        <v>1.1535292502059874E-2</v>
      </c>
      <c r="H540" s="1" t="s">
        <v>3</v>
      </c>
      <c r="I540" s="1">
        <v>34</v>
      </c>
      <c r="J540" s="14">
        <f>Table[[#This Row],[Sell Value]]*Table[[#This Row],[Selling Price]]</f>
        <v>123794</v>
      </c>
      <c r="K540" s="1" t="s">
        <v>4</v>
      </c>
      <c r="L540" s="1" t="s">
        <v>35</v>
      </c>
      <c r="M540" s="1" t="s">
        <v>10</v>
      </c>
      <c r="N540" s="1">
        <v>0.2</v>
      </c>
      <c r="O540" s="1" t="s">
        <v>82</v>
      </c>
      <c r="P540" s="1" t="s">
        <v>19</v>
      </c>
    </row>
    <row r="541" spans="1:16" x14ac:dyDescent="0.25">
      <c r="A541" s="1">
        <v>758454398</v>
      </c>
      <c r="B541" s="1" t="s">
        <v>12</v>
      </c>
      <c r="C541" s="1" t="s">
        <v>2</v>
      </c>
      <c r="D541" s="1">
        <v>48045</v>
      </c>
      <c r="E541" s="1">
        <v>4386</v>
      </c>
      <c r="F541" s="1">
        <v>45</v>
      </c>
      <c r="G541" s="13">
        <f>Table[[#This Row],[Return Value]]/Table[[#This Row],[Sell Value]]</f>
        <v>1.0259917920656635E-2</v>
      </c>
      <c r="H541" s="1" t="s">
        <v>3</v>
      </c>
      <c r="I541" s="1">
        <v>27</v>
      </c>
      <c r="J541" s="14">
        <f>Table[[#This Row],[Sell Value]]*Table[[#This Row],[Selling Price]]</f>
        <v>118422</v>
      </c>
      <c r="K541" s="1" t="s">
        <v>4</v>
      </c>
      <c r="L541" s="1" t="s">
        <v>38</v>
      </c>
      <c r="M541" s="1" t="s">
        <v>14</v>
      </c>
      <c r="N541" s="1">
        <v>0.2</v>
      </c>
      <c r="O541" s="1" t="s">
        <v>82</v>
      </c>
      <c r="P541" s="1" t="s">
        <v>63</v>
      </c>
    </row>
    <row r="542" spans="1:16" x14ac:dyDescent="0.25">
      <c r="A542" s="1">
        <v>579776994</v>
      </c>
      <c r="B542" s="1" t="s">
        <v>16</v>
      </c>
      <c r="C542" s="1" t="s">
        <v>17</v>
      </c>
      <c r="D542" s="1">
        <v>48076</v>
      </c>
      <c r="E542" s="1">
        <v>3587</v>
      </c>
      <c r="F542" s="1">
        <v>26</v>
      </c>
      <c r="G542" s="13">
        <f>Table[[#This Row],[Return Value]]/Table[[#This Row],[Sell Value]]</f>
        <v>7.2483969891274048E-3</v>
      </c>
      <c r="H542" s="1" t="s">
        <v>3</v>
      </c>
      <c r="I542" s="1">
        <v>38</v>
      </c>
      <c r="J542" s="14">
        <f>Table[[#This Row],[Sell Value]]*Table[[#This Row],[Selling Price]]</f>
        <v>136306</v>
      </c>
      <c r="K542" s="1" t="s">
        <v>4</v>
      </c>
      <c r="L542" s="1" t="s">
        <v>41</v>
      </c>
      <c r="M542" s="1" t="s">
        <v>30</v>
      </c>
      <c r="N542" s="1">
        <v>0.2</v>
      </c>
      <c r="O542" s="1" t="s">
        <v>81</v>
      </c>
      <c r="P542" s="1" t="s">
        <v>67</v>
      </c>
    </row>
    <row r="543" spans="1:16" x14ac:dyDescent="0.25">
      <c r="A543" s="1">
        <v>354086275</v>
      </c>
      <c r="B543" s="1" t="s">
        <v>20</v>
      </c>
      <c r="C543" s="1" t="s">
        <v>17</v>
      </c>
      <c r="D543" s="1">
        <v>48526</v>
      </c>
      <c r="E543" s="1">
        <v>3075</v>
      </c>
      <c r="F543" s="1">
        <v>50</v>
      </c>
      <c r="G543" s="13">
        <f>Table[[#This Row],[Return Value]]/Table[[#This Row],[Sell Value]]</f>
        <v>1.6260162601626018E-2</v>
      </c>
      <c r="H543" s="1" t="s">
        <v>3</v>
      </c>
      <c r="I543" s="1">
        <v>46</v>
      </c>
      <c r="J543" s="14">
        <f>Table[[#This Row],[Sell Value]]*Table[[#This Row],[Selling Price]]</f>
        <v>141450</v>
      </c>
      <c r="K543" s="1" t="s">
        <v>4</v>
      </c>
      <c r="L543" s="1" t="s">
        <v>43</v>
      </c>
      <c r="M543" s="1" t="s">
        <v>22</v>
      </c>
      <c r="N543" s="1">
        <v>0.2</v>
      </c>
      <c r="O543" s="1" t="s">
        <v>81</v>
      </c>
      <c r="P543" s="1" t="s">
        <v>55</v>
      </c>
    </row>
    <row r="544" spans="1:16" x14ac:dyDescent="0.25">
      <c r="A544" s="1">
        <v>259183812</v>
      </c>
      <c r="B544" s="1" t="s">
        <v>24</v>
      </c>
      <c r="C544" s="1" t="s">
        <v>2</v>
      </c>
      <c r="D544" s="1">
        <v>48251</v>
      </c>
      <c r="E544" s="1">
        <v>4110</v>
      </c>
      <c r="F544" s="1">
        <v>12</v>
      </c>
      <c r="G544" s="13">
        <f>Table[[#This Row],[Return Value]]/Table[[#This Row],[Sell Value]]</f>
        <v>2.9197080291970801E-3</v>
      </c>
      <c r="H544" s="1" t="s">
        <v>3</v>
      </c>
      <c r="I544" s="1">
        <v>41</v>
      </c>
      <c r="J544" s="14">
        <f>Table[[#This Row],[Sell Value]]*Table[[#This Row],[Selling Price]]</f>
        <v>168510</v>
      </c>
      <c r="K544" s="1" t="s">
        <v>4</v>
      </c>
      <c r="L544" s="1" t="s">
        <v>47</v>
      </c>
      <c r="M544" s="1" t="s">
        <v>33</v>
      </c>
      <c r="N544" s="1">
        <v>0.2</v>
      </c>
      <c r="O544" s="1" t="s">
        <v>81</v>
      </c>
      <c r="P544" s="1" t="s">
        <v>67</v>
      </c>
    </row>
    <row r="545" spans="1:16" x14ac:dyDescent="0.25">
      <c r="A545" s="1">
        <v>344254351</v>
      </c>
      <c r="B545" s="1" t="s">
        <v>27</v>
      </c>
      <c r="C545" s="1" t="s">
        <v>2</v>
      </c>
      <c r="D545" s="1">
        <v>47666</v>
      </c>
      <c r="E545" s="1">
        <v>1360</v>
      </c>
      <c r="F545" s="1">
        <v>30</v>
      </c>
      <c r="G545" s="13">
        <f>Table[[#This Row],[Return Value]]/Table[[#This Row],[Sell Value]]</f>
        <v>2.2058823529411766E-2</v>
      </c>
      <c r="H545" s="1" t="s">
        <v>3</v>
      </c>
      <c r="I545" s="1">
        <v>37</v>
      </c>
      <c r="J545" s="14">
        <f>Table[[#This Row],[Sell Value]]*Table[[#This Row],[Selling Price]]</f>
        <v>50320</v>
      </c>
      <c r="K545" s="1" t="s">
        <v>4</v>
      </c>
      <c r="L545" s="1" t="s">
        <v>51</v>
      </c>
      <c r="M545" s="1" t="s">
        <v>59</v>
      </c>
      <c r="N545" s="1">
        <v>0.2</v>
      </c>
      <c r="O545" s="1" t="s">
        <v>81</v>
      </c>
      <c r="P545" s="1" t="s">
        <v>23</v>
      </c>
    </row>
    <row r="546" spans="1:16" x14ac:dyDescent="0.25">
      <c r="A546" s="1">
        <v>460304021</v>
      </c>
      <c r="B546" s="1" t="s">
        <v>32</v>
      </c>
      <c r="C546" s="1" t="s">
        <v>17</v>
      </c>
      <c r="D546" s="1">
        <v>48381</v>
      </c>
      <c r="E546" s="1">
        <v>2978</v>
      </c>
      <c r="F546" s="1">
        <v>41</v>
      </c>
      <c r="G546" s="13">
        <f>Table[[#This Row],[Return Value]]/Table[[#This Row],[Sell Value]]</f>
        <v>1.3767629281396911E-2</v>
      </c>
      <c r="H546" s="1" t="s">
        <v>3</v>
      </c>
      <c r="I546" s="1">
        <v>22</v>
      </c>
      <c r="J546" s="14">
        <f>Table[[#This Row],[Sell Value]]*Table[[#This Row],[Selling Price]]</f>
        <v>65516</v>
      </c>
      <c r="K546" s="1" t="s">
        <v>4</v>
      </c>
      <c r="L546" s="1" t="s">
        <v>54</v>
      </c>
      <c r="M546" s="1" t="s">
        <v>6</v>
      </c>
      <c r="N546" s="1">
        <v>0.2</v>
      </c>
      <c r="O546" s="1" t="s">
        <v>81</v>
      </c>
      <c r="P546" s="1" t="s">
        <v>36</v>
      </c>
    </row>
    <row r="547" spans="1:16" x14ac:dyDescent="0.25">
      <c r="A547" s="1">
        <v>822298243</v>
      </c>
      <c r="B547" s="1" t="s">
        <v>34</v>
      </c>
      <c r="C547" s="1" t="s">
        <v>2</v>
      </c>
      <c r="D547" s="1">
        <v>47908</v>
      </c>
      <c r="E547" s="1">
        <v>3373</v>
      </c>
      <c r="F547" s="1">
        <v>16</v>
      </c>
      <c r="G547" s="13">
        <f>Table[[#This Row],[Return Value]]/Table[[#This Row],[Sell Value]]</f>
        <v>4.7435517343611027E-3</v>
      </c>
      <c r="H547" s="1" t="s">
        <v>70</v>
      </c>
      <c r="I547" s="1">
        <v>26</v>
      </c>
      <c r="J547" s="14">
        <f>Table[[#This Row],[Sell Value]]*Table[[#This Row],[Selling Price]]</f>
        <v>87698</v>
      </c>
      <c r="K547" s="1" t="s">
        <v>71</v>
      </c>
      <c r="L547" s="1" t="s">
        <v>57</v>
      </c>
      <c r="M547" s="1" t="s">
        <v>30</v>
      </c>
      <c r="N547" s="1">
        <v>0.2</v>
      </c>
      <c r="O547" s="1" t="s">
        <v>82</v>
      </c>
      <c r="P547" s="1" t="s">
        <v>65</v>
      </c>
    </row>
    <row r="548" spans="1:16" x14ac:dyDescent="0.25">
      <c r="A548" s="1">
        <v>645369291</v>
      </c>
      <c r="B548" s="1" t="s">
        <v>37</v>
      </c>
      <c r="C548" s="1" t="s">
        <v>17</v>
      </c>
      <c r="D548" s="1">
        <v>47815</v>
      </c>
      <c r="E548" s="1">
        <v>4465</v>
      </c>
      <c r="F548" s="1">
        <v>36</v>
      </c>
      <c r="G548" s="13">
        <f>Table[[#This Row],[Return Value]]/Table[[#This Row],[Sell Value]]</f>
        <v>8.0627099664053754E-3</v>
      </c>
      <c r="H548" s="1" t="s">
        <v>64</v>
      </c>
      <c r="I548" s="1">
        <v>32</v>
      </c>
      <c r="J548" s="14">
        <f>Table[[#This Row],[Sell Value]]*Table[[#This Row],[Selling Price]]</f>
        <v>142880</v>
      </c>
      <c r="K548" s="1" t="s">
        <v>4</v>
      </c>
      <c r="L548" s="1" t="s">
        <v>5</v>
      </c>
      <c r="M548" s="1" t="s">
        <v>22</v>
      </c>
      <c r="N548" s="1">
        <v>0.2</v>
      </c>
      <c r="O548" s="1" t="s">
        <v>82</v>
      </c>
      <c r="P548" s="1" t="s">
        <v>31</v>
      </c>
    </row>
    <row r="549" spans="1:16" x14ac:dyDescent="0.25">
      <c r="A549" s="1">
        <v>935327102</v>
      </c>
      <c r="B549" s="1" t="s">
        <v>40</v>
      </c>
      <c r="C549" s="1" t="s">
        <v>17</v>
      </c>
      <c r="D549" s="1">
        <v>47954</v>
      </c>
      <c r="E549" s="1">
        <v>3103</v>
      </c>
      <c r="F549" s="1">
        <v>43</v>
      </c>
      <c r="G549" s="13">
        <f>Table[[#This Row],[Return Value]]/Table[[#This Row],[Sell Value]]</f>
        <v>1.3857557202707057E-2</v>
      </c>
      <c r="H549" s="1" t="s">
        <v>3</v>
      </c>
      <c r="I549" s="1">
        <v>27</v>
      </c>
      <c r="J549" s="14">
        <f>Table[[#This Row],[Sell Value]]*Table[[#This Row],[Selling Price]]</f>
        <v>83781</v>
      </c>
      <c r="K549" s="1" t="s">
        <v>4</v>
      </c>
      <c r="L549" s="1" t="s">
        <v>9</v>
      </c>
      <c r="M549" s="1" t="s">
        <v>26</v>
      </c>
      <c r="N549" s="1">
        <v>0.2</v>
      </c>
      <c r="O549" s="1" t="s">
        <v>82</v>
      </c>
      <c r="P549" s="1" t="s">
        <v>62</v>
      </c>
    </row>
    <row r="550" spans="1:16" x14ac:dyDescent="0.25">
      <c r="A550" s="1">
        <v>752072949</v>
      </c>
      <c r="B550" s="1" t="s">
        <v>42</v>
      </c>
      <c r="C550" s="1" t="s">
        <v>2</v>
      </c>
      <c r="D550" s="1">
        <v>47805</v>
      </c>
      <c r="E550" s="1">
        <v>1292</v>
      </c>
      <c r="F550" s="1">
        <v>47</v>
      </c>
      <c r="G550" s="13">
        <f>Table[[#This Row],[Return Value]]/Table[[#This Row],[Sell Value]]</f>
        <v>3.637770897832817E-2</v>
      </c>
      <c r="H550" s="1" t="s">
        <v>3</v>
      </c>
      <c r="I550" s="1">
        <v>29</v>
      </c>
      <c r="J550" s="14">
        <f>Table[[#This Row],[Sell Value]]*Table[[#This Row],[Selling Price]]</f>
        <v>37468</v>
      </c>
      <c r="K550" s="1" t="s">
        <v>4</v>
      </c>
      <c r="L550" s="1" t="s">
        <v>13</v>
      </c>
      <c r="M550" s="1" t="s">
        <v>59</v>
      </c>
      <c r="N550" s="1">
        <v>0.2</v>
      </c>
      <c r="O550" s="1" t="s">
        <v>82</v>
      </c>
      <c r="P550" s="1" t="s">
        <v>7</v>
      </c>
    </row>
    <row r="551" spans="1:16" x14ac:dyDescent="0.25">
      <c r="A551" s="1">
        <v>606486580</v>
      </c>
      <c r="B551" s="1" t="s">
        <v>46</v>
      </c>
      <c r="C551" s="1" t="s">
        <v>2</v>
      </c>
      <c r="D551" s="1">
        <v>47776</v>
      </c>
      <c r="E551" s="1">
        <v>4273</v>
      </c>
      <c r="F551" s="1">
        <v>37</v>
      </c>
      <c r="G551" s="13">
        <f>Table[[#This Row],[Return Value]]/Table[[#This Row],[Sell Value]]</f>
        <v>8.6590217645682189E-3</v>
      </c>
      <c r="H551" s="1" t="s">
        <v>3</v>
      </c>
      <c r="I551" s="1">
        <v>38</v>
      </c>
      <c r="J551" s="14">
        <f>Table[[#This Row],[Sell Value]]*Table[[#This Row],[Selling Price]]</f>
        <v>162374</v>
      </c>
      <c r="K551" s="1" t="s">
        <v>4</v>
      </c>
      <c r="L551" s="1" t="s">
        <v>18</v>
      </c>
      <c r="M551" s="1" t="s">
        <v>59</v>
      </c>
      <c r="N551" s="1">
        <v>0.2</v>
      </c>
      <c r="O551" s="1" t="s">
        <v>81</v>
      </c>
      <c r="P551" s="1" t="s">
        <v>11</v>
      </c>
    </row>
    <row r="552" spans="1:16" x14ac:dyDescent="0.25">
      <c r="A552" s="1">
        <v>183166352</v>
      </c>
      <c r="B552" s="1" t="s">
        <v>50</v>
      </c>
      <c r="C552" s="1" t="s">
        <v>2</v>
      </c>
      <c r="D552" s="1">
        <v>47484</v>
      </c>
      <c r="E552" s="1">
        <v>2918</v>
      </c>
      <c r="F552" s="1">
        <v>45</v>
      </c>
      <c r="G552" s="13">
        <f>Table[[#This Row],[Return Value]]/Table[[#This Row],[Sell Value]]</f>
        <v>1.5421521590130226E-2</v>
      </c>
      <c r="H552" s="1" t="s">
        <v>3</v>
      </c>
      <c r="I552" s="1">
        <v>29</v>
      </c>
      <c r="J552" s="14">
        <f>Table[[#This Row],[Sell Value]]*Table[[#This Row],[Selling Price]]</f>
        <v>84622</v>
      </c>
      <c r="K552" s="1" t="s">
        <v>4</v>
      </c>
      <c r="L552" s="1" t="s">
        <v>21</v>
      </c>
      <c r="M552" s="1" t="s">
        <v>33</v>
      </c>
      <c r="N552" s="1">
        <v>0.2</v>
      </c>
      <c r="O552" s="1" t="s">
        <v>81</v>
      </c>
      <c r="P552" s="1" t="s">
        <v>15</v>
      </c>
    </row>
    <row r="553" spans="1:16" x14ac:dyDescent="0.25">
      <c r="A553" s="1">
        <v>620882368</v>
      </c>
      <c r="B553" s="1" t="s">
        <v>53</v>
      </c>
      <c r="C553" s="1" t="s">
        <v>2</v>
      </c>
      <c r="D553" s="1">
        <v>47900</v>
      </c>
      <c r="E553" s="1">
        <v>4388</v>
      </c>
      <c r="F553" s="1">
        <v>40</v>
      </c>
      <c r="G553" s="13">
        <f>Table[[#This Row],[Return Value]]/Table[[#This Row],[Sell Value]]</f>
        <v>9.1157702825888781E-3</v>
      </c>
      <c r="H553" s="1" t="s">
        <v>3</v>
      </c>
      <c r="I553" s="1">
        <v>27</v>
      </c>
      <c r="J553" s="14">
        <f>Table[[#This Row],[Sell Value]]*Table[[#This Row],[Selling Price]]</f>
        <v>118476</v>
      </c>
      <c r="K553" s="1" t="s">
        <v>4</v>
      </c>
      <c r="L553" s="1" t="s">
        <v>25</v>
      </c>
      <c r="M553" s="1" t="s">
        <v>14</v>
      </c>
      <c r="N553" s="1">
        <v>0.2</v>
      </c>
      <c r="O553" s="1" t="s">
        <v>81</v>
      </c>
      <c r="P553" s="1" t="s">
        <v>23</v>
      </c>
    </row>
    <row r="554" spans="1:16" x14ac:dyDescent="0.25">
      <c r="A554" s="1">
        <v>978618623</v>
      </c>
      <c r="B554" s="1" t="s">
        <v>56</v>
      </c>
      <c r="C554" s="1" t="s">
        <v>2</v>
      </c>
      <c r="D554" s="1">
        <v>48366</v>
      </c>
      <c r="E554" s="1">
        <v>1779</v>
      </c>
      <c r="F554" s="1">
        <v>29</v>
      </c>
      <c r="G554" s="13">
        <f>Table[[#This Row],[Return Value]]/Table[[#This Row],[Sell Value]]</f>
        <v>1.6301292861157952E-2</v>
      </c>
      <c r="H554" s="1" t="s">
        <v>3</v>
      </c>
      <c r="I554" s="1">
        <v>34</v>
      </c>
      <c r="J554" s="14">
        <f>Table[[#This Row],[Sell Value]]*Table[[#This Row],[Selling Price]]</f>
        <v>60486</v>
      </c>
      <c r="K554" s="1" t="s">
        <v>4</v>
      </c>
      <c r="L554" s="1" t="s">
        <v>29</v>
      </c>
      <c r="M554" s="1" t="s">
        <v>14</v>
      </c>
      <c r="N554" s="1">
        <v>0.2</v>
      </c>
      <c r="O554" s="1" t="s">
        <v>82</v>
      </c>
      <c r="P554" s="1" t="s">
        <v>52</v>
      </c>
    </row>
    <row r="555" spans="1:16" x14ac:dyDescent="0.25">
      <c r="A555" s="1">
        <v>957468724</v>
      </c>
      <c r="B555" s="1" t="s">
        <v>1</v>
      </c>
      <c r="C555" s="1" t="s">
        <v>2</v>
      </c>
      <c r="D555" s="1">
        <v>47869</v>
      </c>
      <c r="E555" s="1">
        <v>3850</v>
      </c>
      <c r="F555" s="1">
        <v>50</v>
      </c>
      <c r="G555" s="13">
        <f>Table[[#This Row],[Return Value]]/Table[[#This Row],[Sell Value]]</f>
        <v>1.2987012987012988E-2</v>
      </c>
      <c r="H555" s="1" t="s">
        <v>3</v>
      </c>
      <c r="I555" s="1">
        <v>43</v>
      </c>
      <c r="J555" s="14">
        <f>Table[[#This Row],[Sell Value]]*Table[[#This Row],[Selling Price]]</f>
        <v>165550</v>
      </c>
      <c r="K555" s="1" t="s">
        <v>4</v>
      </c>
      <c r="L555" s="1" t="s">
        <v>29</v>
      </c>
      <c r="M555" s="1" t="s">
        <v>44</v>
      </c>
      <c r="N555" s="1">
        <v>0.2</v>
      </c>
      <c r="O555" s="1" t="s">
        <v>82</v>
      </c>
      <c r="P555" s="1" t="s">
        <v>23</v>
      </c>
    </row>
    <row r="556" spans="1:16" x14ac:dyDescent="0.25">
      <c r="A556" s="1">
        <v>866274532</v>
      </c>
      <c r="B556" s="1" t="s">
        <v>8</v>
      </c>
      <c r="C556" s="1" t="s">
        <v>2</v>
      </c>
      <c r="D556" s="1">
        <v>47830</v>
      </c>
      <c r="E556" s="1">
        <v>4576</v>
      </c>
      <c r="F556" s="1">
        <v>45</v>
      </c>
      <c r="G556" s="13">
        <f>Table[[#This Row],[Return Value]]/Table[[#This Row],[Sell Value]]</f>
        <v>9.833916083916084E-3</v>
      </c>
      <c r="H556" s="1" t="s">
        <v>3</v>
      </c>
      <c r="I556" s="1">
        <v>44</v>
      </c>
      <c r="J556" s="14">
        <f>Table[[#This Row],[Sell Value]]*Table[[#This Row],[Selling Price]]</f>
        <v>201344</v>
      </c>
      <c r="K556" s="1" t="s">
        <v>4</v>
      </c>
      <c r="L556" s="1" t="s">
        <v>35</v>
      </c>
      <c r="M556" s="1" t="s">
        <v>61</v>
      </c>
      <c r="N556" s="1">
        <v>0.2</v>
      </c>
      <c r="O556" s="1" t="s">
        <v>81</v>
      </c>
      <c r="P556" s="1" t="s">
        <v>63</v>
      </c>
    </row>
    <row r="557" spans="1:16" x14ac:dyDescent="0.25">
      <c r="A557" s="1">
        <v>386676338</v>
      </c>
      <c r="B557" s="1" t="s">
        <v>12</v>
      </c>
      <c r="C557" s="1" t="s">
        <v>2</v>
      </c>
      <c r="D557" s="1">
        <v>47762</v>
      </c>
      <c r="E557" s="1">
        <v>3526</v>
      </c>
      <c r="F557" s="1">
        <v>28</v>
      </c>
      <c r="G557" s="13">
        <f>Table[[#This Row],[Return Value]]/Table[[#This Row],[Sell Value]]</f>
        <v>7.9410096426545656E-3</v>
      </c>
      <c r="H557" s="1" t="s">
        <v>3</v>
      </c>
      <c r="I557" s="1">
        <v>36</v>
      </c>
      <c r="J557" s="14">
        <f>Table[[#This Row],[Sell Value]]*Table[[#This Row],[Selling Price]]</f>
        <v>126936</v>
      </c>
      <c r="K557" s="1" t="s">
        <v>4</v>
      </c>
      <c r="L557" s="1" t="s">
        <v>38</v>
      </c>
      <c r="M557" s="1" t="s">
        <v>59</v>
      </c>
      <c r="N557" s="1">
        <v>0.2</v>
      </c>
      <c r="O557" s="1" t="s">
        <v>81</v>
      </c>
      <c r="P557" s="1" t="s">
        <v>67</v>
      </c>
    </row>
    <row r="558" spans="1:16" x14ac:dyDescent="0.25">
      <c r="A558" s="1">
        <v>288914484</v>
      </c>
      <c r="B558" s="1" t="s">
        <v>16</v>
      </c>
      <c r="C558" s="1" t="s">
        <v>17</v>
      </c>
      <c r="D558" s="1">
        <v>48205</v>
      </c>
      <c r="E558" s="1">
        <v>1917</v>
      </c>
      <c r="F558" s="1">
        <v>31</v>
      </c>
      <c r="G558" s="13">
        <f>Table[[#This Row],[Return Value]]/Table[[#This Row],[Sell Value]]</f>
        <v>1.6171100678142931E-2</v>
      </c>
      <c r="H558" s="1" t="s">
        <v>3</v>
      </c>
      <c r="I558" s="1">
        <v>28</v>
      </c>
      <c r="J558" s="14">
        <f>Table[[#This Row],[Sell Value]]*Table[[#This Row],[Selling Price]]</f>
        <v>53676</v>
      </c>
      <c r="K558" s="1" t="s">
        <v>4</v>
      </c>
      <c r="L558" s="1" t="s">
        <v>41</v>
      </c>
      <c r="M558" s="1" t="s">
        <v>59</v>
      </c>
      <c r="N558" s="1">
        <v>0.2</v>
      </c>
      <c r="O558" s="1" t="s">
        <v>82</v>
      </c>
      <c r="P558" s="1" t="s">
        <v>58</v>
      </c>
    </row>
    <row r="559" spans="1:16" x14ac:dyDescent="0.25">
      <c r="A559" s="1">
        <v>310849286</v>
      </c>
      <c r="B559" s="1" t="s">
        <v>20</v>
      </c>
      <c r="C559" s="1" t="s">
        <v>17</v>
      </c>
      <c r="D559" s="1">
        <v>48012</v>
      </c>
      <c r="E559" s="1">
        <v>1308</v>
      </c>
      <c r="F559" s="1">
        <v>43</v>
      </c>
      <c r="G559" s="13">
        <f>Table[[#This Row],[Return Value]]/Table[[#This Row],[Sell Value]]</f>
        <v>3.2874617737003058E-2</v>
      </c>
      <c r="H559" s="1" t="s">
        <v>3</v>
      </c>
      <c r="I559" s="1">
        <v>49</v>
      </c>
      <c r="J559" s="14">
        <f>Table[[#This Row],[Sell Value]]*Table[[#This Row],[Selling Price]]</f>
        <v>64092</v>
      </c>
      <c r="K559" s="1" t="s">
        <v>4</v>
      </c>
      <c r="L559" s="1" t="s">
        <v>43</v>
      </c>
      <c r="M559" s="1" t="s">
        <v>48</v>
      </c>
      <c r="N559" s="1">
        <v>0.2</v>
      </c>
      <c r="O559" s="1" t="s">
        <v>82</v>
      </c>
      <c r="P559" s="1" t="s">
        <v>39</v>
      </c>
    </row>
    <row r="560" spans="1:16" x14ac:dyDescent="0.25">
      <c r="A560" s="1">
        <v>364049951</v>
      </c>
      <c r="B560" s="1" t="s">
        <v>24</v>
      </c>
      <c r="C560" s="1" t="s">
        <v>2</v>
      </c>
      <c r="D560" s="1">
        <v>48393</v>
      </c>
      <c r="E560" s="1">
        <v>4004</v>
      </c>
      <c r="F560" s="1">
        <v>11</v>
      </c>
      <c r="G560" s="13">
        <f>Table[[#This Row],[Return Value]]/Table[[#This Row],[Sell Value]]</f>
        <v>2.7472527472527475E-3</v>
      </c>
      <c r="H560" s="1" t="s">
        <v>3</v>
      </c>
      <c r="I560" s="1">
        <v>24</v>
      </c>
      <c r="J560" s="14">
        <f>Table[[#This Row],[Sell Value]]*Table[[#This Row],[Selling Price]]</f>
        <v>96096</v>
      </c>
      <c r="K560" s="1" t="s">
        <v>4</v>
      </c>
      <c r="L560" s="1" t="s">
        <v>47</v>
      </c>
      <c r="M560" s="1" t="s">
        <v>6</v>
      </c>
      <c r="N560" s="1">
        <v>0.2</v>
      </c>
      <c r="O560" s="1" t="s">
        <v>81</v>
      </c>
      <c r="P560" s="1" t="s">
        <v>55</v>
      </c>
    </row>
    <row r="561" spans="1:16" x14ac:dyDescent="0.25">
      <c r="A561" s="1">
        <v>6361162</v>
      </c>
      <c r="B561" s="1" t="s">
        <v>27</v>
      </c>
      <c r="C561" s="1" t="s">
        <v>2</v>
      </c>
      <c r="D561" s="1">
        <v>47500</v>
      </c>
      <c r="E561" s="1">
        <v>2823</v>
      </c>
      <c r="F561" s="1">
        <v>29</v>
      </c>
      <c r="G561" s="13">
        <f>Table[[#This Row],[Return Value]]/Table[[#This Row],[Sell Value]]</f>
        <v>1.0272759475735034E-2</v>
      </c>
      <c r="H561" s="1" t="s">
        <v>3</v>
      </c>
      <c r="I561" s="1">
        <v>36</v>
      </c>
      <c r="J561" s="14">
        <f>Table[[#This Row],[Sell Value]]*Table[[#This Row],[Selling Price]]</f>
        <v>101628</v>
      </c>
      <c r="K561" s="1" t="s">
        <v>4</v>
      </c>
      <c r="L561" s="1" t="s">
        <v>51</v>
      </c>
      <c r="M561" s="1" t="s">
        <v>6</v>
      </c>
      <c r="N561" s="1">
        <v>0.2</v>
      </c>
      <c r="O561" s="1" t="s">
        <v>81</v>
      </c>
      <c r="P561" s="1" t="s">
        <v>49</v>
      </c>
    </row>
    <row r="562" spans="1:16" x14ac:dyDescent="0.25">
      <c r="A562" s="1">
        <v>34926585</v>
      </c>
      <c r="B562" s="1" t="s">
        <v>32</v>
      </c>
      <c r="C562" s="1" t="s">
        <v>17</v>
      </c>
      <c r="D562" s="1">
        <v>47939</v>
      </c>
      <c r="E562" s="1">
        <v>1126</v>
      </c>
      <c r="F562" s="1">
        <v>29</v>
      </c>
      <c r="G562" s="13">
        <f>Table[[#This Row],[Return Value]]/Table[[#This Row],[Sell Value]]</f>
        <v>2.5754884547069271E-2</v>
      </c>
      <c r="H562" s="1" t="s">
        <v>3</v>
      </c>
      <c r="I562" s="1">
        <v>26</v>
      </c>
      <c r="J562" s="14">
        <f>Table[[#This Row],[Sell Value]]*Table[[#This Row],[Selling Price]]</f>
        <v>29276</v>
      </c>
      <c r="K562" s="1" t="s">
        <v>4</v>
      </c>
      <c r="L562" s="1" t="s">
        <v>54</v>
      </c>
      <c r="M562" s="1" t="s">
        <v>26</v>
      </c>
      <c r="N562" s="1">
        <v>0.2</v>
      </c>
      <c r="O562" s="1" t="s">
        <v>82</v>
      </c>
      <c r="P562" s="1" t="s">
        <v>66</v>
      </c>
    </row>
    <row r="563" spans="1:16" x14ac:dyDescent="0.25">
      <c r="A563" s="1">
        <v>692720271</v>
      </c>
      <c r="B563" s="1" t="s">
        <v>34</v>
      </c>
      <c r="C563" s="1" t="s">
        <v>2</v>
      </c>
      <c r="D563" s="1">
        <v>48370</v>
      </c>
      <c r="E563" s="1">
        <v>2323</v>
      </c>
      <c r="F563" s="1">
        <v>31</v>
      </c>
      <c r="G563" s="13">
        <f>Table[[#This Row],[Return Value]]/Table[[#This Row],[Sell Value]]</f>
        <v>1.334481274214378E-2</v>
      </c>
      <c r="H563" s="1" t="s">
        <v>3</v>
      </c>
      <c r="I563" s="1">
        <v>26</v>
      </c>
      <c r="J563" s="14">
        <f>Table[[#This Row],[Sell Value]]*Table[[#This Row],[Selling Price]]</f>
        <v>60398</v>
      </c>
      <c r="K563" s="1" t="s">
        <v>4</v>
      </c>
      <c r="L563" s="1" t="s">
        <v>57</v>
      </c>
      <c r="M563" s="1" t="s">
        <v>30</v>
      </c>
      <c r="N563" s="1">
        <v>0.2</v>
      </c>
      <c r="O563" s="1" t="s">
        <v>82</v>
      </c>
      <c r="P563" s="1" t="s">
        <v>39</v>
      </c>
    </row>
    <row r="564" spans="1:16" x14ac:dyDescent="0.25">
      <c r="A564" s="1">
        <v>901449200</v>
      </c>
      <c r="B564" s="1" t="s">
        <v>37</v>
      </c>
      <c r="C564" s="1" t="s">
        <v>17</v>
      </c>
      <c r="D564" s="1">
        <v>47593</v>
      </c>
      <c r="E564" s="1">
        <v>3473</v>
      </c>
      <c r="F564" s="1">
        <v>49</v>
      </c>
      <c r="G564" s="13">
        <f>Table[[#This Row],[Return Value]]/Table[[#This Row],[Sell Value]]</f>
        <v>1.4108839619925137E-2</v>
      </c>
      <c r="H564" s="1" t="s">
        <v>3</v>
      </c>
      <c r="I564" s="1">
        <v>22</v>
      </c>
      <c r="J564" s="14">
        <f>Table[[#This Row],[Sell Value]]*Table[[#This Row],[Selling Price]]</f>
        <v>76406</v>
      </c>
      <c r="K564" s="1" t="s">
        <v>4</v>
      </c>
      <c r="L564" s="1" t="s">
        <v>5</v>
      </c>
      <c r="M564" s="1" t="s">
        <v>10</v>
      </c>
      <c r="N564" s="1">
        <v>0.2</v>
      </c>
      <c r="O564" s="1" t="s">
        <v>81</v>
      </c>
      <c r="P564" s="1" t="s">
        <v>23</v>
      </c>
    </row>
    <row r="565" spans="1:16" x14ac:dyDescent="0.25">
      <c r="A565" s="1">
        <v>417642308</v>
      </c>
      <c r="B565" s="1" t="s">
        <v>40</v>
      </c>
      <c r="C565" s="1" t="s">
        <v>17</v>
      </c>
      <c r="D565" s="1">
        <v>47582</v>
      </c>
      <c r="E565" s="1">
        <v>2614</v>
      </c>
      <c r="F565" s="1">
        <v>32</v>
      </c>
      <c r="G565" s="13">
        <f>Table[[#This Row],[Return Value]]/Table[[#This Row],[Sell Value]]</f>
        <v>1.224177505738332E-2</v>
      </c>
      <c r="H565" s="1" t="s">
        <v>3</v>
      </c>
      <c r="I565" s="1">
        <v>25</v>
      </c>
      <c r="J565" s="14">
        <f>Table[[#This Row],[Sell Value]]*Table[[#This Row],[Selling Price]]</f>
        <v>65350</v>
      </c>
      <c r="K565" s="1" t="s">
        <v>4</v>
      </c>
      <c r="L565" s="1" t="s">
        <v>9</v>
      </c>
      <c r="M565" s="1" t="s">
        <v>22</v>
      </c>
      <c r="N565" s="1">
        <v>0.2</v>
      </c>
      <c r="O565" s="1" t="s">
        <v>82</v>
      </c>
      <c r="P565" s="1" t="s">
        <v>66</v>
      </c>
    </row>
    <row r="566" spans="1:16" x14ac:dyDescent="0.25">
      <c r="A566" s="1">
        <v>335916838</v>
      </c>
      <c r="B566" s="1" t="s">
        <v>42</v>
      </c>
      <c r="C566" s="1" t="s">
        <v>2</v>
      </c>
      <c r="D566" s="1">
        <v>48325</v>
      </c>
      <c r="E566" s="1">
        <v>2623</v>
      </c>
      <c r="F566" s="1">
        <v>27</v>
      </c>
      <c r="G566" s="13">
        <f>Table[[#This Row],[Return Value]]/Table[[#This Row],[Sell Value]]</f>
        <v>1.0293556995806329E-2</v>
      </c>
      <c r="H566" s="1" t="s">
        <v>3</v>
      </c>
      <c r="I566" s="1">
        <v>47</v>
      </c>
      <c r="J566" s="14">
        <f>Table[[#This Row],[Sell Value]]*Table[[#This Row],[Selling Price]]</f>
        <v>123281</v>
      </c>
      <c r="K566" s="1" t="s">
        <v>4</v>
      </c>
      <c r="L566" s="1" t="s">
        <v>13</v>
      </c>
      <c r="M566" s="1" t="s">
        <v>48</v>
      </c>
      <c r="N566" s="1">
        <v>0.2</v>
      </c>
      <c r="O566" s="1" t="s">
        <v>81</v>
      </c>
      <c r="P566" s="1" t="s">
        <v>66</v>
      </c>
    </row>
    <row r="567" spans="1:16" x14ac:dyDescent="0.25">
      <c r="A567" s="1">
        <v>880150394</v>
      </c>
      <c r="B567" s="1" t="s">
        <v>46</v>
      </c>
      <c r="C567" s="1" t="s">
        <v>2</v>
      </c>
      <c r="D567" s="1">
        <v>48068</v>
      </c>
      <c r="E567" s="1">
        <v>4142</v>
      </c>
      <c r="F567" s="1">
        <v>50</v>
      </c>
      <c r="G567" s="13">
        <f>Table[[#This Row],[Return Value]]/Table[[#This Row],[Sell Value]]</f>
        <v>1.2071463061323033E-2</v>
      </c>
      <c r="H567" s="1" t="s">
        <v>3</v>
      </c>
      <c r="I567" s="1">
        <v>28</v>
      </c>
      <c r="J567" s="14">
        <f>Table[[#This Row],[Sell Value]]*Table[[#This Row],[Selling Price]]</f>
        <v>115976</v>
      </c>
      <c r="K567" s="1" t="s">
        <v>4</v>
      </c>
      <c r="L567" s="1" t="s">
        <v>18</v>
      </c>
      <c r="M567" s="1" t="s">
        <v>44</v>
      </c>
      <c r="N567" s="1">
        <v>0.2</v>
      </c>
      <c r="O567" s="1" t="s">
        <v>82</v>
      </c>
      <c r="P567" s="1" t="s">
        <v>39</v>
      </c>
    </row>
    <row r="568" spans="1:16" x14ac:dyDescent="0.25">
      <c r="A568" s="1">
        <v>476695858</v>
      </c>
      <c r="B568" s="1" t="s">
        <v>12</v>
      </c>
      <c r="C568" s="1" t="s">
        <v>2</v>
      </c>
      <c r="D568" s="1">
        <v>48497</v>
      </c>
      <c r="E568" s="1">
        <v>3229</v>
      </c>
      <c r="F568" s="1">
        <v>44</v>
      </c>
      <c r="G568" s="13">
        <f>Table[[#This Row],[Return Value]]/Table[[#This Row],[Sell Value]]</f>
        <v>1.3626509755342211E-2</v>
      </c>
      <c r="H568" s="1" t="s">
        <v>3</v>
      </c>
      <c r="I568" s="1">
        <v>35</v>
      </c>
      <c r="J568" s="14">
        <f>Table[[#This Row],[Sell Value]]*Table[[#This Row],[Selling Price]]</f>
        <v>113015</v>
      </c>
      <c r="K568" s="1" t="s">
        <v>4</v>
      </c>
      <c r="L568" s="1" t="s">
        <v>21</v>
      </c>
      <c r="M568" s="1" t="s">
        <v>10</v>
      </c>
      <c r="N568" s="1">
        <v>0.2</v>
      </c>
      <c r="O568" s="1" t="s">
        <v>81</v>
      </c>
      <c r="P568" s="1" t="s">
        <v>52</v>
      </c>
    </row>
    <row r="569" spans="1:16" x14ac:dyDescent="0.25">
      <c r="A569" s="1">
        <v>51693764</v>
      </c>
      <c r="B569" s="1" t="s">
        <v>16</v>
      </c>
      <c r="C569" s="1" t="s">
        <v>17</v>
      </c>
      <c r="D569" s="1">
        <v>47716</v>
      </c>
      <c r="E569" s="1">
        <v>1532</v>
      </c>
      <c r="F569" s="1">
        <v>33</v>
      </c>
      <c r="G569" s="13">
        <f>Table[[#This Row],[Return Value]]/Table[[#This Row],[Sell Value]]</f>
        <v>2.1540469973890339E-2</v>
      </c>
      <c r="H569" s="1" t="s">
        <v>3</v>
      </c>
      <c r="I569" s="1">
        <v>42</v>
      </c>
      <c r="J569" s="14">
        <f>Table[[#This Row],[Sell Value]]*Table[[#This Row],[Selling Price]]</f>
        <v>64344</v>
      </c>
      <c r="K569" s="1" t="s">
        <v>4</v>
      </c>
      <c r="L569" s="1" t="s">
        <v>25</v>
      </c>
      <c r="M569" s="1" t="s">
        <v>6</v>
      </c>
      <c r="N569" s="1">
        <v>0.2</v>
      </c>
      <c r="O569" s="1" t="s">
        <v>82</v>
      </c>
      <c r="P569" s="1" t="s">
        <v>58</v>
      </c>
    </row>
    <row r="570" spans="1:16" x14ac:dyDescent="0.25">
      <c r="A570" s="1">
        <v>451222750</v>
      </c>
      <c r="B570" s="1" t="s">
        <v>20</v>
      </c>
      <c r="C570" s="1" t="s">
        <v>17</v>
      </c>
      <c r="D570" s="1">
        <v>48355</v>
      </c>
      <c r="E570" s="1">
        <v>2036</v>
      </c>
      <c r="F570" s="1">
        <v>33</v>
      </c>
      <c r="G570" s="13">
        <f>Table[[#This Row],[Return Value]]/Table[[#This Row],[Sell Value]]</f>
        <v>1.6208251473477406E-2</v>
      </c>
      <c r="H570" s="1" t="s">
        <v>3</v>
      </c>
      <c r="I570" s="1">
        <v>48</v>
      </c>
      <c r="J570" s="14">
        <f>Table[[#This Row],[Sell Value]]*Table[[#This Row],[Selling Price]]</f>
        <v>97728</v>
      </c>
      <c r="K570" s="1" t="s">
        <v>4</v>
      </c>
      <c r="L570" s="1" t="s">
        <v>29</v>
      </c>
      <c r="M570" s="1" t="s">
        <v>10</v>
      </c>
      <c r="N570" s="1">
        <v>0.2</v>
      </c>
      <c r="O570" s="1" t="s">
        <v>81</v>
      </c>
      <c r="P570" s="1" t="s">
        <v>15</v>
      </c>
    </row>
    <row r="571" spans="1:16" x14ac:dyDescent="0.25">
      <c r="A571" s="1">
        <v>804372215</v>
      </c>
      <c r="B571" s="1" t="s">
        <v>24</v>
      </c>
      <c r="C571" s="1" t="s">
        <v>2</v>
      </c>
      <c r="D571" s="1">
        <v>48328</v>
      </c>
      <c r="E571" s="1">
        <v>4751</v>
      </c>
      <c r="F571" s="1">
        <v>41</v>
      </c>
      <c r="G571" s="13">
        <f>Table[[#This Row],[Return Value]]/Table[[#This Row],[Sell Value]]</f>
        <v>8.6297621553357191E-3</v>
      </c>
      <c r="H571" s="1" t="s">
        <v>3</v>
      </c>
      <c r="I571" s="1">
        <v>45</v>
      </c>
      <c r="J571" s="14">
        <f>Table[[#This Row],[Sell Value]]*Table[[#This Row],[Selling Price]]</f>
        <v>213795</v>
      </c>
      <c r="K571" s="1" t="s">
        <v>4</v>
      </c>
      <c r="L571" s="1" t="s">
        <v>29</v>
      </c>
      <c r="M571" s="1" t="s">
        <v>59</v>
      </c>
      <c r="N571" s="1">
        <v>0.2</v>
      </c>
      <c r="O571" s="1" t="s">
        <v>82</v>
      </c>
      <c r="P571" s="1" t="s">
        <v>36</v>
      </c>
    </row>
    <row r="572" spans="1:16" x14ac:dyDescent="0.25">
      <c r="A572" s="1">
        <v>705722433</v>
      </c>
      <c r="B572" s="1" t="s">
        <v>27</v>
      </c>
      <c r="C572" s="1" t="s">
        <v>2</v>
      </c>
      <c r="D572" s="1">
        <v>48286</v>
      </c>
      <c r="E572" s="1">
        <v>4387</v>
      </c>
      <c r="F572" s="1">
        <v>24</v>
      </c>
      <c r="G572" s="13">
        <f>Table[[#This Row],[Return Value]]/Table[[#This Row],[Sell Value]]</f>
        <v>5.4707089126966035E-3</v>
      </c>
      <c r="H572" s="1" t="s">
        <v>3</v>
      </c>
      <c r="I572" s="1">
        <v>44</v>
      </c>
      <c r="J572" s="14">
        <f>Table[[#This Row],[Sell Value]]*Table[[#This Row],[Selling Price]]</f>
        <v>193028</v>
      </c>
      <c r="K572" s="1" t="s">
        <v>4</v>
      </c>
      <c r="L572" s="1" t="s">
        <v>35</v>
      </c>
      <c r="M572" s="1" t="s">
        <v>59</v>
      </c>
      <c r="N572" s="1">
        <v>0.2</v>
      </c>
      <c r="O572" s="1" t="s">
        <v>81</v>
      </c>
      <c r="P572" s="1" t="s">
        <v>55</v>
      </c>
    </row>
    <row r="573" spans="1:16" x14ac:dyDescent="0.25">
      <c r="A573" s="1">
        <v>230883324</v>
      </c>
      <c r="B573" s="1" t="s">
        <v>32</v>
      </c>
      <c r="C573" s="1" t="s">
        <v>17</v>
      </c>
      <c r="D573" s="1">
        <v>47786</v>
      </c>
      <c r="E573" s="1">
        <v>1954</v>
      </c>
      <c r="F573" s="1">
        <v>27</v>
      </c>
      <c r="G573" s="13">
        <f>Table[[#This Row],[Return Value]]/Table[[#This Row],[Sell Value]]</f>
        <v>1.3817809621289662E-2</v>
      </c>
      <c r="H573" s="1" t="s">
        <v>3</v>
      </c>
      <c r="I573" s="1">
        <v>24</v>
      </c>
      <c r="J573" s="14">
        <f>Table[[#This Row],[Sell Value]]*Table[[#This Row],[Selling Price]]</f>
        <v>46896</v>
      </c>
      <c r="K573" s="1" t="s">
        <v>4</v>
      </c>
      <c r="L573" s="1" t="s">
        <v>38</v>
      </c>
      <c r="M573" s="1" t="s">
        <v>26</v>
      </c>
      <c r="N573" s="1">
        <v>0.2</v>
      </c>
      <c r="O573" s="1" t="s">
        <v>81</v>
      </c>
      <c r="P573" s="1" t="s">
        <v>66</v>
      </c>
    </row>
    <row r="574" spans="1:16" x14ac:dyDescent="0.25">
      <c r="A574" s="1">
        <v>502342042</v>
      </c>
      <c r="B574" s="1" t="s">
        <v>34</v>
      </c>
      <c r="C574" s="1" t="s">
        <v>2</v>
      </c>
      <c r="D574" s="1">
        <v>47622</v>
      </c>
      <c r="E574" s="1">
        <v>1642</v>
      </c>
      <c r="F574" s="1">
        <v>16</v>
      </c>
      <c r="G574" s="13">
        <f>Table[[#This Row],[Return Value]]/Table[[#This Row],[Sell Value]]</f>
        <v>9.7442143727161992E-3</v>
      </c>
      <c r="H574" s="1" t="s">
        <v>3</v>
      </c>
      <c r="I574" s="1">
        <v>42</v>
      </c>
      <c r="J574" s="14">
        <f>Table[[#This Row],[Sell Value]]*Table[[#This Row],[Selling Price]]</f>
        <v>68964</v>
      </c>
      <c r="K574" s="1" t="s">
        <v>4</v>
      </c>
      <c r="L574" s="1" t="s">
        <v>41</v>
      </c>
      <c r="M574" s="1" t="s">
        <v>44</v>
      </c>
      <c r="N574" s="1">
        <v>0.2</v>
      </c>
      <c r="O574" s="1" t="s">
        <v>82</v>
      </c>
      <c r="P574" s="1" t="s">
        <v>31</v>
      </c>
    </row>
    <row r="575" spans="1:16" x14ac:dyDescent="0.25">
      <c r="A575" s="1">
        <v>545934526</v>
      </c>
      <c r="B575" s="1" t="s">
        <v>37</v>
      </c>
      <c r="C575" s="1" t="s">
        <v>17</v>
      </c>
      <c r="D575" s="1">
        <v>48336</v>
      </c>
      <c r="E575" s="1">
        <v>3497</v>
      </c>
      <c r="F575" s="1">
        <v>21</v>
      </c>
      <c r="G575" s="13">
        <f>Table[[#This Row],[Return Value]]/Table[[#This Row],[Sell Value]]</f>
        <v>6.0051472690877891E-3</v>
      </c>
      <c r="H575" s="1" t="s">
        <v>3</v>
      </c>
      <c r="I575" s="1">
        <v>44</v>
      </c>
      <c r="J575" s="14">
        <f>Table[[#This Row],[Sell Value]]*Table[[#This Row],[Selling Price]]</f>
        <v>153868</v>
      </c>
      <c r="K575" s="1" t="s">
        <v>4</v>
      </c>
      <c r="L575" s="1" t="s">
        <v>43</v>
      </c>
      <c r="M575" s="1" t="s">
        <v>14</v>
      </c>
      <c r="N575" s="1">
        <v>0.2</v>
      </c>
      <c r="O575" s="1" t="s">
        <v>82</v>
      </c>
      <c r="P575" s="1" t="s">
        <v>15</v>
      </c>
    </row>
    <row r="576" spans="1:16" x14ac:dyDescent="0.25">
      <c r="A576" s="1">
        <v>136794974</v>
      </c>
      <c r="B576" s="1" t="s">
        <v>40</v>
      </c>
      <c r="C576" s="1" t="s">
        <v>17</v>
      </c>
      <c r="D576" s="1">
        <v>48305</v>
      </c>
      <c r="E576" s="1">
        <v>1917</v>
      </c>
      <c r="F576" s="1">
        <v>25</v>
      </c>
      <c r="G576" s="13">
        <f>Table[[#This Row],[Return Value]]/Table[[#This Row],[Sell Value]]</f>
        <v>1.3041210224308816E-2</v>
      </c>
      <c r="H576" s="1" t="s">
        <v>3</v>
      </c>
      <c r="I576" s="1">
        <v>50</v>
      </c>
      <c r="J576" s="14">
        <f>Table[[#This Row],[Sell Value]]*Table[[#This Row],[Selling Price]]</f>
        <v>95850</v>
      </c>
      <c r="K576" s="1" t="s">
        <v>4</v>
      </c>
      <c r="L576" s="1" t="s">
        <v>47</v>
      </c>
      <c r="M576" s="1" t="s">
        <v>26</v>
      </c>
      <c r="N576" s="1">
        <v>0.2</v>
      </c>
      <c r="O576" s="1" t="s">
        <v>82</v>
      </c>
      <c r="P576" s="1" t="s">
        <v>58</v>
      </c>
    </row>
    <row r="577" spans="1:16" x14ac:dyDescent="0.25">
      <c r="A577" s="1">
        <v>717627371</v>
      </c>
      <c r="B577" s="1" t="s">
        <v>42</v>
      </c>
      <c r="C577" s="1" t="s">
        <v>2</v>
      </c>
      <c r="D577" s="1">
        <v>48397</v>
      </c>
      <c r="E577" s="1">
        <v>1489</v>
      </c>
      <c r="F577" s="1">
        <v>12</v>
      </c>
      <c r="G577" s="13">
        <f>Table[[#This Row],[Return Value]]/Table[[#This Row],[Sell Value]]</f>
        <v>8.0591000671591667E-3</v>
      </c>
      <c r="H577" s="1" t="s">
        <v>3</v>
      </c>
      <c r="I577" s="1">
        <v>43</v>
      </c>
      <c r="J577" s="14">
        <f>Table[[#This Row],[Sell Value]]*Table[[#This Row],[Selling Price]]</f>
        <v>64027</v>
      </c>
      <c r="K577" s="1" t="s">
        <v>4</v>
      </c>
      <c r="L577" s="1" t="s">
        <v>51</v>
      </c>
      <c r="M577" s="1" t="s">
        <v>10</v>
      </c>
      <c r="N577" s="1">
        <v>0.2</v>
      </c>
      <c r="O577" s="1" t="s">
        <v>82</v>
      </c>
      <c r="P577" s="1" t="s">
        <v>7</v>
      </c>
    </row>
    <row r="578" spans="1:16" x14ac:dyDescent="0.25">
      <c r="A578" s="1">
        <v>435834606</v>
      </c>
      <c r="B578" s="1" t="s">
        <v>46</v>
      </c>
      <c r="C578" s="1" t="s">
        <v>2</v>
      </c>
      <c r="D578" s="1">
        <v>47701</v>
      </c>
      <c r="E578" s="1">
        <v>3318</v>
      </c>
      <c r="F578" s="1">
        <v>39</v>
      </c>
      <c r="G578" s="13">
        <f>Table[[#This Row],[Return Value]]/Table[[#This Row],[Sell Value]]</f>
        <v>1.1754068716094032E-2</v>
      </c>
      <c r="H578" s="1" t="s">
        <v>3</v>
      </c>
      <c r="I578" s="1">
        <v>22</v>
      </c>
      <c r="J578" s="14">
        <f>Table[[#This Row],[Sell Value]]*Table[[#This Row],[Selling Price]]</f>
        <v>72996</v>
      </c>
      <c r="K578" s="1" t="s">
        <v>4</v>
      </c>
      <c r="L578" s="1" t="s">
        <v>54</v>
      </c>
      <c r="M578" s="1" t="s">
        <v>44</v>
      </c>
      <c r="N578" s="1">
        <v>0.2</v>
      </c>
      <c r="O578" s="1" t="s">
        <v>81</v>
      </c>
      <c r="P578" s="1" t="s">
        <v>23</v>
      </c>
    </row>
    <row r="579" spans="1:16" x14ac:dyDescent="0.25">
      <c r="A579" s="1">
        <v>870449213</v>
      </c>
      <c r="B579" s="1" t="s">
        <v>50</v>
      </c>
      <c r="C579" s="1" t="s">
        <v>2</v>
      </c>
      <c r="D579" s="1">
        <v>48545</v>
      </c>
      <c r="E579" s="1">
        <v>4428</v>
      </c>
      <c r="F579" s="1">
        <v>20</v>
      </c>
      <c r="G579" s="13">
        <f>Table[[#This Row],[Return Value]]/Table[[#This Row],[Sell Value]]</f>
        <v>4.5167118337850042E-3</v>
      </c>
      <c r="H579" s="1" t="s">
        <v>3</v>
      </c>
      <c r="I579" s="1">
        <v>46</v>
      </c>
      <c r="J579" s="14">
        <f>Table[[#This Row],[Sell Value]]*Table[[#This Row],[Selling Price]]</f>
        <v>203688</v>
      </c>
      <c r="K579" s="1" t="s">
        <v>4</v>
      </c>
      <c r="L579" s="1" t="s">
        <v>57</v>
      </c>
      <c r="M579" s="1" t="s">
        <v>6</v>
      </c>
      <c r="N579" s="1">
        <v>0.2</v>
      </c>
      <c r="O579" s="1" t="s">
        <v>81</v>
      </c>
      <c r="P579" s="1" t="s">
        <v>19</v>
      </c>
    </row>
    <row r="580" spans="1:16" x14ac:dyDescent="0.25">
      <c r="A580" s="1">
        <v>584472547</v>
      </c>
      <c r="B580" s="1" t="s">
        <v>53</v>
      </c>
      <c r="C580" s="1" t="s">
        <v>2</v>
      </c>
      <c r="D580" s="1">
        <v>47971</v>
      </c>
      <c r="E580" s="1">
        <v>4687</v>
      </c>
      <c r="F580" s="1">
        <v>22</v>
      </c>
      <c r="G580" s="13">
        <f>Table[[#This Row],[Return Value]]/Table[[#This Row],[Sell Value]]</f>
        <v>4.6938340089609561E-3</v>
      </c>
      <c r="H580" s="1" t="s">
        <v>3</v>
      </c>
      <c r="I580" s="1">
        <v>22</v>
      </c>
      <c r="J580" s="14">
        <f>Table[[#This Row],[Sell Value]]*Table[[#This Row],[Selling Price]]</f>
        <v>103114</v>
      </c>
      <c r="K580" s="1" t="s">
        <v>4</v>
      </c>
      <c r="L580" s="1" t="s">
        <v>5</v>
      </c>
      <c r="M580" s="1" t="s">
        <v>44</v>
      </c>
      <c r="N580" s="1">
        <v>0.2</v>
      </c>
      <c r="O580" s="1" t="s">
        <v>82</v>
      </c>
      <c r="P580" s="1" t="s">
        <v>19</v>
      </c>
    </row>
    <row r="581" spans="1:16" x14ac:dyDescent="0.25">
      <c r="A581" s="1">
        <v>12697449</v>
      </c>
      <c r="B581" s="1" t="s">
        <v>56</v>
      </c>
      <c r="C581" s="1" t="s">
        <v>2</v>
      </c>
      <c r="D581" s="1">
        <v>47651</v>
      </c>
      <c r="E581" s="1">
        <v>4315</v>
      </c>
      <c r="F581" s="1">
        <v>48</v>
      </c>
      <c r="G581" s="13">
        <f>Table[[#This Row],[Return Value]]/Table[[#This Row],[Sell Value]]</f>
        <v>1.1123986095017382E-2</v>
      </c>
      <c r="H581" s="1" t="s">
        <v>3</v>
      </c>
      <c r="I581" s="1">
        <v>40</v>
      </c>
      <c r="J581" s="14">
        <f>Table[[#This Row],[Sell Value]]*Table[[#This Row],[Selling Price]]</f>
        <v>172600</v>
      </c>
      <c r="K581" s="1" t="s">
        <v>4</v>
      </c>
      <c r="L581" s="1" t="s">
        <v>9</v>
      </c>
      <c r="M581" s="1" t="s">
        <v>30</v>
      </c>
      <c r="N581" s="1">
        <v>0.2</v>
      </c>
      <c r="O581" s="1" t="s">
        <v>81</v>
      </c>
      <c r="P581" s="1" t="s">
        <v>63</v>
      </c>
    </row>
    <row r="582" spans="1:16" x14ac:dyDescent="0.25">
      <c r="A582" s="1">
        <v>924558009</v>
      </c>
      <c r="B582" s="1" t="s">
        <v>1</v>
      </c>
      <c r="C582" s="1" t="s">
        <v>2</v>
      </c>
      <c r="D582" s="1">
        <v>48474</v>
      </c>
      <c r="E582" s="1">
        <v>2072</v>
      </c>
      <c r="F582" s="1">
        <v>31</v>
      </c>
      <c r="G582" s="13">
        <f>Table[[#This Row],[Return Value]]/Table[[#This Row],[Sell Value]]</f>
        <v>1.4961389961389961E-2</v>
      </c>
      <c r="H582" s="1" t="s">
        <v>3</v>
      </c>
      <c r="I582" s="1">
        <v>35</v>
      </c>
      <c r="J582" s="14">
        <f>Table[[#This Row],[Sell Value]]*Table[[#This Row],[Selling Price]]</f>
        <v>72520</v>
      </c>
      <c r="K582" s="1" t="s">
        <v>4</v>
      </c>
      <c r="L582" s="1" t="s">
        <v>13</v>
      </c>
      <c r="M582" s="1" t="s">
        <v>33</v>
      </c>
      <c r="N582" s="1">
        <v>0.2</v>
      </c>
      <c r="O582" s="1" t="s">
        <v>81</v>
      </c>
      <c r="P582" s="1" t="s">
        <v>39</v>
      </c>
    </row>
    <row r="583" spans="1:16" x14ac:dyDescent="0.25">
      <c r="A583" s="1">
        <v>623823734</v>
      </c>
      <c r="B583" s="1" t="s">
        <v>8</v>
      </c>
      <c r="C583" s="1" t="s">
        <v>2</v>
      </c>
      <c r="D583" s="1">
        <v>47868</v>
      </c>
      <c r="E583" s="1">
        <v>3228</v>
      </c>
      <c r="F583" s="1">
        <v>17</v>
      </c>
      <c r="G583" s="13">
        <f>Table[[#This Row],[Return Value]]/Table[[#This Row],[Sell Value]]</f>
        <v>5.2664188351920693E-3</v>
      </c>
      <c r="H583" s="1" t="s">
        <v>3</v>
      </c>
      <c r="I583" s="1">
        <v>40</v>
      </c>
      <c r="J583" s="14">
        <f>Table[[#This Row],[Sell Value]]*Table[[#This Row],[Selling Price]]</f>
        <v>129120</v>
      </c>
      <c r="K583" s="1" t="s">
        <v>4</v>
      </c>
      <c r="L583" s="1" t="s">
        <v>18</v>
      </c>
      <c r="M583" s="1" t="s">
        <v>61</v>
      </c>
      <c r="N583" s="1">
        <v>0.2</v>
      </c>
      <c r="O583" s="1" t="s">
        <v>81</v>
      </c>
      <c r="P583" s="1" t="s">
        <v>15</v>
      </c>
    </row>
    <row r="584" spans="1:16" x14ac:dyDescent="0.25">
      <c r="A584" s="1">
        <v>171267869</v>
      </c>
      <c r="B584" s="1" t="s">
        <v>12</v>
      </c>
      <c r="C584" s="1" t="s">
        <v>2</v>
      </c>
      <c r="D584" s="1">
        <v>48210</v>
      </c>
      <c r="E584" s="1">
        <v>3422</v>
      </c>
      <c r="F584" s="1">
        <v>27</v>
      </c>
      <c r="G584" s="13">
        <f>Table[[#This Row],[Return Value]]/Table[[#This Row],[Sell Value]]</f>
        <v>7.8901227352425485E-3</v>
      </c>
      <c r="H584" s="1" t="s">
        <v>28</v>
      </c>
      <c r="I584" s="1">
        <v>24</v>
      </c>
      <c r="J584" s="14">
        <f>Table[[#This Row],[Sell Value]]*Table[[#This Row],[Selling Price]]</f>
        <v>82128</v>
      </c>
      <c r="K584" s="1" t="s">
        <v>4</v>
      </c>
      <c r="L584" s="1" t="s">
        <v>21</v>
      </c>
      <c r="M584" s="1" t="s">
        <v>44</v>
      </c>
      <c r="N584" s="1">
        <v>0.2</v>
      </c>
      <c r="O584" s="1" t="s">
        <v>82</v>
      </c>
      <c r="P584" s="1" t="s">
        <v>11</v>
      </c>
    </row>
    <row r="585" spans="1:16" x14ac:dyDescent="0.25">
      <c r="A585" s="1">
        <v>154149497</v>
      </c>
      <c r="B585" s="1" t="s">
        <v>16</v>
      </c>
      <c r="C585" s="1" t="s">
        <v>17</v>
      </c>
      <c r="D585" s="1">
        <v>47515</v>
      </c>
      <c r="E585" s="1">
        <v>3310</v>
      </c>
      <c r="F585" s="1">
        <v>39</v>
      </c>
      <c r="G585" s="13">
        <f>Table[[#This Row],[Return Value]]/Table[[#This Row],[Sell Value]]</f>
        <v>1.1782477341389729E-2</v>
      </c>
      <c r="H585" s="1" t="s">
        <v>3</v>
      </c>
      <c r="I585" s="1">
        <v>43</v>
      </c>
      <c r="J585" s="14">
        <f>Table[[#This Row],[Sell Value]]*Table[[#This Row],[Selling Price]]</f>
        <v>142330</v>
      </c>
      <c r="K585" s="1" t="s">
        <v>4</v>
      </c>
      <c r="L585" s="1" t="s">
        <v>25</v>
      </c>
      <c r="M585" s="1" t="s">
        <v>48</v>
      </c>
      <c r="N585" s="1">
        <v>0.2</v>
      </c>
      <c r="O585" s="1" t="s">
        <v>82</v>
      </c>
      <c r="P585" s="1" t="s">
        <v>19</v>
      </c>
    </row>
    <row r="586" spans="1:16" x14ac:dyDescent="0.25">
      <c r="A586" s="1">
        <v>539371108</v>
      </c>
      <c r="B586" s="1" t="s">
        <v>20</v>
      </c>
      <c r="C586" s="1" t="s">
        <v>17</v>
      </c>
      <c r="D586" s="1">
        <v>48301</v>
      </c>
      <c r="E586" s="1">
        <v>2688</v>
      </c>
      <c r="F586" s="1">
        <v>40</v>
      </c>
      <c r="G586" s="13">
        <f>Table[[#This Row],[Return Value]]/Table[[#This Row],[Sell Value]]</f>
        <v>1.488095238095238E-2</v>
      </c>
      <c r="H586" s="1" t="s">
        <v>3</v>
      </c>
      <c r="I586" s="1">
        <v>34</v>
      </c>
      <c r="J586" s="14">
        <f>Table[[#This Row],[Sell Value]]*Table[[#This Row],[Selling Price]]</f>
        <v>91392</v>
      </c>
      <c r="K586" s="1" t="s">
        <v>4</v>
      </c>
      <c r="L586" s="1" t="s">
        <v>29</v>
      </c>
      <c r="M586" s="1" t="s">
        <v>26</v>
      </c>
      <c r="N586" s="1">
        <v>0.2</v>
      </c>
      <c r="O586" s="1" t="s">
        <v>82</v>
      </c>
      <c r="P586" s="1" t="s">
        <v>31</v>
      </c>
    </row>
    <row r="587" spans="1:16" x14ac:dyDescent="0.25">
      <c r="A587" s="1">
        <v>552491928</v>
      </c>
      <c r="B587" s="1" t="s">
        <v>24</v>
      </c>
      <c r="C587" s="1" t="s">
        <v>2</v>
      </c>
      <c r="D587" s="1">
        <v>47672</v>
      </c>
      <c r="E587" s="1">
        <v>1514</v>
      </c>
      <c r="F587" s="1">
        <v>14</v>
      </c>
      <c r="G587" s="13">
        <f>Table[[#This Row],[Return Value]]/Table[[#This Row],[Sell Value]]</f>
        <v>9.247027741083224E-3</v>
      </c>
      <c r="H587" s="1" t="s">
        <v>3</v>
      </c>
      <c r="I587" s="1">
        <v>22</v>
      </c>
      <c r="J587" s="14">
        <f>Table[[#This Row],[Sell Value]]*Table[[#This Row],[Selling Price]]</f>
        <v>33308</v>
      </c>
      <c r="K587" s="1" t="s">
        <v>4</v>
      </c>
      <c r="L587" s="1" t="s">
        <v>29</v>
      </c>
      <c r="M587" s="1" t="s">
        <v>10</v>
      </c>
      <c r="N587" s="1">
        <v>0.2</v>
      </c>
      <c r="O587" s="1" t="s">
        <v>81</v>
      </c>
      <c r="P587" s="1" t="s">
        <v>52</v>
      </c>
    </row>
    <row r="588" spans="1:16" x14ac:dyDescent="0.25">
      <c r="A588" s="1">
        <v>726659025</v>
      </c>
      <c r="B588" s="1" t="s">
        <v>27</v>
      </c>
      <c r="C588" s="1" t="s">
        <v>2</v>
      </c>
      <c r="D588" s="1">
        <v>48402</v>
      </c>
      <c r="E588" s="1">
        <v>4777</v>
      </c>
      <c r="F588" s="1">
        <v>49</v>
      </c>
      <c r="G588" s="13">
        <f>Table[[#This Row],[Return Value]]/Table[[#This Row],[Sell Value]]</f>
        <v>1.0257483776428721E-2</v>
      </c>
      <c r="H588" s="1" t="s">
        <v>3</v>
      </c>
      <c r="I588" s="1">
        <v>36</v>
      </c>
      <c r="J588" s="14">
        <f>Table[[#This Row],[Sell Value]]*Table[[#This Row],[Selling Price]]</f>
        <v>171972</v>
      </c>
      <c r="K588" s="1" t="s">
        <v>4</v>
      </c>
      <c r="L588" s="1" t="s">
        <v>35</v>
      </c>
      <c r="M588" s="1" t="s">
        <v>33</v>
      </c>
      <c r="N588" s="1">
        <v>0.2</v>
      </c>
      <c r="O588" s="1" t="s">
        <v>82</v>
      </c>
      <c r="P588" s="1" t="s">
        <v>7</v>
      </c>
    </row>
    <row r="589" spans="1:16" x14ac:dyDescent="0.25">
      <c r="A589" s="1">
        <v>741930424</v>
      </c>
      <c r="B589" s="1" t="s">
        <v>32</v>
      </c>
      <c r="C589" s="1" t="s">
        <v>17</v>
      </c>
      <c r="D589" s="1">
        <v>47590</v>
      </c>
      <c r="E589" s="1">
        <v>2069</v>
      </c>
      <c r="F589" s="1">
        <v>45</v>
      </c>
      <c r="G589" s="13">
        <f>Table[[#This Row],[Return Value]]/Table[[#This Row],[Sell Value]]</f>
        <v>2.1749637506041565E-2</v>
      </c>
      <c r="H589" s="1" t="s">
        <v>3</v>
      </c>
      <c r="I589" s="1">
        <v>39</v>
      </c>
      <c r="J589" s="14">
        <f>Table[[#This Row],[Sell Value]]*Table[[#This Row],[Selling Price]]</f>
        <v>80691</v>
      </c>
      <c r="K589" s="1" t="s">
        <v>4</v>
      </c>
      <c r="L589" s="1" t="s">
        <v>38</v>
      </c>
      <c r="M589" s="1" t="s">
        <v>48</v>
      </c>
      <c r="N589" s="1">
        <v>0.2</v>
      </c>
      <c r="O589" s="1" t="s">
        <v>82</v>
      </c>
      <c r="P589" s="1" t="s">
        <v>11</v>
      </c>
    </row>
    <row r="590" spans="1:16" x14ac:dyDescent="0.25">
      <c r="A590" s="1">
        <v>927538153</v>
      </c>
      <c r="B590" s="1" t="s">
        <v>34</v>
      </c>
      <c r="C590" s="1" t="s">
        <v>2</v>
      </c>
      <c r="D590" s="1">
        <v>47951</v>
      </c>
      <c r="E590" s="1">
        <v>1782</v>
      </c>
      <c r="F590" s="1">
        <v>27</v>
      </c>
      <c r="G590" s="13">
        <f>Table[[#This Row],[Return Value]]/Table[[#This Row],[Sell Value]]</f>
        <v>1.5151515151515152E-2</v>
      </c>
      <c r="H590" s="1" t="s">
        <v>3</v>
      </c>
      <c r="I590" s="1">
        <v>42</v>
      </c>
      <c r="J590" s="14">
        <f>Table[[#This Row],[Sell Value]]*Table[[#This Row],[Selling Price]]</f>
        <v>74844</v>
      </c>
      <c r="K590" s="1" t="s">
        <v>4</v>
      </c>
      <c r="L590" s="1" t="s">
        <v>41</v>
      </c>
      <c r="M590" s="1" t="s">
        <v>26</v>
      </c>
      <c r="N590" s="1">
        <v>0.2</v>
      </c>
      <c r="O590" s="1" t="s">
        <v>82</v>
      </c>
      <c r="P590" s="1" t="s">
        <v>11</v>
      </c>
    </row>
    <row r="591" spans="1:16" x14ac:dyDescent="0.25">
      <c r="A591" s="1">
        <v>646985588</v>
      </c>
      <c r="B591" s="1" t="s">
        <v>37</v>
      </c>
      <c r="C591" s="1" t="s">
        <v>17</v>
      </c>
      <c r="D591" s="1">
        <v>48572</v>
      </c>
      <c r="E591" s="1">
        <v>2674</v>
      </c>
      <c r="F591" s="1">
        <v>34</v>
      </c>
      <c r="G591" s="13">
        <f>Table[[#This Row],[Return Value]]/Table[[#This Row],[Sell Value]]</f>
        <v>1.2715033657442034E-2</v>
      </c>
      <c r="H591" s="1" t="s">
        <v>3</v>
      </c>
      <c r="I591" s="1">
        <v>50</v>
      </c>
      <c r="J591" s="14">
        <f>Table[[#This Row],[Sell Value]]*Table[[#This Row],[Selling Price]]</f>
        <v>133700</v>
      </c>
      <c r="K591" s="1" t="s">
        <v>4</v>
      </c>
      <c r="L591" s="1" t="s">
        <v>43</v>
      </c>
      <c r="M591" s="1" t="s">
        <v>59</v>
      </c>
      <c r="N591" s="1">
        <v>0.2</v>
      </c>
      <c r="O591" s="1" t="s">
        <v>82</v>
      </c>
      <c r="P591" s="1" t="s">
        <v>63</v>
      </c>
    </row>
    <row r="592" spans="1:16" x14ac:dyDescent="0.25">
      <c r="A592" s="1">
        <v>243554229</v>
      </c>
      <c r="B592" s="1" t="s">
        <v>40</v>
      </c>
      <c r="C592" s="1" t="s">
        <v>17</v>
      </c>
      <c r="D592" s="1">
        <v>47880</v>
      </c>
      <c r="E592" s="1">
        <v>3603</v>
      </c>
      <c r="F592" s="1">
        <v>19</v>
      </c>
      <c r="G592" s="13">
        <f>Table[[#This Row],[Return Value]]/Table[[#This Row],[Sell Value]]</f>
        <v>5.2733832917013597E-3</v>
      </c>
      <c r="H592" s="1" t="s">
        <v>3</v>
      </c>
      <c r="I592" s="1">
        <v>37</v>
      </c>
      <c r="J592" s="14">
        <f>Table[[#This Row],[Sell Value]]*Table[[#This Row],[Selling Price]]</f>
        <v>133311</v>
      </c>
      <c r="K592" s="1" t="s">
        <v>4</v>
      </c>
      <c r="L592" s="1" t="s">
        <v>47</v>
      </c>
      <c r="M592" s="1" t="s">
        <v>44</v>
      </c>
      <c r="N592" s="1">
        <v>0.2</v>
      </c>
      <c r="O592" s="1" t="s">
        <v>81</v>
      </c>
      <c r="P592" s="1" t="s">
        <v>60</v>
      </c>
    </row>
    <row r="593" spans="1:16" x14ac:dyDescent="0.25">
      <c r="A593" s="1">
        <v>425162214</v>
      </c>
      <c r="B593" s="1" t="s">
        <v>42</v>
      </c>
      <c r="C593" s="1" t="s">
        <v>2</v>
      </c>
      <c r="D593" s="1">
        <v>48407</v>
      </c>
      <c r="E593" s="1">
        <v>1363</v>
      </c>
      <c r="F593" s="1">
        <v>11</v>
      </c>
      <c r="G593" s="13">
        <f>Table[[#This Row],[Return Value]]/Table[[#This Row],[Sell Value]]</f>
        <v>8.0704328686720464E-3</v>
      </c>
      <c r="H593" s="1" t="s">
        <v>3</v>
      </c>
      <c r="I593" s="1">
        <v>33</v>
      </c>
      <c r="J593" s="14">
        <f>Table[[#This Row],[Sell Value]]*Table[[#This Row],[Selling Price]]</f>
        <v>44979</v>
      </c>
      <c r="K593" s="1" t="s">
        <v>4</v>
      </c>
      <c r="L593" s="1" t="s">
        <v>51</v>
      </c>
      <c r="M593" s="1" t="s">
        <v>26</v>
      </c>
      <c r="N593" s="1">
        <v>0.2</v>
      </c>
      <c r="O593" s="1" t="s">
        <v>81</v>
      </c>
      <c r="P593" s="1" t="s">
        <v>7</v>
      </c>
    </row>
    <row r="594" spans="1:16" x14ac:dyDescent="0.25">
      <c r="A594" s="1">
        <v>994457386</v>
      </c>
      <c r="B594" s="1" t="s">
        <v>46</v>
      </c>
      <c r="C594" s="1" t="s">
        <v>2</v>
      </c>
      <c r="D594" s="1">
        <v>48226</v>
      </c>
      <c r="E594" s="1">
        <v>2363</v>
      </c>
      <c r="F594" s="1">
        <v>32</v>
      </c>
      <c r="G594" s="13">
        <f>Table[[#This Row],[Return Value]]/Table[[#This Row],[Sell Value]]</f>
        <v>1.3542107490478206E-2</v>
      </c>
      <c r="H594" s="1" t="s">
        <v>3</v>
      </c>
      <c r="I594" s="1">
        <v>44</v>
      </c>
      <c r="J594" s="14">
        <f>Table[[#This Row],[Sell Value]]*Table[[#This Row],[Selling Price]]</f>
        <v>103972</v>
      </c>
      <c r="K594" s="1" t="s">
        <v>4</v>
      </c>
      <c r="L594" s="1" t="s">
        <v>54</v>
      </c>
      <c r="M594" s="1" t="s">
        <v>44</v>
      </c>
      <c r="N594" s="1">
        <v>0.2</v>
      </c>
      <c r="O594" s="1" t="s">
        <v>82</v>
      </c>
      <c r="P594" s="1" t="s">
        <v>39</v>
      </c>
    </row>
    <row r="595" spans="1:16" x14ac:dyDescent="0.25">
      <c r="A595" s="1">
        <v>911945639</v>
      </c>
      <c r="B595" s="1" t="s">
        <v>50</v>
      </c>
      <c r="C595" s="1" t="s">
        <v>2</v>
      </c>
      <c r="D595" s="1">
        <v>47575</v>
      </c>
      <c r="E595" s="1">
        <v>1576</v>
      </c>
      <c r="F595" s="1">
        <v>42</v>
      </c>
      <c r="G595" s="13">
        <f>Table[[#This Row],[Return Value]]/Table[[#This Row],[Sell Value]]</f>
        <v>2.6649746192893401E-2</v>
      </c>
      <c r="H595" s="1" t="s">
        <v>3</v>
      </c>
      <c r="I595" s="1">
        <v>27</v>
      </c>
      <c r="J595" s="14">
        <f>Table[[#This Row],[Sell Value]]*Table[[#This Row],[Selling Price]]</f>
        <v>42552</v>
      </c>
      <c r="K595" s="1" t="s">
        <v>4</v>
      </c>
      <c r="L595" s="1" t="s">
        <v>57</v>
      </c>
      <c r="M595" s="1" t="s">
        <v>6</v>
      </c>
      <c r="N595" s="1">
        <v>0.2</v>
      </c>
      <c r="O595" s="1" t="s">
        <v>81</v>
      </c>
      <c r="P595" s="1" t="s">
        <v>55</v>
      </c>
    </row>
    <row r="596" spans="1:16" x14ac:dyDescent="0.25">
      <c r="A596" s="1">
        <v>78892393</v>
      </c>
      <c r="B596" s="1" t="s">
        <v>53</v>
      </c>
      <c r="C596" s="1" t="s">
        <v>2</v>
      </c>
      <c r="D596" s="1">
        <v>48322</v>
      </c>
      <c r="E596" s="1">
        <v>4216</v>
      </c>
      <c r="F596" s="1">
        <v>48</v>
      </c>
      <c r="G596" s="13">
        <f>Table[[#This Row],[Return Value]]/Table[[#This Row],[Sell Value]]</f>
        <v>1.1385199240986717E-2</v>
      </c>
      <c r="H596" s="1" t="s">
        <v>28</v>
      </c>
      <c r="I596" s="1">
        <v>49</v>
      </c>
      <c r="J596" s="14">
        <f>Table[[#This Row],[Sell Value]]*Table[[#This Row],[Selling Price]]</f>
        <v>206584</v>
      </c>
      <c r="K596" s="1" t="s">
        <v>4</v>
      </c>
      <c r="L596" s="1" t="s">
        <v>5</v>
      </c>
      <c r="M596" s="1" t="s">
        <v>61</v>
      </c>
      <c r="N596" s="1">
        <v>0.2</v>
      </c>
      <c r="O596" s="1" t="s">
        <v>81</v>
      </c>
      <c r="P596" s="1" t="s">
        <v>66</v>
      </c>
    </row>
    <row r="597" spans="1:16" x14ac:dyDescent="0.25">
      <c r="A597" s="1">
        <v>276073647</v>
      </c>
      <c r="B597" s="1" t="s">
        <v>56</v>
      </c>
      <c r="C597" s="1" t="s">
        <v>2</v>
      </c>
      <c r="D597" s="1">
        <v>48335</v>
      </c>
      <c r="E597" s="1">
        <v>4776</v>
      </c>
      <c r="F597" s="1">
        <v>22</v>
      </c>
      <c r="G597" s="13">
        <f>Table[[#This Row],[Return Value]]/Table[[#This Row],[Sell Value]]</f>
        <v>4.6063651591289785E-3</v>
      </c>
      <c r="H597" s="1" t="s">
        <v>3</v>
      </c>
      <c r="I597" s="1">
        <v>31</v>
      </c>
      <c r="J597" s="14">
        <f>Table[[#This Row],[Sell Value]]*Table[[#This Row],[Selling Price]]</f>
        <v>148056</v>
      </c>
      <c r="K597" s="1" t="s">
        <v>4</v>
      </c>
      <c r="L597" s="1" t="s">
        <v>9</v>
      </c>
      <c r="M597" s="1" t="s">
        <v>44</v>
      </c>
      <c r="N597" s="1">
        <v>0.2</v>
      </c>
      <c r="O597" s="1" t="s">
        <v>82</v>
      </c>
      <c r="P597" s="1" t="s">
        <v>31</v>
      </c>
    </row>
    <row r="598" spans="1:16" x14ac:dyDescent="0.25">
      <c r="A598" s="1">
        <v>813511693</v>
      </c>
      <c r="B598" s="1" t="s">
        <v>1</v>
      </c>
      <c r="C598" s="1" t="s">
        <v>2</v>
      </c>
      <c r="D598" s="1">
        <v>47834</v>
      </c>
      <c r="E598" s="1">
        <v>3586</v>
      </c>
      <c r="F598" s="1">
        <v>50</v>
      </c>
      <c r="G598" s="13">
        <f>Table[[#This Row],[Return Value]]/Table[[#This Row],[Sell Value]]</f>
        <v>1.3943112102621304E-2</v>
      </c>
      <c r="H598" s="1" t="s">
        <v>3</v>
      </c>
      <c r="I598" s="1">
        <v>49</v>
      </c>
      <c r="J598" s="14">
        <f>Table[[#This Row],[Sell Value]]*Table[[#This Row],[Selling Price]]</f>
        <v>175714</v>
      </c>
      <c r="K598" s="1" t="s">
        <v>4</v>
      </c>
      <c r="L598" s="1" t="s">
        <v>13</v>
      </c>
      <c r="M598" s="1" t="s">
        <v>44</v>
      </c>
      <c r="N598" s="1">
        <v>0.2</v>
      </c>
      <c r="O598" s="1" t="s">
        <v>81</v>
      </c>
      <c r="P598" s="1" t="s">
        <v>58</v>
      </c>
    </row>
    <row r="599" spans="1:16" x14ac:dyDescent="0.25">
      <c r="A599" s="1">
        <v>943093184</v>
      </c>
      <c r="B599" s="1" t="s">
        <v>8</v>
      </c>
      <c r="C599" s="1" t="s">
        <v>2</v>
      </c>
      <c r="D599" s="1">
        <v>48574</v>
      </c>
      <c r="E599" s="1">
        <v>3184</v>
      </c>
      <c r="F599" s="1">
        <v>35</v>
      </c>
      <c r="G599" s="13">
        <f>Table[[#This Row],[Return Value]]/Table[[#This Row],[Sell Value]]</f>
        <v>1.099246231155779E-2</v>
      </c>
      <c r="H599" s="1" t="s">
        <v>3</v>
      </c>
      <c r="I599" s="1">
        <v>20</v>
      </c>
      <c r="J599" s="14">
        <f>Table[[#This Row],[Sell Value]]*Table[[#This Row],[Selling Price]]</f>
        <v>63680</v>
      </c>
      <c r="K599" s="1" t="s">
        <v>4</v>
      </c>
      <c r="L599" s="1" t="s">
        <v>18</v>
      </c>
      <c r="M599" s="1" t="s">
        <v>14</v>
      </c>
      <c r="N599" s="1">
        <v>0.2</v>
      </c>
      <c r="O599" s="1" t="s">
        <v>82</v>
      </c>
      <c r="P599" s="1" t="s">
        <v>63</v>
      </c>
    </row>
    <row r="600" spans="1:16" x14ac:dyDescent="0.25">
      <c r="A600" s="1">
        <v>387578502</v>
      </c>
      <c r="B600" s="1" t="s">
        <v>12</v>
      </c>
      <c r="C600" s="1" t="s">
        <v>2</v>
      </c>
      <c r="D600" s="1">
        <v>47654</v>
      </c>
      <c r="E600" s="1">
        <v>1832</v>
      </c>
      <c r="F600" s="1">
        <v>21</v>
      </c>
      <c r="G600" s="13">
        <f>Table[[#This Row],[Return Value]]/Table[[#This Row],[Sell Value]]</f>
        <v>1.146288209606987E-2</v>
      </c>
      <c r="H600" s="1" t="s">
        <v>3</v>
      </c>
      <c r="I600" s="1">
        <v>30</v>
      </c>
      <c r="J600" s="14">
        <f>Table[[#This Row],[Sell Value]]*Table[[#This Row],[Selling Price]]</f>
        <v>54960</v>
      </c>
      <c r="K600" s="1" t="s">
        <v>4</v>
      </c>
      <c r="L600" s="1" t="s">
        <v>21</v>
      </c>
      <c r="M600" s="1" t="s">
        <v>44</v>
      </c>
      <c r="N600" s="1">
        <v>0.2</v>
      </c>
      <c r="O600" s="1" t="s">
        <v>82</v>
      </c>
      <c r="P600" s="1" t="s">
        <v>49</v>
      </c>
    </row>
    <row r="601" spans="1:16" x14ac:dyDescent="0.25">
      <c r="A601" s="1">
        <v>295269372</v>
      </c>
      <c r="B601" s="1" t="s">
        <v>16</v>
      </c>
      <c r="C601" s="1" t="s">
        <v>17</v>
      </c>
      <c r="D601" s="1">
        <v>47891</v>
      </c>
      <c r="E601" s="1">
        <v>3244</v>
      </c>
      <c r="F601" s="1">
        <v>36</v>
      </c>
      <c r="G601" s="13">
        <f>Table[[#This Row],[Return Value]]/Table[[#This Row],[Sell Value]]</f>
        <v>1.1097410604192354E-2</v>
      </c>
      <c r="H601" s="1" t="s">
        <v>3</v>
      </c>
      <c r="I601" s="1">
        <v>29</v>
      </c>
      <c r="J601" s="14">
        <f>Table[[#This Row],[Sell Value]]*Table[[#This Row],[Selling Price]]</f>
        <v>94076</v>
      </c>
      <c r="K601" s="1" t="s">
        <v>4</v>
      </c>
      <c r="L601" s="1" t="s">
        <v>25</v>
      </c>
      <c r="M601" s="1" t="s">
        <v>14</v>
      </c>
      <c r="N601" s="1">
        <v>0.2</v>
      </c>
      <c r="O601" s="1" t="s">
        <v>82</v>
      </c>
      <c r="P601" s="1" t="s">
        <v>39</v>
      </c>
    </row>
    <row r="602" spans="1:16" x14ac:dyDescent="0.25">
      <c r="A602" s="1">
        <v>19517406</v>
      </c>
      <c r="B602" s="1" t="s">
        <v>20</v>
      </c>
      <c r="C602" s="1" t="s">
        <v>17</v>
      </c>
      <c r="D602" s="1">
        <v>48067</v>
      </c>
      <c r="E602" s="1">
        <v>2280</v>
      </c>
      <c r="F602" s="1">
        <v>17</v>
      </c>
      <c r="G602" s="13">
        <f>Table[[#This Row],[Return Value]]/Table[[#This Row],[Sell Value]]</f>
        <v>7.4561403508771927E-3</v>
      </c>
      <c r="H602" s="1" t="s">
        <v>3</v>
      </c>
      <c r="I602" s="1">
        <v>49</v>
      </c>
      <c r="J602" s="14">
        <f>Table[[#This Row],[Sell Value]]*Table[[#This Row],[Selling Price]]</f>
        <v>111720</v>
      </c>
      <c r="K602" s="1" t="s">
        <v>4</v>
      </c>
      <c r="L602" s="1" t="s">
        <v>29</v>
      </c>
      <c r="M602" s="1" t="s">
        <v>33</v>
      </c>
      <c r="N602" s="1">
        <v>0.2</v>
      </c>
      <c r="O602" s="1" t="s">
        <v>81</v>
      </c>
      <c r="P602" s="1" t="s">
        <v>19</v>
      </c>
    </row>
    <row r="603" spans="1:16" x14ac:dyDescent="0.25">
      <c r="A603" s="1">
        <v>20850405</v>
      </c>
      <c r="B603" s="1" t="s">
        <v>24</v>
      </c>
      <c r="C603" s="1" t="s">
        <v>2</v>
      </c>
      <c r="D603" s="1">
        <v>47654</v>
      </c>
      <c r="E603" s="1">
        <v>3137</v>
      </c>
      <c r="F603" s="1">
        <v>37</v>
      </c>
      <c r="G603" s="13">
        <f>Table[[#This Row],[Return Value]]/Table[[#This Row],[Sell Value]]</f>
        <v>1.1794708320051004E-2</v>
      </c>
      <c r="H603" s="1" t="s">
        <v>3</v>
      </c>
      <c r="I603" s="1">
        <v>44</v>
      </c>
      <c r="J603" s="14">
        <f>Table[[#This Row],[Sell Value]]*Table[[#This Row],[Selling Price]]</f>
        <v>138028</v>
      </c>
      <c r="K603" s="1" t="s">
        <v>4</v>
      </c>
      <c r="L603" s="1" t="s">
        <v>29</v>
      </c>
      <c r="M603" s="1" t="s">
        <v>26</v>
      </c>
      <c r="N603" s="1">
        <v>0.2</v>
      </c>
      <c r="O603" s="1" t="s">
        <v>82</v>
      </c>
      <c r="P603" s="1" t="s">
        <v>66</v>
      </c>
    </row>
    <row r="604" spans="1:16" x14ac:dyDescent="0.25">
      <c r="A604" s="1">
        <v>246527946</v>
      </c>
      <c r="B604" s="1" t="s">
        <v>27</v>
      </c>
      <c r="C604" s="1" t="s">
        <v>2</v>
      </c>
      <c r="D604" s="1">
        <v>47485</v>
      </c>
      <c r="E604" s="1">
        <v>4984</v>
      </c>
      <c r="F604" s="1">
        <v>32</v>
      </c>
      <c r="G604" s="13">
        <f>Table[[#This Row],[Return Value]]/Table[[#This Row],[Sell Value]]</f>
        <v>6.420545746388443E-3</v>
      </c>
      <c r="H604" s="1" t="s">
        <v>3</v>
      </c>
      <c r="I604" s="1">
        <v>42</v>
      </c>
      <c r="J604" s="14">
        <f>Table[[#This Row],[Sell Value]]*Table[[#This Row],[Selling Price]]</f>
        <v>209328</v>
      </c>
      <c r="K604" s="1" t="s">
        <v>4</v>
      </c>
      <c r="L604" s="1" t="s">
        <v>35</v>
      </c>
      <c r="M604" s="1" t="s">
        <v>61</v>
      </c>
      <c r="N604" s="1">
        <v>0.2</v>
      </c>
      <c r="O604" s="1" t="s">
        <v>81</v>
      </c>
      <c r="P604" s="1" t="s">
        <v>39</v>
      </c>
    </row>
    <row r="605" spans="1:16" x14ac:dyDescent="0.25">
      <c r="A605" s="1">
        <v>38031517</v>
      </c>
      <c r="B605" s="1" t="s">
        <v>32</v>
      </c>
      <c r="C605" s="1" t="s">
        <v>17</v>
      </c>
      <c r="D605" s="1">
        <v>48115</v>
      </c>
      <c r="E605" s="1">
        <v>4072</v>
      </c>
      <c r="F605" s="1">
        <v>27</v>
      </c>
      <c r="G605" s="13">
        <f>Table[[#This Row],[Return Value]]/Table[[#This Row],[Sell Value]]</f>
        <v>6.6306483300589388E-3</v>
      </c>
      <c r="H605" s="1" t="s">
        <v>3</v>
      </c>
      <c r="I605" s="1">
        <v>47</v>
      </c>
      <c r="J605" s="14">
        <f>Table[[#This Row],[Sell Value]]*Table[[#This Row],[Selling Price]]</f>
        <v>191384</v>
      </c>
      <c r="K605" s="1" t="s">
        <v>4</v>
      </c>
      <c r="L605" s="1" t="s">
        <v>38</v>
      </c>
      <c r="M605" s="1" t="s">
        <v>59</v>
      </c>
      <c r="N605" s="1">
        <v>0.2</v>
      </c>
      <c r="O605" s="1" t="s">
        <v>82</v>
      </c>
      <c r="P605" s="1" t="s">
        <v>7</v>
      </c>
    </row>
    <row r="606" spans="1:16" x14ac:dyDescent="0.25">
      <c r="A606" s="1">
        <v>25680660</v>
      </c>
      <c r="B606" s="1" t="s">
        <v>34</v>
      </c>
      <c r="C606" s="1" t="s">
        <v>2</v>
      </c>
      <c r="D606" s="1">
        <v>48392</v>
      </c>
      <c r="E606" s="1">
        <v>4039</v>
      </c>
      <c r="F606" s="1">
        <v>39</v>
      </c>
      <c r="G606" s="13">
        <f>Table[[#This Row],[Return Value]]/Table[[#This Row],[Sell Value]]</f>
        <v>9.6558554097548894E-3</v>
      </c>
      <c r="H606" s="1" t="s">
        <v>3</v>
      </c>
      <c r="I606" s="1">
        <v>36</v>
      </c>
      <c r="J606" s="14">
        <f>Table[[#This Row],[Sell Value]]*Table[[#This Row],[Selling Price]]</f>
        <v>145404</v>
      </c>
      <c r="K606" s="1" t="s">
        <v>4</v>
      </c>
      <c r="L606" s="1" t="s">
        <v>41</v>
      </c>
      <c r="M606" s="1" t="s">
        <v>26</v>
      </c>
      <c r="N606" s="1">
        <v>0.2</v>
      </c>
      <c r="O606" s="1" t="s">
        <v>81</v>
      </c>
      <c r="P606" s="1" t="s">
        <v>7</v>
      </c>
    </row>
    <row r="607" spans="1:16" x14ac:dyDescent="0.25">
      <c r="A607" s="1">
        <v>201916830</v>
      </c>
      <c r="B607" s="1" t="s">
        <v>37</v>
      </c>
      <c r="C607" s="1" t="s">
        <v>17</v>
      </c>
      <c r="D607" s="1">
        <v>48087</v>
      </c>
      <c r="E607" s="1">
        <v>3668</v>
      </c>
      <c r="F607" s="1">
        <v>14</v>
      </c>
      <c r="G607" s="13">
        <f>Table[[#This Row],[Return Value]]/Table[[#This Row],[Sell Value]]</f>
        <v>3.8167938931297708E-3</v>
      </c>
      <c r="H607" s="1" t="s">
        <v>3</v>
      </c>
      <c r="I607" s="1">
        <v>27</v>
      </c>
      <c r="J607" s="14">
        <f>Table[[#This Row],[Sell Value]]*Table[[#This Row],[Selling Price]]</f>
        <v>99036</v>
      </c>
      <c r="K607" s="1" t="s">
        <v>4</v>
      </c>
      <c r="L607" s="1" t="s">
        <v>43</v>
      </c>
      <c r="M607" s="1" t="s">
        <v>14</v>
      </c>
      <c r="N607" s="1">
        <v>0.2</v>
      </c>
      <c r="O607" s="1" t="s">
        <v>82</v>
      </c>
      <c r="P607" s="1" t="s">
        <v>11</v>
      </c>
    </row>
    <row r="608" spans="1:16" x14ac:dyDescent="0.25">
      <c r="A608" s="1">
        <v>849122570</v>
      </c>
      <c r="B608" s="1" t="s">
        <v>40</v>
      </c>
      <c r="C608" s="1" t="s">
        <v>17</v>
      </c>
      <c r="D608" s="1">
        <v>47603</v>
      </c>
      <c r="E608" s="1">
        <v>4372</v>
      </c>
      <c r="F608" s="1">
        <v>41</v>
      </c>
      <c r="G608" s="13">
        <f>Table[[#This Row],[Return Value]]/Table[[#This Row],[Sell Value]]</f>
        <v>9.3778591033851777E-3</v>
      </c>
      <c r="H608" s="1" t="s">
        <v>3</v>
      </c>
      <c r="I608" s="1">
        <v>47</v>
      </c>
      <c r="J608" s="14">
        <f>Table[[#This Row],[Sell Value]]*Table[[#This Row],[Selling Price]]</f>
        <v>205484</v>
      </c>
      <c r="K608" s="1" t="s">
        <v>4</v>
      </c>
      <c r="L608" s="1" t="s">
        <v>47</v>
      </c>
      <c r="M608" s="1" t="s">
        <v>10</v>
      </c>
      <c r="N608" s="1">
        <v>0.2</v>
      </c>
      <c r="O608" s="1" t="s">
        <v>82</v>
      </c>
      <c r="P608" s="1" t="s">
        <v>58</v>
      </c>
    </row>
    <row r="609" spans="1:16" x14ac:dyDescent="0.25">
      <c r="A609" s="1">
        <v>675953484</v>
      </c>
      <c r="B609" s="1" t="s">
        <v>42</v>
      </c>
      <c r="C609" s="1" t="s">
        <v>2</v>
      </c>
      <c r="D609" s="1">
        <v>48103</v>
      </c>
      <c r="E609" s="1">
        <v>2715</v>
      </c>
      <c r="F609" s="1">
        <v>27</v>
      </c>
      <c r="G609" s="13">
        <f>Table[[#This Row],[Return Value]]/Table[[#This Row],[Sell Value]]</f>
        <v>9.9447513812154689E-3</v>
      </c>
      <c r="H609" s="1" t="s">
        <v>3</v>
      </c>
      <c r="I609" s="1">
        <v>48</v>
      </c>
      <c r="J609" s="14">
        <f>Table[[#This Row],[Sell Value]]*Table[[#This Row],[Selling Price]]</f>
        <v>130320</v>
      </c>
      <c r="K609" s="1" t="s">
        <v>4</v>
      </c>
      <c r="L609" s="1" t="s">
        <v>51</v>
      </c>
      <c r="M609" s="1" t="s">
        <v>6</v>
      </c>
      <c r="N609" s="1">
        <v>0.2</v>
      </c>
      <c r="O609" s="1" t="s">
        <v>81</v>
      </c>
      <c r="P609" s="1" t="s">
        <v>39</v>
      </c>
    </row>
    <row r="610" spans="1:16" x14ac:dyDescent="0.25">
      <c r="A610" s="1">
        <v>315467638</v>
      </c>
      <c r="B610" s="1" t="s">
        <v>46</v>
      </c>
      <c r="C610" s="1" t="s">
        <v>2</v>
      </c>
      <c r="D610" s="1">
        <v>48074</v>
      </c>
      <c r="E610" s="1">
        <v>3933</v>
      </c>
      <c r="F610" s="1">
        <v>11</v>
      </c>
      <c r="G610" s="13">
        <f>Table[[#This Row],[Return Value]]/Table[[#This Row],[Sell Value]]</f>
        <v>2.7968471904398677E-3</v>
      </c>
      <c r="H610" s="1" t="s">
        <v>3</v>
      </c>
      <c r="I610" s="1">
        <v>25</v>
      </c>
      <c r="J610" s="14">
        <f>Table[[#This Row],[Sell Value]]*Table[[#This Row],[Selling Price]]</f>
        <v>98325</v>
      </c>
      <c r="K610" s="1" t="s">
        <v>4</v>
      </c>
      <c r="L610" s="1" t="s">
        <v>54</v>
      </c>
      <c r="M610" s="1" t="s">
        <v>33</v>
      </c>
      <c r="N610" s="1">
        <v>0.2</v>
      </c>
      <c r="O610" s="1" t="s">
        <v>81</v>
      </c>
      <c r="P610" s="1" t="s">
        <v>67</v>
      </c>
    </row>
    <row r="611" spans="1:16" x14ac:dyDescent="0.25">
      <c r="A611" s="1">
        <v>742463996</v>
      </c>
      <c r="B611" s="1" t="s">
        <v>12</v>
      </c>
      <c r="C611" s="1" t="s">
        <v>2</v>
      </c>
      <c r="D611" s="1">
        <v>47961</v>
      </c>
      <c r="E611" s="1">
        <v>3370</v>
      </c>
      <c r="F611" s="1">
        <v>35</v>
      </c>
      <c r="G611" s="13">
        <f>Table[[#This Row],[Return Value]]/Table[[#This Row],[Sell Value]]</f>
        <v>1.0385756676557863E-2</v>
      </c>
      <c r="H611" s="1" t="s">
        <v>3</v>
      </c>
      <c r="I611" s="1">
        <v>30</v>
      </c>
      <c r="J611" s="14">
        <f>Table[[#This Row],[Sell Value]]*Table[[#This Row],[Selling Price]]</f>
        <v>101100</v>
      </c>
      <c r="K611" s="1" t="s">
        <v>4</v>
      </c>
      <c r="L611" s="1" t="s">
        <v>57</v>
      </c>
      <c r="M611" s="1" t="s">
        <v>26</v>
      </c>
      <c r="N611" s="1">
        <v>0.2</v>
      </c>
      <c r="O611" s="1" t="s">
        <v>81</v>
      </c>
      <c r="P611" s="1" t="s">
        <v>23</v>
      </c>
    </row>
    <row r="612" spans="1:16" x14ac:dyDescent="0.25">
      <c r="A612" s="1">
        <v>953831038</v>
      </c>
      <c r="B612" s="1" t="s">
        <v>16</v>
      </c>
      <c r="C612" s="1" t="s">
        <v>17</v>
      </c>
      <c r="D612" s="1">
        <v>48149</v>
      </c>
      <c r="E612" s="1">
        <v>4019</v>
      </c>
      <c r="F612" s="1">
        <v>22</v>
      </c>
      <c r="G612" s="13">
        <f>Table[[#This Row],[Return Value]]/Table[[#This Row],[Sell Value]]</f>
        <v>5.4739985070913159E-3</v>
      </c>
      <c r="H612" s="1" t="s">
        <v>3</v>
      </c>
      <c r="I612" s="1">
        <v>33</v>
      </c>
      <c r="J612" s="14">
        <f>Table[[#This Row],[Sell Value]]*Table[[#This Row],[Selling Price]]</f>
        <v>132627</v>
      </c>
      <c r="K612" s="1" t="s">
        <v>4</v>
      </c>
      <c r="L612" s="1" t="s">
        <v>5</v>
      </c>
      <c r="M612" s="1" t="s">
        <v>6</v>
      </c>
      <c r="N612" s="1">
        <v>0.2</v>
      </c>
      <c r="O612" s="1" t="s">
        <v>81</v>
      </c>
      <c r="P612" s="1" t="s">
        <v>39</v>
      </c>
    </row>
    <row r="613" spans="1:16" x14ac:dyDescent="0.25">
      <c r="A613" s="1">
        <v>792138493</v>
      </c>
      <c r="B613" s="1" t="s">
        <v>20</v>
      </c>
      <c r="C613" s="1" t="s">
        <v>17</v>
      </c>
      <c r="D613" s="1">
        <v>47720</v>
      </c>
      <c r="E613" s="1">
        <v>4811</v>
      </c>
      <c r="F613" s="1">
        <v>32</v>
      </c>
      <c r="G613" s="13">
        <f>Table[[#This Row],[Return Value]]/Table[[#This Row],[Sell Value]]</f>
        <v>6.6514238204115565E-3</v>
      </c>
      <c r="H613" s="1" t="s">
        <v>3</v>
      </c>
      <c r="I613" s="1">
        <v>29</v>
      </c>
      <c r="J613" s="14">
        <f>Table[[#This Row],[Sell Value]]*Table[[#This Row],[Selling Price]]</f>
        <v>139519</v>
      </c>
      <c r="K613" s="1" t="s">
        <v>4</v>
      </c>
      <c r="L613" s="1" t="s">
        <v>9</v>
      </c>
      <c r="M613" s="1" t="s">
        <v>14</v>
      </c>
      <c r="N613" s="1">
        <v>0.2</v>
      </c>
      <c r="O613" s="1" t="s">
        <v>82</v>
      </c>
      <c r="P613" s="1" t="s">
        <v>58</v>
      </c>
    </row>
    <row r="614" spans="1:16" x14ac:dyDescent="0.25">
      <c r="A614" s="1">
        <v>569415845</v>
      </c>
      <c r="B614" s="1" t="s">
        <v>24</v>
      </c>
      <c r="C614" s="1" t="s">
        <v>2</v>
      </c>
      <c r="D614" s="1">
        <v>48253</v>
      </c>
      <c r="E614" s="1">
        <v>3942</v>
      </c>
      <c r="F614" s="1">
        <v>45</v>
      </c>
      <c r="G614" s="13">
        <f>Table[[#This Row],[Return Value]]/Table[[#This Row],[Sell Value]]</f>
        <v>1.1415525114155251E-2</v>
      </c>
      <c r="H614" s="1" t="s">
        <v>3</v>
      </c>
      <c r="I614" s="1">
        <v>50</v>
      </c>
      <c r="J614" s="14">
        <f>Table[[#This Row],[Sell Value]]*Table[[#This Row],[Selling Price]]</f>
        <v>197100</v>
      </c>
      <c r="K614" s="1" t="s">
        <v>4</v>
      </c>
      <c r="L614" s="1" t="s">
        <v>13</v>
      </c>
      <c r="M614" s="1" t="s">
        <v>10</v>
      </c>
      <c r="N614" s="1">
        <v>0.2</v>
      </c>
      <c r="O614" s="1" t="s">
        <v>82</v>
      </c>
      <c r="P614" s="1" t="s">
        <v>49</v>
      </c>
    </row>
    <row r="615" spans="1:16" x14ac:dyDescent="0.25">
      <c r="A615" s="1">
        <v>533671115</v>
      </c>
      <c r="B615" s="1" t="s">
        <v>27</v>
      </c>
      <c r="C615" s="1" t="s">
        <v>2</v>
      </c>
      <c r="D615" s="1">
        <v>47840</v>
      </c>
      <c r="E615" s="1">
        <v>4541</v>
      </c>
      <c r="F615" s="1">
        <v>50</v>
      </c>
      <c r="G615" s="13">
        <f>Table[[#This Row],[Return Value]]/Table[[#This Row],[Sell Value]]</f>
        <v>1.1010790574763268E-2</v>
      </c>
      <c r="H615" s="1" t="s">
        <v>3</v>
      </c>
      <c r="I615" s="1">
        <v>48</v>
      </c>
      <c r="J615" s="14">
        <f>Table[[#This Row],[Sell Value]]*Table[[#This Row],[Selling Price]]</f>
        <v>217968</v>
      </c>
      <c r="K615" s="1" t="s">
        <v>4</v>
      </c>
      <c r="L615" s="1" t="s">
        <v>18</v>
      </c>
      <c r="M615" s="1" t="s">
        <v>44</v>
      </c>
      <c r="N615" s="1">
        <v>0.2</v>
      </c>
      <c r="O615" s="1" t="s">
        <v>81</v>
      </c>
      <c r="P615" s="1" t="s">
        <v>66</v>
      </c>
    </row>
    <row r="616" spans="1:16" x14ac:dyDescent="0.25">
      <c r="A616" s="1">
        <v>219828040</v>
      </c>
      <c r="B616" s="1" t="s">
        <v>32</v>
      </c>
      <c r="C616" s="1" t="s">
        <v>17</v>
      </c>
      <c r="D616" s="1">
        <v>48468</v>
      </c>
      <c r="E616" s="1">
        <v>2831</v>
      </c>
      <c r="F616" s="1">
        <v>37</v>
      </c>
      <c r="G616" s="13">
        <f>Table[[#This Row],[Return Value]]/Table[[#This Row],[Sell Value]]</f>
        <v>1.3069586718474038E-2</v>
      </c>
      <c r="H616" s="1" t="s">
        <v>3</v>
      </c>
      <c r="I616" s="1">
        <v>21</v>
      </c>
      <c r="J616" s="14">
        <f>Table[[#This Row],[Sell Value]]*Table[[#This Row],[Selling Price]]</f>
        <v>59451</v>
      </c>
      <c r="K616" s="1" t="s">
        <v>4</v>
      </c>
      <c r="L616" s="1" t="s">
        <v>21</v>
      </c>
      <c r="M616" s="1" t="s">
        <v>10</v>
      </c>
      <c r="N616" s="1">
        <v>0.2</v>
      </c>
      <c r="O616" s="1" t="s">
        <v>82</v>
      </c>
      <c r="P616" s="1" t="s">
        <v>36</v>
      </c>
    </row>
    <row r="617" spans="1:16" x14ac:dyDescent="0.25">
      <c r="A617" s="1">
        <v>641743385</v>
      </c>
      <c r="B617" s="1" t="s">
        <v>34</v>
      </c>
      <c r="C617" s="1" t="s">
        <v>2</v>
      </c>
      <c r="D617" s="1">
        <v>47545</v>
      </c>
      <c r="E617" s="1">
        <v>1159</v>
      </c>
      <c r="F617" s="1">
        <v>28</v>
      </c>
      <c r="G617" s="13">
        <f>Table[[#This Row],[Return Value]]/Table[[#This Row],[Sell Value]]</f>
        <v>2.4158757549611734E-2</v>
      </c>
      <c r="H617" s="1" t="s">
        <v>3</v>
      </c>
      <c r="I617" s="1">
        <v>33</v>
      </c>
      <c r="J617" s="14">
        <f>Table[[#This Row],[Sell Value]]*Table[[#This Row],[Selling Price]]</f>
        <v>38247</v>
      </c>
      <c r="K617" s="1" t="s">
        <v>4</v>
      </c>
      <c r="L617" s="1" t="s">
        <v>25</v>
      </c>
      <c r="M617" s="1" t="s">
        <v>6</v>
      </c>
      <c r="N617" s="1">
        <v>0.2</v>
      </c>
      <c r="O617" s="1" t="s">
        <v>82</v>
      </c>
      <c r="P617" s="1" t="s">
        <v>58</v>
      </c>
    </row>
    <row r="618" spans="1:16" x14ac:dyDescent="0.25">
      <c r="A618" s="1">
        <v>850697994</v>
      </c>
      <c r="B618" s="1" t="s">
        <v>37</v>
      </c>
      <c r="C618" s="1" t="s">
        <v>17</v>
      </c>
      <c r="D618" s="1">
        <v>47622</v>
      </c>
      <c r="E618" s="1">
        <v>1594</v>
      </c>
      <c r="F618" s="1">
        <v>15</v>
      </c>
      <c r="G618" s="13">
        <f>Table[[#This Row],[Return Value]]/Table[[#This Row],[Sell Value]]</f>
        <v>9.4102885821831864E-3</v>
      </c>
      <c r="H618" s="1" t="s">
        <v>28</v>
      </c>
      <c r="I618" s="1">
        <v>22</v>
      </c>
      <c r="J618" s="14">
        <f>Table[[#This Row],[Sell Value]]*Table[[#This Row],[Selling Price]]</f>
        <v>35068</v>
      </c>
      <c r="K618" s="1" t="s">
        <v>4</v>
      </c>
      <c r="L618" s="1" t="s">
        <v>29</v>
      </c>
      <c r="M618" s="1" t="s">
        <v>14</v>
      </c>
      <c r="N618" s="1">
        <v>0.2</v>
      </c>
      <c r="O618" s="1" t="s">
        <v>81</v>
      </c>
      <c r="P618" s="1" t="s">
        <v>39</v>
      </c>
    </row>
    <row r="619" spans="1:16" x14ac:dyDescent="0.25">
      <c r="A619" s="1">
        <v>688884610</v>
      </c>
      <c r="B619" s="1" t="s">
        <v>40</v>
      </c>
      <c r="C619" s="1" t="s">
        <v>17</v>
      </c>
      <c r="D619" s="1">
        <v>48172</v>
      </c>
      <c r="E619" s="1">
        <v>4146</v>
      </c>
      <c r="F619" s="1">
        <v>39</v>
      </c>
      <c r="G619" s="13">
        <f>Table[[#This Row],[Return Value]]/Table[[#This Row],[Sell Value]]</f>
        <v>9.4066570188133143E-3</v>
      </c>
      <c r="H619" s="1" t="s">
        <v>3</v>
      </c>
      <c r="I619" s="1">
        <v>22</v>
      </c>
      <c r="J619" s="14">
        <f>Table[[#This Row],[Sell Value]]*Table[[#This Row],[Selling Price]]</f>
        <v>91212</v>
      </c>
      <c r="K619" s="1" t="s">
        <v>4</v>
      </c>
      <c r="L619" s="1" t="s">
        <v>29</v>
      </c>
      <c r="M619" s="1" t="s">
        <v>48</v>
      </c>
      <c r="N619" s="1">
        <v>0.2</v>
      </c>
      <c r="O619" s="1" t="s">
        <v>81</v>
      </c>
      <c r="P619" s="1" t="s">
        <v>49</v>
      </c>
    </row>
    <row r="620" spans="1:16" x14ac:dyDescent="0.25">
      <c r="A620" s="1">
        <v>547557786</v>
      </c>
      <c r="B620" s="1" t="s">
        <v>42</v>
      </c>
      <c r="C620" s="1" t="s">
        <v>2</v>
      </c>
      <c r="D620" s="1">
        <v>47719</v>
      </c>
      <c r="E620" s="1">
        <v>3008</v>
      </c>
      <c r="F620" s="1">
        <v>19</v>
      </c>
      <c r="G620" s="13">
        <f>Table[[#This Row],[Return Value]]/Table[[#This Row],[Sell Value]]</f>
        <v>6.3164893617021272E-3</v>
      </c>
      <c r="H620" s="1" t="s">
        <v>3</v>
      </c>
      <c r="I620" s="1">
        <v>22</v>
      </c>
      <c r="J620" s="14">
        <f>Table[[#This Row],[Sell Value]]*Table[[#This Row],[Selling Price]]</f>
        <v>66176</v>
      </c>
      <c r="K620" s="1" t="s">
        <v>4</v>
      </c>
      <c r="L620" s="1" t="s">
        <v>35</v>
      </c>
      <c r="M620" s="1" t="s">
        <v>48</v>
      </c>
      <c r="N620" s="1">
        <v>0.2</v>
      </c>
      <c r="O620" s="1" t="s">
        <v>81</v>
      </c>
      <c r="P620" s="1" t="s">
        <v>66</v>
      </c>
    </row>
    <row r="621" spans="1:16" x14ac:dyDescent="0.25">
      <c r="A621" s="1">
        <v>708403838</v>
      </c>
      <c r="B621" s="1" t="s">
        <v>46</v>
      </c>
      <c r="C621" s="1" t="s">
        <v>2</v>
      </c>
      <c r="D621" s="1">
        <v>48564</v>
      </c>
      <c r="E621" s="1">
        <v>2832</v>
      </c>
      <c r="F621" s="1">
        <v>40</v>
      </c>
      <c r="G621" s="13">
        <f>Table[[#This Row],[Return Value]]/Table[[#This Row],[Sell Value]]</f>
        <v>1.4124293785310734E-2</v>
      </c>
      <c r="H621" s="1" t="s">
        <v>3</v>
      </c>
      <c r="I621" s="1">
        <v>20</v>
      </c>
      <c r="J621" s="14">
        <f>Table[[#This Row],[Sell Value]]*Table[[#This Row],[Selling Price]]</f>
        <v>56640</v>
      </c>
      <c r="K621" s="1" t="s">
        <v>4</v>
      </c>
      <c r="L621" s="1" t="s">
        <v>38</v>
      </c>
      <c r="M621" s="1" t="s">
        <v>61</v>
      </c>
      <c r="N621" s="1">
        <v>0.2</v>
      </c>
      <c r="O621" s="1" t="s">
        <v>82</v>
      </c>
      <c r="P621" s="1" t="s">
        <v>65</v>
      </c>
    </row>
    <row r="622" spans="1:16" x14ac:dyDescent="0.25">
      <c r="A622" s="1">
        <v>605589590</v>
      </c>
      <c r="B622" s="1" t="s">
        <v>50</v>
      </c>
      <c r="C622" s="1" t="s">
        <v>2</v>
      </c>
      <c r="D622" s="1">
        <v>48410</v>
      </c>
      <c r="E622" s="1">
        <v>1662</v>
      </c>
      <c r="F622" s="1">
        <v>27</v>
      </c>
      <c r="G622" s="13">
        <f>Table[[#This Row],[Return Value]]/Table[[#This Row],[Sell Value]]</f>
        <v>1.6245487364620937E-2</v>
      </c>
      <c r="H622" s="1" t="s">
        <v>3</v>
      </c>
      <c r="I622" s="1">
        <v>41</v>
      </c>
      <c r="J622" s="14">
        <f>Table[[#This Row],[Sell Value]]*Table[[#This Row],[Selling Price]]</f>
        <v>68142</v>
      </c>
      <c r="K622" s="1" t="s">
        <v>4</v>
      </c>
      <c r="L622" s="1" t="s">
        <v>41</v>
      </c>
      <c r="M622" s="1" t="s">
        <v>22</v>
      </c>
      <c r="N622" s="1">
        <v>0.2</v>
      </c>
      <c r="O622" s="1" t="s">
        <v>81</v>
      </c>
      <c r="P622" s="1" t="s">
        <v>36</v>
      </c>
    </row>
    <row r="623" spans="1:16" x14ac:dyDescent="0.25">
      <c r="A623" s="1">
        <v>626668653</v>
      </c>
      <c r="B623" s="1" t="s">
        <v>53</v>
      </c>
      <c r="C623" s="1" t="s">
        <v>2</v>
      </c>
      <c r="D623" s="1">
        <v>47801</v>
      </c>
      <c r="E623" s="1">
        <v>4624</v>
      </c>
      <c r="F623" s="1">
        <v>25</v>
      </c>
      <c r="G623" s="13">
        <f>Table[[#This Row],[Return Value]]/Table[[#This Row],[Sell Value]]</f>
        <v>5.4065743944636674E-3</v>
      </c>
      <c r="H623" s="1" t="s">
        <v>3</v>
      </c>
      <c r="I623" s="1">
        <v>47</v>
      </c>
      <c r="J623" s="14">
        <f>Table[[#This Row],[Sell Value]]*Table[[#This Row],[Selling Price]]</f>
        <v>217328</v>
      </c>
      <c r="K623" s="1" t="s">
        <v>4</v>
      </c>
      <c r="L623" s="1" t="s">
        <v>43</v>
      </c>
      <c r="M623" s="1" t="s">
        <v>59</v>
      </c>
      <c r="N623" s="1">
        <v>0.2</v>
      </c>
      <c r="O623" s="1" t="s">
        <v>81</v>
      </c>
      <c r="P623" s="1" t="s">
        <v>66</v>
      </c>
    </row>
    <row r="624" spans="1:16" x14ac:dyDescent="0.25">
      <c r="A624" s="1">
        <v>630499851</v>
      </c>
      <c r="B624" s="1" t="s">
        <v>56</v>
      </c>
      <c r="C624" s="1" t="s">
        <v>2</v>
      </c>
      <c r="D624" s="1">
        <v>48299</v>
      </c>
      <c r="E624" s="1">
        <v>4533</v>
      </c>
      <c r="F624" s="1">
        <v>33</v>
      </c>
      <c r="G624" s="13">
        <f>Table[[#This Row],[Return Value]]/Table[[#This Row],[Sell Value]]</f>
        <v>7.2799470549305099E-3</v>
      </c>
      <c r="H624" s="1" t="s">
        <v>3</v>
      </c>
      <c r="I624" s="1">
        <v>22</v>
      </c>
      <c r="J624" s="14">
        <f>Table[[#This Row],[Sell Value]]*Table[[#This Row],[Selling Price]]</f>
        <v>99726</v>
      </c>
      <c r="K624" s="1" t="s">
        <v>4</v>
      </c>
      <c r="L624" s="1" t="s">
        <v>47</v>
      </c>
      <c r="M624" s="1" t="s">
        <v>6</v>
      </c>
      <c r="N624" s="1">
        <v>0.2</v>
      </c>
      <c r="O624" s="1" t="s">
        <v>82</v>
      </c>
      <c r="P624" s="1" t="s">
        <v>66</v>
      </c>
    </row>
    <row r="625" spans="1:16" x14ac:dyDescent="0.25">
      <c r="A625" s="1">
        <v>544775843</v>
      </c>
      <c r="B625" s="1" t="s">
        <v>1</v>
      </c>
      <c r="C625" s="1" t="s">
        <v>2</v>
      </c>
      <c r="D625" s="1">
        <v>47681</v>
      </c>
      <c r="E625" s="1">
        <v>1126</v>
      </c>
      <c r="F625" s="1">
        <v>39</v>
      </c>
      <c r="G625" s="13">
        <f>Table[[#This Row],[Return Value]]/Table[[#This Row],[Sell Value]]</f>
        <v>3.4635879218472471E-2</v>
      </c>
      <c r="H625" s="1" t="s">
        <v>3</v>
      </c>
      <c r="I625" s="1">
        <v>50</v>
      </c>
      <c r="J625" s="14">
        <f>Table[[#This Row],[Sell Value]]*Table[[#This Row],[Selling Price]]</f>
        <v>56300</v>
      </c>
      <c r="K625" s="1" t="s">
        <v>4</v>
      </c>
      <c r="L625" s="1" t="s">
        <v>51</v>
      </c>
      <c r="M625" s="1" t="s">
        <v>59</v>
      </c>
      <c r="N625" s="1">
        <v>0.2</v>
      </c>
      <c r="O625" s="1" t="s">
        <v>82</v>
      </c>
      <c r="P625" s="1" t="s">
        <v>45</v>
      </c>
    </row>
    <row r="626" spans="1:16" x14ac:dyDescent="0.25">
      <c r="A626" s="1">
        <v>262973964</v>
      </c>
      <c r="B626" s="1" t="s">
        <v>8</v>
      </c>
      <c r="C626" s="1" t="s">
        <v>2</v>
      </c>
      <c r="D626" s="1">
        <v>48190</v>
      </c>
      <c r="E626" s="1">
        <v>2624</v>
      </c>
      <c r="F626" s="1">
        <v>31</v>
      </c>
      <c r="G626" s="13">
        <f>Table[[#This Row],[Return Value]]/Table[[#This Row],[Sell Value]]</f>
        <v>1.1814024390243903E-2</v>
      </c>
      <c r="H626" s="1" t="s">
        <v>3</v>
      </c>
      <c r="I626" s="1">
        <v>31</v>
      </c>
      <c r="J626" s="14">
        <f>Table[[#This Row],[Sell Value]]*Table[[#This Row],[Selling Price]]</f>
        <v>81344</v>
      </c>
      <c r="K626" s="1" t="s">
        <v>4</v>
      </c>
      <c r="L626" s="1" t="s">
        <v>54</v>
      </c>
      <c r="M626" s="1" t="s">
        <v>48</v>
      </c>
      <c r="N626" s="1">
        <v>0.2</v>
      </c>
      <c r="O626" s="1" t="s">
        <v>82</v>
      </c>
      <c r="P626" s="1" t="s">
        <v>52</v>
      </c>
    </row>
    <row r="627" spans="1:16" x14ac:dyDescent="0.25">
      <c r="A627" s="1">
        <v>196246777</v>
      </c>
      <c r="B627" s="1" t="s">
        <v>12</v>
      </c>
      <c r="C627" s="1" t="s">
        <v>2</v>
      </c>
      <c r="D627" s="1">
        <v>48294</v>
      </c>
      <c r="E627" s="1">
        <v>3709</v>
      </c>
      <c r="F627" s="1">
        <v>50</v>
      </c>
      <c r="G627" s="13">
        <f>Table[[#This Row],[Return Value]]/Table[[#This Row],[Sell Value]]</f>
        <v>1.3480722566729577E-2</v>
      </c>
      <c r="H627" s="1" t="s">
        <v>3</v>
      </c>
      <c r="I627" s="1">
        <v>38</v>
      </c>
      <c r="J627" s="14">
        <f>Table[[#This Row],[Sell Value]]*Table[[#This Row],[Selling Price]]</f>
        <v>140942</v>
      </c>
      <c r="K627" s="1" t="s">
        <v>4</v>
      </c>
      <c r="L627" s="1" t="s">
        <v>57</v>
      </c>
      <c r="M627" s="1" t="s">
        <v>14</v>
      </c>
      <c r="N627" s="1">
        <v>0.2</v>
      </c>
      <c r="O627" s="1" t="s">
        <v>81</v>
      </c>
      <c r="P627" s="1" t="s">
        <v>60</v>
      </c>
    </row>
    <row r="628" spans="1:16" x14ac:dyDescent="0.25">
      <c r="A628" s="1">
        <v>149586616</v>
      </c>
      <c r="B628" s="1" t="s">
        <v>16</v>
      </c>
      <c r="C628" s="1" t="s">
        <v>17</v>
      </c>
      <c r="D628" s="1">
        <v>48466</v>
      </c>
      <c r="E628" s="1">
        <v>1851</v>
      </c>
      <c r="F628" s="1">
        <v>26</v>
      </c>
      <c r="G628" s="13">
        <f>Table[[#This Row],[Return Value]]/Table[[#This Row],[Sell Value]]</f>
        <v>1.4046461372231226E-2</v>
      </c>
      <c r="H628" s="1" t="s">
        <v>3</v>
      </c>
      <c r="I628" s="1">
        <v>34</v>
      </c>
      <c r="J628" s="14">
        <f>Table[[#This Row],[Sell Value]]*Table[[#This Row],[Selling Price]]</f>
        <v>62934</v>
      </c>
      <c r="K628" s="1" t="s">
        <v>4</v>
      </c>
      <c r="L628" s="1" t="s">
        <v>5</v>
      </c>
      <c r="M628" s="1" t="s">
        <v>59</v>
      </c>
      <c r="N628" s="1">
        <v>0.2</v>
      </c>
      <c r="O628" s="1" t="s">
        <v>81</v>
      </c>
      <c r="P628" s="1" t="s">
        <v>7</v>
      </c>
    </row>
    <row r="629" spans="1:16" x14ac:dyDescent="0.25">
      <c r="A629" s="1">
        <v>692268099</v>
      </c>
      <c r="B629" s="1" t="s">
        <v>20</v>
      </c>
      <c r="C629" s="1" t="s">
        <v>17</v>
      </c>
      <c r="D629" s="1">
        <v>48521</v>
      </c>
      <c r="E629" s="1">
        <v>3739</v>
      </c>
      <c r="F629" s="1">
        <v>25</v>
      </c>
      <c r="G629" s="13">
        <f>Table[[#This Row],[Return Value]]/Table[[#This Row],[Sell Value]]</f>
        <v>6.6862797539449055E-3</v>
      </c>
      <c r="H629" s="1" t="s">
        <v>3</v>
      </c>
      <c r="I629" s="1">
        <v>39</v>
      </c>
      <c r="J629" s="14">
        <f>Table[[#This Row],[Sell Value]]*Table[[#This Row],[Selling Price]]</f>
        <v>145821</v>
      </c>
      <c r="K629" s="1" t="s">
        <v>4</v>
      </c>
      <c r="L629" s="1" t="s">
        <v>9</v>
      </c>
      <c r="M629" s="1" t="s">
        <v>22</v>
      </c>
      <c r="N629" s="1">
        <v>0.2</v>
      </c>
      <c r="O629" s="1" t="s">
        <v>81</v>
      </c>
      <c r="P629" s="1" t="s">
        <v>15</v>
      </c>
    </row>
    <row r="630" spans="1:16" x14ac:dyDescent="0.25">
      <c r="A630" s="1">
        <v>462621179</v>
      </c>
      <c r="B630" s="1" t="s">
        <v>24</v>
      </c>
      <c r="C630" s="1" t="s">
        <v>2</v>
      </c>
      <c r="D630" s="1">
        <v>47866</v>
      </c>
      <c r="E630" s="1">
        <v>2332</v>
      </c>
      <c r="F630" s="1">
        <v>30</v>
      </c>
      <c r="G630" s="13">
        <f>Table[[#This Row],[Return Value]]/Table[[#This Row],[Sell Value]]</f>
        <v>1.2864493996569469E-2</v>
      </c>
      <c r="H630" s="1" t="s">
        <v>3</v>
      </c>
      <c r="I630" s="1">
        <v>36</v>
      </c>
      <c r="J630" s="14">
        <f>Table[[#This Row],[Sell Value]]*Table[[#This Row],[Selling Price]]</f>
        <v>83952</v>
      </c>
      <c r="K630" s="1" t="s">
        <v>4</v>
      </c>
      <c r="L630" s="1" t="s">
        <v>13</v>
      </c>
      <c r="M630" s="1" t="s">
        <v>14</v>
      </c>
      <c r="N630" s="1">
        <v>0.2</v>
      </c>
      <c r="O630" s="1" t="s">
        <v>82</v>
      </c>
      <c r="P630" s="1" t="s">
        <v>63</v>
      </c>
    </row>
    <row r="631" spans="1:16" x14ac:dyDescent="0.25">
      <c r="A631" s="1">
        <v>80702838</v>
      </c>
      <c r="B631" s="1" t="s">
        <v>27</v>
      </c>
      <c r="C631" s="1" t="s">
        <v>2</v>
      </c>
      <c r="D631" s="1">
        <v>48170</v>
      </c>
      <c r="E631" s="1">
        <v>3125</v>
      </c>
      <c r="F631" s="1">
        <v>46</v>
      </c>
      <c r="G631" s="13">
        <f>Table[[#This Row],[Return Value]]/Table[[#This Row],[Sell Value]]</f>
        <v>1.472E-2</v>
      </c>
      <c r="H631" s="1" t="s">
        <v>3</v>
      </c>
      <c r="I631" s="1">
        <v>26</v>
      </c>
      <c r="J631" s="14">
        <f>Table[[#This Row],[Sell Value]]*Table[[#This Row],[Selling Price]]</f>
        <v>81250</v>
      </c>
      <c r="K631" s="1" t="s">
        <v>4</v>
      </c>
      <c r="L631" s="1" t="s">
        <v>18</v>
      </c>
      <c r="M631" s="1" t="s">
        <v>26</v>
      </c>
      <c r="N631" s="1">
        <v>0.2</v>
      </c>
      <c r="O631" s="1" t="s">
        <v>82</v>
      </c>
      <c r="P631" s="1" t="s">
        <v>66</v>
      </c>
    </row>
    <row r="632" spans="1:16" x14ac:dyDescent="0.25">
      <c r="A632" s="1">
        <v>649940512</v>
      </c>
      <c r="B632" s="1" t="s">
        <v>32</v>
      </c>
      <c r="C632" s="1" t="s">
        <v>17</v>
      </c>
      <c r="D632" s="1">
        <v>48064</v>
      </c>
      <c r="E632" s="1">
        <v>2322</v>
      </c>
      <c r="F632" s="1">
        <v>43</v>
      </c>
      <c r="G632" s="13">
        <f>Table[[#This Row],[Return Value]]/Table[[#This Row],[Sell Value]]</f>
        <v>1.8518518518518517E-2</v>
      </c>
      <c r="H632" s="1" t="s">
        <v>3</v>
      </c>
      <c r="I632" s="1">
        <v>37</v>
      </c>
      <c r="J632" s="14">
        <f>Table[[#This Row],[Sell Value]]*Table[[#This Row],[Selling Price]]</f>
        <v>85914</v>
      </c>
      <c r="K632" s="1" t="s">
        <v>4</v>
      </c>
      <c r="L632" s="1" t="s">
        <v>21</v>
      </c>
      <c r="M632" s="1" t="s">
        <v>26</v>
      </c>
      <c r="N632" s="1">
        <v>0.2</v>
      </c>
      <c r="O632" s="1" t="s">
        <v>81</v>
      </c>
      <c r="P632" s="1" t="s">
        <v>23</v>
      </c>
    </row>
    <row r="633" spans="1:16" x14ac:dyDescent="0.25">
      <c r="A633" s="1">
        <v>298790729</v>
      </c>
      <c r="B633" s="1" t="s">
        <v>34</v>
      </c>
      <c r="C633" s="1" t="s">
        <v>2</v>
      </c>
      <c r="D633" s="1">
        <v>48377</v>
      </c>
      <c r="E633" s="1">
        <v>4778</v>
      </c>
      <c r="F633" s="1">
        <v>25</v>
      </c>
      <c r="G633" s="13">
        <f>Table[[#This Row],[Return Value]]/Table[[#This Row],[Sell Value]]</f>
        <v>5.232314776056928E-3</v>
      </c>
      <c r="H633" s="1" t="s">
        <v>3</v>
      </c>
      <c r="I633" s="1">
        <v>27</v>
      </c>
      <c r="J633" s="14">
        <f>Table[[#This Row],[Sell Value]]*Table[[#This Row],[Selling Price]]</f>
        <v>129006</v>
      </c>
      <c r="K633" s="1" t="s">
        <v>4</v>
      </c>
      <c r="L633" s="1" t="s">
        <v>25</v>
      </c>
      <c r="M633" s="1" t="s">
        <v>44</v>
      </c>
      <c r="N633" s="1">
        <v>0.2</v>
      </c>
      <c r="O633" s="1" t="s">
        <v>82</v>
      </c>
      <c r="P633" s="1" t="s">
        <v>36</v>
      </c>
    </row>
    <row r="634" spans="1:16" x14ac:dyDescent="0.25">
      <c r="A634" s="1">
        <v>815921135</v>
      </c>
      <c r="B634" s="1" t="s">
        <v>37</v>
      </c>
      <c r="C634" s="1" t="s">
        <v>17</v>
      </c>
      <c r="D634" s="1">
        <v>48312</v>
      </c>
      <c r="E634" s="1">
        <v>1902</v>
      </c>
      <c r="F634" s="1">
        <v>41</v>
      </c>
      <c r="G634" s="13">
        <f>Table[[#This Row],[Return Value]]/Table[[#This Row],[Sell Value]]</f>
        <v>2.1556256572029444E-2</v>
      </c>
      <c r="H634" s="1" t="s">
        <v>3</v>
      </c>
      <c r="I634" s="1">
        <v>47</v>
      </c>
      <c r="J634" s="14">
        <f>Table[[#This Row],[Sell Value]]*Table[[#This Row],[Selling Price]]</f>
        <v>89394</v>
      </c>
      <c r="K634" s="1" t="s">
        <v>4</v>
      </c>
      <c r="L634" s="1" t="s">
        <v>29</v>
      </c>
      <c r="M634" s="1" t="s">
        <v>61</v>
      </c>
      <c r="N634" s="1">
        <v>0.2</v>
      </c>
      <c r="O634" s="1" t="s">
        <v>82</v>
      </c>
      <c r="P634" s="1" t="s">
        <v>62</v>
      </c>
    </row>
    <row r="635" spans="1:16" x14ac:dyDescent="0.25">
      <c r="A635" s="1">
        <v>664758955</v>
      </c>
      <c r="B635" s="1" t="s">
        <v>40</v>
      </c>
      <c r="C635" s="1" t="s">
        <v>17</v>
      </c>
      <c r="D635" s="1">
        <v>47600</v>
      </c>
      <c r="E635" s="1">
        <v>4097</v>
      </c>
      <c r="F635" s="1">
        <v>27</v>
      </c>
      <c r="G635" s="13">
        <f>Table[[#This Row],[Return Value]]/Table[[#This Row],[Sell Value]]</f>
        <v>6.5901879423968758E-3</v>
      </c>
      <c r="H635" s="1" t="s">
        <v>3</v>
      </c>
      <c r="I635" s="1">
        <v>44</v>
      </c>
      <c r="J635" s="14">
        <f>Table[[#This Row],[Sell Value]]*Table[[#This Row],[Selling Price]]</f>
        <v>180268</v>
      </c>
      <c r="K635" s="1" t="s">
        <v>4</v>
      </c>
      <c r="L635" s="1" t="s">
        <v>29</v>
      </c>
      <c r="M635" s="1" t="s">
        <v>33</v>
      </c>
      <c r="N635" s="1">
        <v>0.2</v>
      </c>
      <c r="O635" s="1" t="s">
        <v>82</v>
      </c>
      <c r="P635" s="1" t="s">
        <v>23</v>
      </c>
    </row>
    <row r="636" spans="1:16" x14ac:dyDescent="0.25">
      <c r="A636" s="1">
        <v>767685395</v>
      </c>
      <c r="B636" s="1" t="s">
        <v>42</v>
      </c>
      <c r="C636" s="1" t="s">
        <v>2</v>
      </c>
      <c r="D636" s="1">
        <v>47586</v>
      </c>
      <c r="E636" s="1">
        <v>4890</v>
      </c>
      <c r="F636" s="1">
        <v>36</v>
      </c>
      <c r="G636" s="13">
        <f>Table[[#This Row],[Return Value]]/Table[[#This Row],[Sell Value]]</f>
        <v>7.3619631901840491E-3</v>
      </c>
      <c r="H636" s="1" t="s">
        <v>3</v>
      </c>
      <c r="I636" s="1">
        <v>45</v>
      </c>
      <c r="J636" s="14">
        <f>Table[[#This Row],[Sell Value]]*Table[[#This Row],[Selling Price]]</f>
        <v>220050</v>
      </c>
      <c r="K636" s="1" t="s">
        <v>4</v>
      </c>
      <c r="L636" s="1" t="s">
        <v>35</v>
      </c>
      <c r="M636" s="1" t="s">
        <v>30</v>
      </c>
      <c r="N636" s="1">
        <v>0.2</v>
      </c>
      <c r="O636" s="1" t="s">
        <v>81</v>
      </c>
      <c r="P636" s="1" t="s">
        <v>11</v>
      </c>
    </row>
    <row r="637" spans="1:16" x14ac:dyDescent="0.25">
      <c r="A637" s="1">
        <v>300921066</v>
      </c>
      <c r="B637" s="1" t="s">
        <v>46</v>
      </c>
      <c r="C637" s="1" t="s">
        <v>2</v>
      </c>
      <c r="D637" s="1">
        <v>48041</v>
      </c>
      <c r="E637" s="1">
        <v>2091</v>
      </c>
      <c r="F637" s="1">
        <v>45</v>
      </c>
      <c r="G637" s="13">
        <f>Table[[#This Row],[Return Value]]/Table[[#This Row],[Sell Value]]</f>
        <v>2.1520803443328552E-2</v>
      </c>
      <c r="H637" s="1" t="s">
        <v>3</v>
      </c>
      <c r="I637" s="1">
        <v>32</v>
      </c>
      <c r="J637" s="14">
        <f>Table[[#This Row],[Sell Value]]*Table[[#This Row],[Selling Price]]</f>
        <v>66912</v>
      </c>
      <c r="K637" s="1" t="s">
        <v>4</v>
      </c>
      <c r="L637" s="1" t="s">
        <v>38</v>
      </c>
      <c r="M637" s="1" t="s">
        <v>26</v>
      </c>
      <c r="N637" s="1">
        <v>0.2</v>
      </c>
      <c r="O637" s="1" t="s">
        <v>81</v>
      </c>
      <c r="P637" s="1" t="s">
        <v>49</v>
      </c>
    </row>
    <row r="638" spans="1:16" x14ac:dyDescent="0.25">
      <c r="A638" s="1">
        <v>374236235</v>
      </c>
      <c r="B638" s="1" t="s">
        <v>50</v>
      </c>
      <c r="C638" s="1" t="s">
        <v>2</v>
      </c>
      <c r="D638" s="1">
        <v>48235</v>
      </c>
      <c r="E638" s="1">
        <v>1393</v>
      </c>
      <c r="F638" s="1">
        <v>41</v>
      </c>
      <c r="G638" s="13">
        <f>Table[[#This Row],[Return Value]]/Table[[#This Row],[Sell Value]]</f>
        <v>2.9432878679109833E-2</v>
      </c>
      <c r="H638" s="1" t="s">
        <v>3</v>
      </c>
      <c r="I638" s="1">
        <v>23</v>
      </c>
      <c r="J638" s="14">
        <f>Table[[#This Row],[Sell Value]]*Table[[#This Row],[Selling Price]]</f>
        <v>32039</v>
      </c>
      <c r="K638" s="1" t="s">
        <v>4</v>
      </c>
      <c r="L638" s="1" t="s">
        <v>41</v>
      </c>
      <c r="M638" s="1" t="s">
        <v>59</v>
      </c>
      <c r="N638" s="1">
        <v>0.2</v>
      </c>
      <c r="O638" s="1" t="s">
        <v>82</v>
      </c>
      <c r="P638" s="1" t="s">
        <v>58</v>
      </c>
    </row>
    <row r="639" spans="1:16" x14ac:dyDescent="0.25">
      <c r="A639" s="1">
        <v>27927688</v>
      </c>
      <c r="B639" s="1" t="s">
        <v>53</v>
      </c>
      <c r="C639" s="1" t="s">
        <v>2</v>
      </c>
      <c r="D639" s="1">
        <v>47680</v>
      </c>
      <c r="E639" s="1">
        <v>3209</v>
      </c>
      <c r="F639" s="1">
        <v>10</v>
      </c>
      <c r="G639" s="13">
        <f>Table[[#This Row],[Return Value]]/Table[[#This Row],[Sell Value]]</f>
        <v>3.1162355874104083E-3</v>
      </c>
      <c r="H639" s="1" t="s">
        <v>3</v>
      </c>
      <c r="I639" s="1">
        <v>27</v>
      </c>
      <c r="J639" s="14">
        <f>Table[[#This Row],[Sell Value]]*Table[[#This Row],[Selling Price]]</f>
        <v>86643</v>
      </c>
      <c r="K639" s="1" t="s">
        <v>4</v>
      </c>
      <c r="L639" s="1" t="s">
        <v>43</v>
      </c>
      <c r="M639" s="1" t="s">
        <v>48</v>
      </c>
      <c r="N639" s="1">
        <v>0.2</v>
      </c>
      <c r="O639" s="1" t="s">
        <v>82</v>
      </c>
      <c r="P639" s="1" t="s">
        <v>63</v>
      </c>
    </row>
    <row r="640" spans="1:16" x14ac:dyDescent="0.25">
      <c r="A640" s="1">
        <v>258447172</v>
      </c>
      <c r="B640" s="1" t="s">
        <v>56</v>
      </c>
      <c r="C640" s="1" t="s">
        <v>2</v>
      </c>
      <c r="D640" s="1">
        <v>48526</v>
      </c>
      <c r="E640" s="1">
        <v>4500</v>
      </c>
      <c r="F640" s="1">
        <v>22</v>
      </c>
      <c r="G640" s="13">
        <f>Table[[#This Row],[Return Value]]/Table[[#This Row],[Sell Value]]</f>
        <v>4.8888888888888888E-3</v>
      </c>
      <c r="H640" s="1" t="s">
        <v>3</v>
      </c>
      <c r="I640" s="1">
        <v>40</v>
      </c>
      <c r="J640" s="14">
        <f>Table[[#This Row],[Sell Value]]*Table[[#This Row],[Selling Price]]</f>
        <v>180000</v>
      </c>
      <c r="K640" s="1" t="s">
        <v>4</v>
      </c>
      <c r="L640" s="1" t="s">
        <v>47</v>
      </c>
      <c r="M640" s="1" t="s">
        <v>59</v>
      </c>
      <c r="N640" s="1">
        <v>0.2</v>
      </c>
      <c r="O640" s="1" t="s">
        <v>82</v>
      </c>
      <c r="P640" s="1" t="s">
        <v>63</v>
      </c>
    </row>
    <row r="641" spans="1:16" x14ac:dyDescent="0.25">
      <c r="A641" s="1">
        <v>119038291</v>
      </c>
      <c r="B641" s="1" t="s">
        <v>1</v>
      </c>
      <c r="C641" s="1" t="s">
        <v>2</v>
      </c>
      <c r="D641" s="1">
        <v>48400</v>
      </c>
      <c r="E641" s="1">
        <v>4309</v>
      </c>
      <c r="F641" s="1">
        <v>18</v>
      </c>
      <c r="G641" s="13">
        <f>Table[[#This Row],[Return Value]]/Table[[#This Row],[Sell Value]]</f>
        <v>4.1773033186354143E-3</v>
      </c>
      <c r="H641" s="1" t="s">
        <v>3</v>
      </c>
      <c r="I641" s="1">
        <v>20</v>
      </c>
      <c r="J641" s="14">
        <f>Table[[#This Row],[Sell Value]]*Table[[#This Row],[Selling Price]]</f>
        <v>86180</v>
      </c>
      <c r="K641" s="1" t="s">
        <v>4</v>
      </c>
      <c r="L641" s="1" t="s">
        <v>51</v>
      </c>
      <c r="M641" s="1" t="s">
        <v>30</v>
      </c>
      <c r="N641" s="1">
        <v>0.2</v>
      </c>
      <c r="O641" s="1" t="s">
        <v>82</v>
      </c>
      <c r="P641" s="1" t="s">
        <v>49</v>
      </c>
    </row>
    <row r="642" spans="1:16" x14ac:dyDescent="0.25">
      <c r="A642" s="1">
        <v>973956056</v>
      </c>
      <c r="B642" s="1" t="s">
        <v>8</v>
      </c>
      <c r="C642" s="1" t="s">
        <v>2</v>
      </c>
      <c r="D642" s="1">
        <v>47856</v>
      </c>
      <c r="E642" s="1">
        <v>2433</v>
      </c>
      <c r="F642" s="1">
        <v>36</v>
      </c>
      <c r="G642" s="13">
        <f>Table[[#This Row],[Return Value]]/Table[[#This Row],[Sell Value]]</f>
        <v>1.4796547472256474E-2</v>
      </c>
      <c r="H642" s="1" t="s">
        <v>3</v>
      </c>
      <c r="I642" s="1">
        <v>41</v>
      </c>
      <c r="J642" s="14">
        <f>Table[[#This Row],[Sell Value]]*Table[[#This Row],[Selling Price]]</f>
        <v>99753</v>
      </c>
      <c r="K642" s="1" t="s">
        <v>4</v>
      </c>
      <c r="L642" s="1" t="s">
        <v>54</v>
      </c>
      <c r="M642" s="1" t="s">
        <v>14</v>
      </c>
      <c r="N642" s="1">
        <v>0.2</v>
      </c>
      <c r="O642" s="1" t="s">
        <v>82</v>
      </c>
      <c r="P642" s="1" t="s">
        <v>62</v>
      </c>
    </row>
    <row r="643" spans="1:16" x14ac:dyDescent="0.25">
      <c r="A643" s="1">
        <v>766508716</v>
      </c>
      <c r="B643" s="1" t="s">
        <v>12</v>
      </c>
      <c r="C643" s="1" t="s">
        <v>2</v>
      </c>
      <c r="D643" s="1">
        <v>48235</v>
      </c>
      <c r="E643" s="1">
        <v>4707</v>
      </c>
      <c r="F643" s="1">
        <v>44</v>
      </c>
      <c r="G643" s="13">
        <f>Table[[#This Row],[Return Value]]/Table[[#This Row],[Sell Value]]</f>
        <v>9.3477799022732098E-3</v>
      </c>
      <c r="H643" s="1" t="s">
        <v>3</v>
      </c>
      <c r="I643" s="1">
        <v>27</v>
      </c>
      <c r="J643" s="14">
        <f>Table[[#This Row],[Sell Value]]*Table[[#This Row],[Selling Price]]</f>
        <v>127089</v>
      </c>
      <c r="K643" s="1" t="s">
        <v>4</v>
      </c>
      <c r="L643" s="1" t="s">
        <v>57</v>
      </c>
      <c r="M643" s="1" t="s">
        <v>48</v>
      </c>
      <c r="N643" s="1">
        <v>0.2</v>
      </c>
      <c r="O643" s="1" t="s">
        <v>82</v>
      </c>
      <c r="P643" s="1" t="s">
        <v>15</v>
      </c>
    </row>
    <row r="644" spans="1:16" x14ac:dyDescent="0.25">
      <c r="A644" s="1">
        <v>371197510</v>
      </c>
      <c r="B644" s="1" t="s">
        <v>16</v>
      </c>
      <c r="C644" s="1" t="s">
        <v>17</v>
      </c>
      <c r="D644" s="1">
        <v>48325</v>
      </c>
      <c r="E644" s="1">
        <v>1417</v>
      </c>
      <c r="F644" s="1">
        <v>43</v>
      </c>
      <c r="G644" s="13">
        <f>Table[[#This Row],[Return Value]]/Table[[#This Row],[Sell Value]]</f>
        <v>3.0345800988002825E-2</v>
      </c>
      <c r="H644" s="1" t="s">
        <v>3</v>
      </c>
      <c r="I644" s="1">
        <v>48</v>
      </c>
      <c r="J644" s="14">
        <f>Table[[#This Row],[Sell Value]]*Table[[#This Row],[Selling Price]]</f>
        <v>68016</v>
      </c>
      <c r="K644" s="1" t="s">
        <v>4</v>
      </c>
      <c r="L644" s="1" t="s">
        <v>5</v>
      </c>
      <c r="M644" s="1" t="s">
        <v>22</v>
      </c>
      <c r="N644" s="1">
        <v>0.2</v>
      </c>
      <c r="O644" s="1" t="s">
        <v>81</v>
      </c>
      <c r="P644" s="1" t="s">
        <v>58</v>
      </c>
    </row>
    <row r="645" spans="1:16" x14ac:dyDescent="0.25">
      <c r="A645" s="1">
        <v>924067028</v>
      </c>
      <c r="B645" s="1" t="s">
        <v>20</v>
      </c>
      <c r="C645" s="1" t="s">
        <v>17</v>
      </c>
      <c r="D645" s="1">
        <v>48492</v>
      </c>
      <c r="E645" s="1">
        <v>3631</v>
      </c>
      <c r="F645" s="1">
        <v>27</v>
      </c>
      <c r="G645" s="13">
        <f>Table[[#This Row],[Return Value]]/Table[[#This Row],[Sell Value]]</f>
        <v>7.4359680528779948E-3</v>
      </c>
      <c r="H645" s="1" t="s">
        <v>3</v>
      </c>
      <c r="I645" s="1">
        <v>23</v>
      </c>
      <c r="J645" s="14">
        <f>Table[[#This Row],[Sell Value]]*Table[[#This Row],[Selling Price]]</f>
        <v>83513</v>
      </c>
      <c r="K645" s="1" t="s">
        <v>4</v>
      </c>
      <c r="L645" s="1" t="s">
        <v>9</v>
      </c>
      <c r="M645" s="1" t="s">
        <v>30</v>
      </c>
      <c r="N645" s="1">
        <v>0.2</v>
      </c>
      <c r="O645" s="1" t="s">
        <v>82</v>
      </c>
      <c r="P645" s="1" t="s">
        <v>45</v>
      </c>
    </row>
    <row r="646" spans="1:16" x14ac:dyDescent="0.25">
      <c r="A646" s="1">
        <v>693093102</v>
      </c>
      <c r="B646" s="1" t="s">
        <v>24</v>
      </c>
      <c r="C646" s="1" t="s">
        <v>2</v>
      </c>
      <c r="D646" s="1">
        <v>47664</v>
      </c>
      <c r="E646" s="1">
        <v>1253</v>
      </c>
      <c r="F646" s="1">
        <v>50</v>
      </c>
      <c r="G646" s="13">
        <f>Table[[#This Row],[Return Value]]/Table[[#This Row],[Sell Value]]</f>
        <v>3.9904229848363927E-2</v>
      </c>
      <c r="H646" s="1" t="s">
        <v>3</v>
      </c>
      <c r="I646" s="1">
        <v>34</v>
      </c>
      <c r="J646" s="14">
        <f>Table[[#This Row],[Sell Value]]*Table[[#This Row],[Selling Price]]</f>
        <v>42602</v>
      </c>
      <c r="K646" s="1" t="s">
        <v>4</v>
      </c>
      <c r="L646" s="1" t="s">
        <v>13</v>
      </c>
      <c r="M646" s="1" t="s">
        <v>59</v>
      </c>
      <c r="N646" s="1">
        <v>0.2</v>
      </c>
      <c r="O646" s="1" t="s">
        <v>82</v>
      </c>
      <c r="P646" s="1" t="s">
        <v>7</v>
      </c>
    </row>
    <row r="647" spans="1:16" x14ac:dyDescent="0.25">
      <c r="A647" s="1">
        <v>595484877</v>
      </c>
      <c r="B647" s="1" t="s">
        <v>27</v>
      </c>
      <c r="C647" s="1" t="s">
        <v>2</v>
      </c>
      <c r="D647" s="1">
        <v>47825</v>
      </c>
      <c r="E647" s="1">
        <v>1370</v>
      </c>
      <c r="F647" s="1">
        <v>15</v>
      </c>
      <c r="G647" s="13">
        <f>Table[[#This Row],[Return Value]]/Table[[#This Row],[Sell Value]]</f>
        <v>1.0948905109489052E-2</v>
      </c>
      <c r="H647" s="1" t="s">
        <v>3</v>
      </c>
      <c r="I647" s="1">
        <v>24</v>
      </c>
      <c r="J647" s="14">
        <f>Table[[#This Row],[Sell Value]]*Table[[#This Row],[Selling Price]]</f>
        <v>32880</v>
      </c>
      <c r="K647" s="1" t="s">
        <v>4</v>
      </c>
      <c r="L647" s="1" t="s">
        <v>18</v>
      </c>
      <c r="M647" s="1" t="s">
        <v>48</v>
      </c>
      <c r="N647" s="1">
        <v>0.2</v>
      </c>
      <c r="O647" s="1" t="s">
        <v>82</v>
      </c>
      <c r="P647" s="1" t="s">
        <v>36</v>
      </c>
    </row>
    <row r="648" spans="1:16" x14ac:dyDescent="0.25">
      <c r="A648" s="1">
        <v>263757086</v>
      </c>
      <c r="B648" s="1" t="s">
        <v>32</v>
      </c>
      <c r="C648" s="1" t="s">
        <v>17</v>
      </c>
      <c r="D648" s="1">
        <v>47985</v>
      </c>
      <c r="E648" s="1">
        <v>2671</v>
      </c>
      <c r="F648" s="1">
        <v>30</v>
      </c>
      <c r="G648" s="13">
        <f>Table[[#This Row],[Return Value]]/Table[[#This Row],[Sell Value]]</f>
        <v>1.1231748408835642E-2</v>
      </c>
      <c r="H648" s="1" t="s">
        <v>3</v>
      </c>
      <c r="I648" s="1">
        <v>37</v>
      </c>
      <c r="J648" s="14">
        <f>Table[[#This Row],[Sell Value]]*Table[[#This Row],[Selling Price]]</f>
        <v>98827</v>
      </c>
      <c r="K648" s="1" t="s">
        <v>4</v>
      </c>
      <c r="L648" s="1" t="s">
        <v>21</v>
      </c>
      <c r="M648" s="1" t="s">
        <v>44</v>
      </c>
      <c r="N648" s="1">
        <v>0.2</v>
      </c>
      <c r="O648" s="1" t="s">
        <v>82</v>
      </c>
      <c r="P648" s="1" t="s">
        <v>36</v>
      </c>
    </row>
    <row r="649" spans="1:16" x14ac:dyDescent="0.25">
      <c r="A649" s="1">
        <v>515710242</v>
      </c>
      <c r="B649" s="1" t="s">
        <v>34</v>
      </c>
      <c r="C649" s="1" t="s">
        <v>2</v>
      </c>
      <c r="D649" s="1">
        <v>47752</v>
      </c>
      <c r="E649" s="1">
        <v>1421</v>
      </c>
      <c r="F649" s="1">
        <v>10</v>
      </c>
      <c r="G649" s="13">
        <f>Table[[#This Row],[Return Value]]/Table[[#This Row],[Sell Value]]</f>
        <v>7.0372976776917661E-3</v>
      </c>
      <c r="H649" s="1" t="s">
        <v>3</v>
      </c>
      <c r="I649" s="1">
        <v>33</v>
      </c>
      <c r="J649" s="14">
        <f>Table[[#This Row],[Sell Value]]*Table[[#This Row],[Selling Price]]</f>
        <v>46893</v>
      </c>
      <c r="K649" s="1" t="s">
        <v>4</v>
      </c>
      <c r="L649" s="1" t="s">
        <v>25</v>
      </c>
      <c r="M649" s="1" t="s">
        <v>22</v>
      </c>
      <c r="N649" s="1">
        <v>0.2</v>
      </c>
      <c r="O649" s="1" t="s">
        <v>82</v>
      </c>
      <c r="P649" s="1" t="s">
        <v>63</v>
      </c>
    </row>
    <row r="650" spans="1:16" x14ac:dyDescent="0.25">
      <c r="A650" s="1">
        <v>834263333</v>
      </c>
      <c r="B650" s="1" t="s">
        <v>37</v>
      </c>
      <c r="C650" s="1" t="s">
        <v>17</v>
      </c>
      <c r="D650" s="1">
        <v>48171</v>
      </c>
      <c r="E650" s="1">
        <v>1504</v>
      </c>
      <c r="F650" s="1">
        <v>27</v>
      </c>
      <c r="G650" s="13">
        <f>Table[[#This Row],[Return Value]]/Table[[#This Row],[Sell Value]]</f>
        <v>1.795212765957447E-2</v>
      </c>
      <c r="H650" s="1" t="s">
        <v>3</v>
      </c>
      <c r="I650" s="1">
        <v>43</v>
      </c>
      <c r="J650" s="14">
        <f>Table[[#This Row],[Sell Value]]*Table[[#This Row],[Selling Price]]</f>
        <v>64672</v>
      </c>
      <c r="K650" s="1" t="s">
        <v>4</v>
      </c>
      <c r="L650" s="1" t="s">
        <v>29</v>
      </c>
      <c r="M650" s="1" t="s">
        <v>30</v>
      </c>
      <c r="N650" s="1">
        <v>0.2</v>
      </c>
      <c r="O650" s="1" t="s">
        <v>82</v>
      </c>
      <c r="P650" s="1" t="s">
        <v>19</v>
      </c>
    </row>
    <row r="651" spans="1:16" x14ac:dyDescent="0.25">
      <c r="A651" s="1">
        <v>470906401</v>
      </c>
      <c r="B651" s="1" t="s">
        <v>40</v>
      </c>
      <c r="C651" s="1" t="s">
        <v>17</v>
      </c>
      <c r="D651" s="1">
        <v>48194</v>
      </c>
      <c r="E651" s="1">
        <v>1870</v>
      </c>
      <c r="F651" s="1">
        <v>30</v>
      </c>
      <c r="G651" s="13">
        <f>Table[[#This Row],[Return Value]]/Table[[#This Row],[Sell Value]]</f>
        <v>1.6042780748663103E-2</v>
      </c>
      <c r="H651" s="1" t="s">
        <v>3</v>
      </c>
      <c r="I651" s="1">
        <v>34</v>
      </c>
      <c r="J651" s="14">
        <f>Table[[#This Row],[Sell Value]]*Table[[#This Row],[Selling Price]]</f>
        <v>63580</v>
      </c>
      <c r="K651" s="1" t="s">
        <v>4</v>
      </c>
      <c r="L651" s="1" t="s">
        <v>29</v>
      </c>
      <c r="M651" s="1" t="s">
        <v>14</v>
      </c>
      <c r="N651" s="1">
        <v>0.2</v>
      </c>
      <c r="O651" s="1" t="s">
        <v>81</v>
      </c>
      <c r="P651" s="1" t="s">
        <v>62</v>
      </c>
    </row>
    <row r="652" spans="1:16" x14ac:dyDescent="0.25">
      <c r="A652" s="1">
        <v>492420489</v>
      </c>
      <c r="B652" s="1" t="s">
        <v>42</v>
      </c>
      <c r="C652" s="1" t="s">
        <v>2</v>
      </c>
      <c r="D652" s="1">
        <v>48484</v>
      </c>
      <c r="E652" s="1">
        <v>2866</v>
      </c>
      <c r="F652" s="1">
        <v>13</v>
      </c>
      <c r="G652" s="13">
        <f>Table[[#This Row],[Return Value]]/Table[[#This Row],[Sell Value]]</f>
        <v>4.5359385903698535E-3</v>
      </c>
      <c r="H652" s="1" t="s">
        <v>3</v>
      </c>
      <c r="I652" s="1">
        <v>24</v>
      </c>
      <c r="J652" s="14">
        <f>Table[[#This Row],[Sell Value]]*Table[[#This Row],[Selling Price]]</f>
        <v>68784</v>
      </c>
      <c r="K652" s="1" t="s">
        <v>4</v>
      </c>
      <c r="L652" s="1" t="s">
        <v>35</v>
      </c>
      <c r="M652" s="1" t="s">
        <v>14</v>
      </c>
      <c r="N652" s="1">
        <v>0.2</v>
      </c>
      <c r="O652" s="1" t="s">
        <v>81</v>
      </c>
      <c r="P652" s="1" t="s">
        <v>55</v>
      </c>
    </row>
    <row r="653" spans="1:16" x14ac:dyDescent="0.25">
      <c r="A653" s="1">
        <v>167553177</v>
      </c>
      <c r="B653" s="1" t="s">
        <v>46</v>
      </c>
      <c r="C653" s="1" t="s">
        <v>2</v>
      </c>
      <c r="D653" s="1">
        <v>47643</v>
      </c>
      <c r="E653" s="1">
        <v>3507</v>
      </c>
      <c r="F653" s="1">
        <v>29</v>
      </c>
      <c r="G653" s="13">
        <f>Table[[#This Row],[Return Value]]/Table[[#This Row],[Sell Value]]</f>
        <v>8.2691759338465922E-3</v>
      </c>
      <c r="H653" s="1" t="s">
        <v>3</v>
      </c>
      <c r="I653" s="1">
        <v>42</v>
      </c>
      <c r="J653" s="14">
        <f>Table[[#This Row],[Sell Value]]*Table[[#This Row],[Selling Price]]</f>
        <v>147294</v>
      </c>
      <c r="K653" s="1" t="s">
        <v>4</v>
      </c>
      <c r="L653" s="1" t="s">
        <v>38</v>
      </c>
      <c r="M653" s="1" t="s">
        <v>30</v>
      </c>
      <c r="N653" s="1">
        <v>0.2</v>
      </c>
      <c r="O653" s="1" t="s">
        <v>81</v>
      </c>
      <c r="P653" s="1" t="s">
        <v>36</v>
      </c>
    </row>
    <row r="654" spans="1:16" x14ac:dyDescent="0.25">
      <c r="A654" s="1">
        <v>652259052</v>
      </c>
      <c r="B654" s="1" t="s">
        <v>46</v>
      </c>
      <c r="C654" s="1" t="s">
        <v>2</v>
      </c>
      <c r="D654" s="1">
        <v>47894</v>
      </c>
      <c r="E654" s="1">
        <v>1808</v>
      </c>
      <c r="F654" s="1">
        <v>49</v>
      </c>
      <c r="G654" s="13">
        <f>Table[[#This Row],[Return Value]]/Table[[#This Row],[Sell Value]]</f>
        <v>2.7101769911504425E-2</v>
      </c>
      <c r="H654" s="1" t="s">
        <v>3</v>
      </c>
      <c r="I654" s="1">
        <v>36</v>
      </c>
      <c r="J654" s="14">
        <f>Table[[#This Row],[Sell Value]]*Table[[#This Row],[Selling Price]]</f>
        <v>65088</v>
      </c>
      <c r="K654" s="1" t="s">
        <v>4</v>
      </c>
      <c r="L654" s="1" t="s">
        <v>41</v>
      </c>
      <c r="M654" s="1" t="s">
        <v>61</v>
      </c>
      <c r="N654" s="1">
        <v>0.2</v>
      </c>
      <c r="O654" s="1" t="s">
        <v>82</v>
      </c>
      <c r="P654" s="1" t="s">
        <v>60</v>
      </c>
    </row>
    <row r="655" spans="1:16" x14ac:dyDescent="0.25">
      <c r="A655" s="1">
        <v>71087341</v>
      </c>
      <c r="B655" s="1" t="s">
        <v>50</v>
      </c>
      <c r="C655" s="1" t="s">
        <v>2</v>
      </c>
      <c r="D655" s="1">
        <v>47540</v>
      </c>
      <c r="E655" s="1">
        <v>2566</v>
      </c>
      <c r="F655" s="1">
        <v>25</v>
      </c>
      <c r="G655" s="13">
        <f>Table[[#This Row],[Return Value]]/Table[[#This Row],[Sell Value]]</f>
        <v>9.7427903351519872E-3</v>
      </c>
      <c r="H655" s="1" t="s">
        <v>3</v>
      </c>
      <c r="I655" s="1">
        <v>26</v>
      </c>
      <c r="J655" s="14">
        <f>Table[[#This Row],[Sell Value]]*Table[[#This Row],[Selling Price]]</f>
        <v>66716</v>
      </c>
      <c r="K655" s="1" t="s">
        <v>4</v>
      </c>
      <c r="L655" s="1" t="s">
        <v>43</v>
      </c>
      <c r="M655" s="1" t="s">
        <v>22</v>
      </c>
      <c r="N655" s="1">
        <v>0.2</v>
      </c>
      <c r="O655" s="1" t="s">
        <v>82</v>
      </c>
      <c r="P655" s="1" t="s">
        <v>23</v>
      </c>
    </row>
    <row r="656" spans="1:16" x14ac:dyDescent="0.25">
      <c r="A656" s="1">
        <v>20050724</v>
      </c>
      <c r="B656" s="1" t="s">
        <v>53</v>
      </c>
      <c r="C656" s="1" t="s">
        <v>2</v>
      </c>
      <c r="D656" s="1">
        <v>48351</v>
      </c>
      <c r="E656" s="1">
        <v>2017</v>
      </c>
      <c r="F656" s="1">
        <v>49</v>
      </c>
      <c r="G656" s="13">
        <f>Table[[#This Row],[Return Value]]/Table[[#This Row],[Sell Value]]</f>
        <v>2.4293505205751114E-2</v>
      </c>
      <c r="H656" s="1" t="s">
        <v>3</v>
      </c>
      <c r="I656" s="1">
        <v>44</v>
      </c>
      <c r="J656" s="14">
        <f>Table[[#This Row],[Sell Value]]*Table[[#This Row],[Selling Price]]</f>
        <v>88748</v>
      </c>
      <c r="K656" s="1" t="s">
        <v>4</v>
      </c>
      <c r="L656" s="1" t="s">
        <v>47</v>
      </c>
      <c r="M656" s="1" t="s">
        <v>30</v>
      </c>
      <c r="N656" s="1">
        <v>0.2</v>
      </c>
      <c r="O656" s="1" t="s">
        <v>82</v>
      </c>
      <c r="P656" s="1" t="s">
        <v>65</v>
      </c>
    </row>
    <row r="657" spans="1:16" x14ac:dyDescent="0.25">
      <c r="A657" s="1">
        <v>909416600</v>
      </c>
      <c r="B657" s="1" t="s">
        <v>56</v>
      </c>
      <c r="C657" s="1" t="s">
        <v>2</v>
      </c>
      <c r="D657" s="1">
        <v>48406</v>
      </c>
      <c r="E657" s="1">
        <v>1208</v>
      </c>
      <c r="F657" s="1">
        <v>35</v>
      </c>
      <c r="G657" s="13">
        <f>Table[[#This Row],[Return Value]]/Table[[#This Row],[Sell Value]]</f>
        <v>2.8973509933774833E-2</v>
      </c>
      <c r="H657" s="1" t="s">
        <v>28</v>
      </c>
      <c r="I657" s="1">
        <v>34</v>
      </c>
      <c r="J657" s="14">
        <f>Table[[#This Row],[Sell Value]]*Table[[#This Row],[Selling Price]]</f>
        <v>41072</v>
      </c>
      <c r="K657" s="1" t="s">
        <v>4</v>
      </c>
      <c r="L657" s="1" t="s">
        <v>51</v>
      </c>
      <c r="M657" s="1" t="s">
        <v>59</v>
      </c>
      <c r="N657" s="1">
        <v>0.2</v>
      </c>
      <c r="O657" s="1" t="s">
        <v>81</v>
      </c>
      <c r="P657" s="1" t="s">
        <v>55</v>
      </c>
    </row>
    <row r="658" spans="1:16" x14ac:dyDescent="0.25">
      <c r="A658" s="1">
        <v>669131878</v>
      </c>
      <c r="B658" s="1" t="s">
        <v>1</v>
      </c>
      <c r="C658" s="1" t="s">
        <v>2</v>
      </c>
      <c r="D658" s="1">
        <v>47564</v>
      </c>
      <c r="E658" s="1">
        <v>1710</v>
      </c>
      <c r="F658" s="1">
        <v>45</v>
      </c>
      <c r="G658" s="13">
        <f>Table[[#This Row],[Return Value]]/Table[[#This Row],[Sell Value]]</f>
        <v>2.6315789473684209E-2</v>
      </c>
      <c r="H658" s="1" t="s">
        <v>3</v>
      </c>
      <c r="I658" s="1">
        <v>45</v>
      </c>
      <c r="J658" s="14">
        <f>Table[[#This Row],[Sell Value]]*Table[[#This Row],[Selling Price]]</f>
        <v>76950</v>
      </c>
      <c r="K658" s="1" t="s">
        <v>4</v>
      </c>
      <c r="L658" s="1" t="s">
        <v>54</v>
      </c>
      <c r="M658" s="1" t="s">
        <v>30</v>
      </c>
      <c r="N658" s="1">
        <v>0.2</v>
      </c>
      <c r="O658" s="1" t="s">
        <v>82</v>
      </c>
      <c r="P658" s="1" t="s">
        <v>49</v>
      </c>
    </row>
    <row r="659" spans="1:16" x14ac:dyDescent="0.25">
      <c r="A659" s="1">
        <v>753259144</v>
      </c>
      <c r="B659" s="1" t="s">
        <v>8</v>
      </c>
      <c r="C659" s="1" t="s">
        <v>2</v>
      </c>
      <c r="D659" s="1">
        <v>48215</v>
      </c>
      <c r="E659" s="1">
        <v>3800</v>
      </c>
      <c r="F659" s="1">
        <v>40</v>
      </c>
      <c r="G659" s="13">
        <f>Table[[#This Row],[Return Value]]/Table[[#This Row],[Sell Value]]</f>
        <v>1.0526315789473684E-2</v>
      </c>
      <c r="H659" s="1" t="s">
        <v>3</v>
      </c>
      <c r="I659" s="1">
        <v>21</v>
      </c>
      <c r="J659" s="14">
        <f>Table[[#This Row],[Sell Value]]*Table[[#This Row],[Selling Price]]</f>
        <v>79800</v>
      </c>
      <c r="K659" s="1" t="s">
        <v>4</v>
      </c>
      <c r="L659" s="1" t="s">
        <v>57</v>
      </c>
      <c r="M659" s="1" t="s">
        <v>61</v>
      </c>
      <c r="N659" s="1">
        <v>0.2</v>
      </c>
      <c r="O659" s="1" t="s">
        <v>81</v>
      </c>
      <c r="P659" s="1" t="s">
        <v>60</v>
      </c>
    </row>
    <row r="660" spans="1:16" x14ac:dyDescent="0.25">
      <c r="A660" s="1">
        <v>453683244</v>
      </c>
      <c r="B660" s="1" t="s">
        <v>12</v>
      </c>
      <c r="C660" s="1" t="s">
        <v>2</v>
      </c>
      <c r="D660" s="1">
        <v>47883</v>
      </c>
      <c r="E660" s="1">
        <v>2881</v>
      </c>
      <c r="F660" s="1">
        <v>35</v>
      </c>
      <c r="G660" s="13">
        <f>Table[[#This Row],[Return Value]]/Table[[#This Row],[Sell Value]]</f>
        <v>1.2148559527941687E-2</v>
      </c>
      <c r="H660" s="1" t="s">
        <v>3</v>
      </c>
      <c r="I660" s="1">
        <v>49</v>
      </c>
      <c r="J660" s="14">
        <f>Table[[#This Row],[Sell Value]]*Table[[#This Row],[Selling Price]]</f>
        <v>141169</v>
      </c>
      <c r="K660" s="1" t="s">
        <v>4</v>
      </c>
      <c r="L660" s="1" t="s">
        <v>5</v>
      </c>
      <c r="M660" s="1" t="s">
        <v>6</v>
      </c>
      <c r="N660" s="1">
        <v>0.2</v>
      </c>
      <c r="O660" s="1" t="s">
        <v>81</v>
      </c>
      <c r="P660" s="1" t="s">
        <v>65</v>
      </c>
    </row>
    <row r="661" spans="1:16" x14ac:dyDescent="0.25">
      <c r="A661" s="1">
        <v>271994584</v>
      </c>
      <c r="B661" s="1" t="s">
        <v>16</v>
      </c>
      <c r="C661" s="1" t="s">
        <v>17</v>
      </c>
      <c r="D661" s="1">
        <v>47657</v>
      </c>
      <c r="E661" s="1">
        <v>4274</v>
      </c>
      <c r="F661" s="1">
        <v>41</v>
      </c>
      <c r="G661" s="13">
        <f>Table[[#This Row],[Return Value]]/Table[[#This Row],[Sell Value]]</f>
        <v>9.5928872250818902E-3</v>
      </c>
      <c r="H661" s="1" t="s">
        <v>3</v>
      </c>
      <c r="I661" s="1">
        <v>27</v>
      </c>
      <c r="J661" s="14">
        <f>Table[[#This Row],[Sell Value]]*Table[[#This Row],[Selling Price]]</f>
        <v>115398</v>
      </c>
      <c r="K661" s="1" t="s">
        <v>4</v>
      </c>
      <c r="L661" s="1" t="s">
        <v>9</v>
      </c>
      <c r="M661" s="1" t="s">
        <v>59</v>
      </c>
      <c r="N661" s="1">
        <v>0.2</v>
      </c>
      <c r="O661" s="1" t="s">
        <v>81</v>
      </c>
      <c r="P661" s="1" t="s">
        <v>58</v>
      </c>
    </row>
    <row r="662" spans="1:16" x14ac:dyDescent="0.25">
      <c r="A662" s="1">
        <v>199244562</v>
      </c>
      <c r="B662" s="1" t="s">
        <v>20</v>
      </c>
      <c r="C662" s="1" t="s">
        <v>17</v>
      </c>
      <c r="D662" s="1">
        <v>48218</v>
      </c>
      <c r="E662" s="1">
        <v>1385</v>
      </c>
      <c r="F662" s="1">
        <v>25</v>
      </c>
      <c r="G662" s="13">
        <f>Table[[#This Row],[Return Value]]/Table[[#This Row],[Sell Value]]</f>
        <v>1.8050541516245487E-2</v>
      </c>
      <c r="H662" s="1" t="s">
        <v>3</v>
      </c>
      <c r="I662" s="1">
        <v>32</v>
      </c>
      <c r="J662" s="14">
        <f>Table[[#This Row],[Sell Value]]*Table[[#This Row],[Selling Price]]</f>
        <v>44320</v>
      </c>
      <c r="K662" s="1" t="s">
        <v>4</v>
      </c>
      <c r="L662" s="1" t="s">
        <v>13</v>
      </c>
      <c r="M662" s="1" t="s">
        <v>26</v>
      </c>
      <c r="N662" s="1">
        <v>0.2</v>
      </c>
      <c r="O662" s="1" t="s">
        <v>81</v>
      </c>
      <c r="P662" s="1" t="s">
        <v>63</v>
      </c>
    </row>
    <row r="663" spans="1:16" x14ac:dyDescent="0.25">
      <c r="A663" s="1">
        <v>40639473</v>
      </c>
      <c r="B663" s="1" t="s">
        <v>24</v>
      </c>
      <c r="C663" s="1" t="s">
        <v>2</v>
      </c>
      <c r="D663" s="1">
        <v>47765</v>
      </c>
      <c r="E663" s="1">
        <v>2164</v>
      </c>
      <c r="F663" s="1">
        <v>27</v>
      </c>
      <c r="G663" s="13">
        <f>Table[[#This Row],[Return Value]]/Table[[#This Row],[Sell Value]]</f>
        <v>1.2476894639556377E-2</v>
      </c>
      <c r="H663" s="1" t="s">
        <v>28</v>
      </c>
      <c r="I663" s="1">
        <v>46</v>
      </c>
      <c r="J663" s="14">
        <f>Table[[#This Row],[Sell Value]]*Table[[#This Row],[Selling Price]]</f>
        <v>99544</v>
      </c>
      <c r="K663" s="1" t="s">
        <v>4</v>
      </c>
      <c r="L663" s="1" t="s">
        <v>18</v>
      </c>
      <c r="M663" s="1" t="s">
        <v>10</v>
      </c>
      <c r="N663" s="1">
        <v>0.2</v>
      </c>
      <c r="O663" s="1" t="s">
        <v>82</v>
      </c>
      <c r="P663" s="1" t="s">
        <v>60</v>
      </c>
    </row>
    <row r="664" spans="1:16" x14ac:dyDescent="0.25">
      <c r="A664" s="1">
        <v>950125762</v>
      </c>
      <c r="B664" s="1" t="s">
        <v>27</v>
      </c>
      <c r="C664" s="1" t="s">
        <v>2</v>
      </c>
      <c r="D664" s="1">
        <v>48432</v>
      </c>
      <c r="E664" s="1">
        <v>2869</v>
      </c>
      <c r="F664" s="1">
        <v>21</v>
      </c>
      <c r="G664" s="13">
        <f>Table[[#This Row],[Return Value]]/Table[[#This Row],[Sell Value]]</f>
        <v>7.3196235622168E-3</v>
      </c>
      <c r="H664" s="1" t="s">
        <v>3</v>
      </c>
      <c r="I664" s="1">
        <v>23</v>
      </c>
      <c r="J664" s="14">
        <f>Table[[#This Row],[Sell Value]]*Table[[#This Row],[Selling Price]]</f>
        <v>65987</v>
      </c>
      <c r="K664" s="1" t="s">
        <v>4</v>
      </c>
      <c r="L664" s="1" t="s">
        <v>21</v>
      </c>
      <c r="M664" s="1" t="s">
        <v>10</v>
      </c>
      <c r="N664" s="1">
        <v>0.2</v>
      </c>
      <c r="O664" s="1" t="s">
        <v>81</v>
      </c>
      <c r="P664" s="1" t="s">
        <v>60</v>
      </c>
    </row>
    <row r="665" spans="1:16" x14ac:dyDescent="0.25">
      <c r="A665" s="1">
        <v>828770349</v>
      </c>
      <c r="B665" s="1" t="s">
        <v>32</v>
      </c>
      <c r="C665" s="1" t="s">
        <v>17</v>
      </c>
      <c r="D665" s="1">
        <v>48194</v>
      </c>
      <c r="E665" s="1">
        <v>3338</v>
      </c>
      <c r="F665" s="1">
        <v>28</v>
      </c>
      <c r="G665" s="13">
        <f>Table[[#This Row],[Return Value]]/Table[[#This Row],[Sell Value]]</f>
        <v>8.3882564409826239E-3</v>
      </c>
      <c r="H665" s="1" t="s">
        <v>3</v>
      </c>
      <c r="I665" s="1">
        <v>43</v>
      </c>
      <c r="J665" s="14">
        <f>Table[[#This Row],[Sell Value]]*Table[[#This Row],[Selling Price]]</f>
        <v>143534</v>
      </c>
      <c r="K665" s="1" t="s">
        <v>4</v>
      </c>
      <c r="L665" s="1" t="s">
        <v>25</v>
      </c>
      <c r="M665" s="1" t="s">
        <v>10</v>
      </c>
      <c r="N665" s="1">
        <v>0.2</v>
      </c>
      <c r="O665" s="1" t="s">
        <v>82</v>
      </c>
      <c r="P665" s="1" t="s">
        <v>7</v>
      </c>
    </row>
    <row r="666" spans="1:16" x14ac:dyDescent="0.25">
      <c r="A666" s="1">
        <v>605576136</v>
      </c>
      <c r="B666" s="1" t="s">
        <v>34</v>
      </c>
      <c r="C666" s="1" t="s">
        <v>2</v>
      </c>
      <c r="D666" s="1">
        <v>48337</v>
      </c>
      <c r="E666" s="1">
        <v>2047</v>
      </c>
      <c r="F666" s="1">
        <v>22</v>
      </c>
      <c r="G666" s="13">
        <f>Table[[#This Row],[Return Value]]/Table[[#This Row],[Sell Value]]</f>
        <v>1.074743527112848E-2</v>
      </c>
      <c r="H666" s="1" t="s">
        <v>3</v>
      </c>
      <c r="I666" s="1">
        <v>37</v>
      </c>
      <c r="J666" s="14">
        <f>Table[[#This Row],[Sell Value]]*Table[[#This Row],[Selling Price]]</f>
        <v>75739</v>
      </c>
      <c r="K666" s="1" t="s">
        <v>4</v>
      </c>
      <c r="L666" s="1" t="s">
        <v>29</v>
      </c>
      <c r="M666" s="1" t="s">
        <v>59</v>
      </c>
      <c r="N666" s="1">
        <v>0.2</v>
      </c>
      <c r="O666" s="1" t="s">
        <v>82</v>
      </c>
      <c r="P666" s="1" t="s">
        <v>11</v>
      </c>
    </row>
    <row r="667" spans="1:16" x14ac:dyDescent="0.25">
      <c r="A667" s="1">
        <v>763252820</v>
      </c>
      <c r="B667" s="1" t="s">
        <v>37</v>
      </c>
      <c r="C667" s="1" t="s">
        <v>17</v>
      </c>
      <c r="D667" s="1">
        <v>48015</v>
      </c>
      <c r="E667" s="1">
        <v>3074</v>
      </c>
      <c r="F667" s="1">
        <v>11</v>
      </c>
      <c r="G667" s="13">
        <f>Table[[#This Row],[Return Value]]/Table[[#This Row],[Sell Value]]</f>
        <v>3.5783994795055302E-3</v>
      </c>
      <c r="H667" s="1" t="s">
        <v>3</v>
      </c>
      <c r="I667" s="1">
        <v>49</v>
      </c>
      <c r="J667" s="14">
        <f>Table[[#This Row],[Sell Value]]*Table[[#This Row],[Selling Price]]</f>
        <v>150626</v>
      </c>
      <c r="K667" s="1" t="s">
        <v>4</v>
      </c>
      <c r="L667" s="1" t="s">
        <v>29</v>
      </c>
      <c r="M667" s="1" t="s">
        <v>33</v>
      </c>
      <c r="N667" s="1">
        <v>0.2</v>
      </c>
      <c r="O667" s="1" t="s">
        <v>81</v>
      </c>
      <c r="P667" s="1" t="s">
        <v>58</v>
      </c>
    </row>
    <row r="668" spans="1:16" x14ac:dyDescent="0.25">
      <c r="A668" s="1">
        <v>582878971</v>
      </c>
      <c r="B668" s="1" t="s">
        <v>40</v>
      </c>
      <c r="C668" s="1" t="s">
        <v>17</v>
      </c>
      <c r="D668" s="1">
        <v>47658</v>
      </c>
      <c r="E668" s="1">
        <v>3645</v>
      </c>
      <c r="F668" s="1">
        <v>49</v>
      </c>
      <c r="G668" s="13">
        <f>Table[[#This Row],[Return Value]]/Table[[#This Row],[Sell Value]]</f>
        <v>1.3443072702331962E-2</v>
      </c>
      <c r="H668" s="1" t="s">
        <v>3</v>
      </c>
      <c r="I668" s="1">
        <v>27</v>
      </c>
      <c r="J668" s="14">
        <f>Table[[#This Row],[Sell Value]]*Table[[#This Row],[Selling Price]]</f>
        <v>98415</v>
      </c>
      <c r="K668" s="1" t="s">
        <v>4</v>
      </c>
      <c r="L668" s="1" t="s">
        <v>35</v>
      </c>
      <c r="M668" s="1" t="s">
        <v>33</v>
      </c>
      <c r="N668" s="1">
        <v>0.2</v>
      </c>
      <c r="O668" s="1" t="s">
        <v>82</v>
      </c>
      <c r="P668" s="1" t="s">
        <v>66</v>
      </c>
    </row>
    <row r="669" spans="1:16" x14ac:dyDescent="0.25">
      <c r="A669" s="1">
        <v>833262378</v>
      </c>
      <c r="B669" s="1" t="s">
        <v>42</v>
      </c>
      <c r="C669" s="1" t="s">
        <v>2</v>
      </c>
      <c r="D669" s="1">
        <v>47606</v>
      </c>
      <c r="E669" s="1">
        <v>1306</v>
      </c>
      <c r="F669" s="1">
        <v>24</v>
      </c>
      <c r="G669" s="13">
        <f>Table[[#This Row],[Return Value]]/Table[[#This Row],[Sell Value]]</f>
        <v>1.8376722817764167E-2</v>
      </c>
      <c r="H669" s="1" t="s">
        <v>3</v>
      </c>
      <c r="I669" s="1">
        <v>47</v>
      </c>
      <c r="J669" s="14">
        <f>Table[[#This Row],[Sell Value]]*Table[[#This Row],[Selling Price]]</f>
        <v>61382</v>
      </c>
      <c r="K669" s="1" t="s">
        <v>4</v>
      </c>
      <c r="L669" s="1" t="s">
        <v>38</v>
      </c>
      <c r="M669" s="1" t="s">
        <v>14</v>
      </c>
      <c r="N669" s="1">
        <v>0.2</v>
      </c>
      <c r="O669" s="1" t="s">
        <v>81</v>
      </c>
      <c r="P669" s="1" t="s">
        <v>62</v>
      </c>
    </row>
    <row r="670" spans="1:16" x14ac:dyDescent="0.25">
      <c r="A670" s="1">
        <v>134641486</v>
      </c>
      <c r="B670" s="1" t="s">
        <v>46</v>
      </c>
      <c r="C670" s="1" t="s">
        <v>2</v>
      </c>
      <c r="D670" s="1">
        <v>48236</v>
      </c>
      <c r="E670" s="1">
        <v>3946</v>
      </c>
      <c r="F670" s="1">
        <v>49</v>
      </c>
      <c r="G670" s="13">
        <f>Table[[#This Row],[Return Value]]/Table[[#This Row],[Sell Value]]</f>
        <v>1.2417638114546376E-2</v>
      </c>
      <c r="H670" s="1" t="s">
        <v>28</v>
      </c>
      <c r="I670" s="1">
        <v>37</v>
      </c>
      <c r="J670" s="14">
        <f>Table[[#This Row],[Sell Value]]*Table[[#This Row],[Selling Price]]</f>
        <v>146002</v>
      </c>
      <c r="K670" s="1" t="s">
        <v>4</v>
      </c>
      <c r="L670" s="1" t="s">
        <v>41</v>
      </c>
      <c r="M670" s="1" t="s">
        <v>14</v>
      </c>
      <c r="N670" s="1">
        <v>0.2</v>
      </c>
      <c r="O670" s="1" t="s">
        <v>81</v>
      </c>
      <c r="P670" s="1" t="s">
        <v>11</v>
      </c>
    </row>
    <row r="671" spans="1:16" x14ac:dyDescent="0.25">
      <c r="A671" s="1">
        <v>573938383</v>
      </c>
      <c r="B671" s="1" t="s">
        <v>12</v>
      </c>
      <c r="C671" s="1" t="s">
        <v>2</v>
      </c>
      <c r="D671" s="1">
        <v>48308</v>
      </c>
      <c r="E671" s="1">
        <v>3536</v>
      </c>
      <c r="F671" s="1">
        <v>13</v>
      </c>
      <c r="G671" s="13">
        <f>Table[[#This Row],[Return Value]]/Table[[#This Row],[Sell Value]]</f>
        <v>3.6764705882352941E-3</v>
      </c>
      <c r="H671" s="1" t="s">
        <v>3</v>
      </c>
      <c r="I671" s="1">
        <v>25</v>
      </c>
      <c r="J671" s="14">
        <f>Table[[#This Row],[Sell Value]]*Table[[#This Row],[Selling Price]]</f>
        <v>88400</v>
      </c>
      <c r="K671" s="1" t="s">
        <v>4</v>
      </c>
      <c r="L671" s="1" t="s">
        <v>43</v>
      </c>
      <c r="M671" s="1" t="s">
        <v>22</v>
      </c>
      <c r="N671" s="1">
        <v>0.2</v>
      </c>
      <c r="O671" s="1" t="s">
        <v>81</v>
      </c>
      <c r="P671" s="1" t="s">
        <v>66</v>
      </c>
    </row>
    <row r="672" spans="1:16" x14ac:dyDescent="0.25">
      <c r="A672" s="1">
        <v>704740906</v>
      </c>
      <c r="B672" s="1" t="s">
        <v>16</v>
      </c>
      <c r="C672" s="1" t="s">
        <v>17</v>
      </c>
      <c r="D672" s="1">
        <v>47673</v>
      </c>
      <c r="E672" s="1">
        <v>3722</v>
      </c>
      <c r="F672" s="1">
        <v>17</v>
      </c>
      <c r="G672" s="13">
        <f>Table[[#This Row],[Return Value]]/Table[[#This Row],[Sell Value]]</f>
        <v>4.5674368619022035E-3</v>
      </c>
      <c r="H672" s="1" t="s">
        <v>28</v>
      </c>
      <c r="I672" s="1">
        <v>34</v>
      </c>
      <c r="J672" s="14">
        <f>Table[[#This Row],[Sell Value]]*Table[[#This Row],[Selling Price]]</f>
        <v>126548</v>
      </c>
      <c r="K672" s="1" t="s">
        <v>4</v>
      </c>
      <c r="L672" s="1" t="s">
        <v>47</v>
      </c>
      <c r="M672" s="1" t="s">
        <v>33</v>
      </c>
      <c r="N672" s="1">
        <v>0.2</v>
      </c>
      <c r="O672" s="1" t="s">
        <v>82</v>
      </c>
      <c r="P672" s="1" t="s">
        <v>23</v>
      </c>
    </row>
    <row r="673" spans="1:16" x14ac:dyDescent="0.25">
      <c r="A673" s="1">
        <v>336303704</v>
      </c>
      <c r="B673" s="1" t="s">
        <v>20</v>
      </c>
      <c r="C673" s="1" t="s">
        <v>17</v>
      </c>
      <c r="D673" s="1">
        <v>47871</v>
      </c>
      <c r="E673" s="1">
        <v>3038</v>
      </c>
      <c r="F673" s="1">
        <v>40</v>
      </c>
      <c r="G673" s="13">
        <f>Table[[#This Row],[Return Value]]/Table[[#This Row],[Sell Value]]</f>
        <v>1.3166556945358789E-2</v>
      </c>
      <c r="H673" s="1" t="s">
        <v>3</v>
      </c>
      <c r="I673" s="1">
        <v>22</v>
      </c>
      <c r="J673" s="14">
        <f>Table[[#This Row],[Sell Value]]*Table[[#This Row],[Selling Price]]</f>
        <v>66836</v>
      </c>
      <c r="K673" s="1" t="s">
        <v>4</v>
      </c>
      <c r="L673" s="1" t="s">
        <v>51</v>
      </c>
      <c r="M673" s="1" t="s">
        <v>33</v>
      </c>
      <c r="N673" s="1">
        <v>0.2</v>
      </c>
      <c r="O673" s="1" t="s">
        <v>82</v>
      </c>
      <c r="P673" s="1" t="s">
        <v>31</v>
      </c>
    </row>
    <row r="674" spans="1:16" x14ac:dyDescent="0.25">
      <c r="A674" s="1">
        <v>415317580</v>
      </c>
      <c r="B674" s="1" t="s">
        <v>24</v>
      </c>
      <c r="C674" s="1" t="s">
        <v>2</v>
      </c>
      <c r="D674" s="1">
        <v>48572</v>
      </c>
      <c r="E674" s="1">
        <v>4320</v>
      </c>
      <c r="F674" s="1">
        <v>41</v>
      </c>
      <c r="G674" s="13">
        <f>Table[[#This Row],[Return Value]]/Table[[#This Row],[Sell Value]]</f>
        <v>9.4907407407407406E-3</v>
      </c>
      <c r="H674" s="1" t="s">
        <v>3</v>
      </c>
      <c r="I674" s="1">
        <v>27</v>
      </c>
      <c r="J674" s="14">
        <f>Table[[#This Row],[Sell Value]]*Table[[#This Row],[Selling Price]]</f>
        <v>116640</v>
      </c>
      <c r="K674" s="1" t="s">
        <v>4</v>
      </c>
      <c r="L674" s="1" t="s">
        <v>54</v>
      </c>
      <c r="M674" s="1" t="s">
        <v>61</v>
      </c>
      <c r="N674" s="1">
        <v>0.2</v>
      </c>
      <c r="O674" s="1" t="s">
        <v>81</v>
      </c>
      <c r="P674" s="1" t="s">
        <v>31</v>
      </c>
    </row>
    <row r="675" spans="1:16" x14ac:dyDescent="0.25">
      <c r="A675" s="1">
        <v>540091878</v>
      </c>
      <c r="B675" s="1" t="s">
        <v>27</v>
      </c>
      <c r="C675" s="1" t="s">
        <v>2</v>
      </c>
      <c r="D675" s="1">
        <v>47963</v>
      </c>
      <c r="E675" s="1">
        <v>4344</v>
      </c>
      <c r="F675" s="1">
        <v>19</v>
      </c>
      <c r="G675" s="13">
        <f>Table[[#This Row],[Return Value]]/Table[[#This Row],[Sell Value]]</f>
        <v>4.3738489871086557E-3</v>
      </c>
      <c r="H675" s="1" t="s">
        <v>28</v>
      </c>
      <c r="I675" s="1">
        <v>39</v>
      </c>
      <c r="J675" s="14">
        <f>Table[[#This Row],[Sell Value]]*Table[[#This Row],[Selling Price]]</f>
        <v>169416</v>
      </c>
      <c r="K675" s="1" t="s">
        <v>4</v>
      </c>
      <c r="L675" s="1" t="s">
        <v>57</v>
      </c>
      <c r="M675" s="1" t="s">
        <v>22</v>
      </c>
      <c r="N675" s="1">
        <v>0.2</v>
      </c>
      <c r="O675" s="1" t="s">
        <v>81</v>
      </c>
      <c r="P675" s="1" t="s">
        <v>23</v>
      </c>
    </row>
    <row r="676" spans="1:16" x14ac:dyDescent="0.25">
      <c r="A676" s="1">
        <v>767146035</v>
      </c>
      <c r="B676" s="1" t="s">
        <v>32</v>
      </c>
      <c r="C676" s="1" t="s">
        <v>17</v>
      </c>
      <c r="D676" s="1">
        <v>48476</v>
      </c>
      <c r="E676" s="1">
        <v>2624</v>
      </c>
      <c r="F676" s="1">
        <v>12</v>
      </c>
      <c r="G676" s="13">
        <f>Table[[#This Row],[Return Value]]/Table[[#This Row],[Sell Value]]</f>
        <v>4.5731707317073168E-3</v>
      </c>
      <c r="H676" s="1" t="s">
        <v>3</v>
      </c>
      <c r="I676" s="1">
        <v>42</v>
      </c>
      <c r="J676" s="14">
        <f>Table[[#This Row],[Sell Value]]*Table[[#This Row],[Selling Price]]</f>
        <v>110208</v>
      </c>
      <c r="K676" s="1" t="s">
        <v>4</v>
      </c>
      <c r="L676" s="1" t="s">
        <v>5</v>
      </c>
      <c r="M676" s="1" t="s">
        <v>48</v>
      </c>
      <c r="N676" s="1">
        <v>0.2</v>
      </c>
      <c r="O676" s="1" t="s">
        <v>82</v>
      </c>
      <c r="P676" s="1" t="s">
        <v>66</v>
      </c>
    </row>
    <row r="677" spans="1:16" x14ac:dyDescent="0.25">
      <c r="A677" s="1">
        <v>358207349</v>
      </c>
      <c r="B677" s="1" t="s">
        <v>34</v>
      </c>
      <c r="C677" s="1" t="s">
        <v>2</v>
      </c>
      <c r="D677" s="1">
        <v>47745</v>
      </c>
      <c r="E677" s="1">
        <v>2889</v>
      </c>
      <c r="F677" s="1">
        <v>36</v>
      </c>
      <c r="G677" s="13">
        <f>Table[[#This Row],[Return Value]]/Table[[#This Row],[Sell Value]]</f>
        <v>1.2461059190031152E-2</v>
      </c>
      <c r="H677" s="1" t="s">
        <v>3</v>
      </c>
      <c r="I677" s="1">
        <v>49</v>
      </c>
      <c r="J677" s="14">
        <f>Table[[#This Row],[Sell Value]]*Table[[#This Row],[Selling Price]]</f>
        <v>141561</v>
      </c>
      <c r="K677" s="1" t="s">
        <v>4</v>
      </c>
      <c r="L677" s="1" t="s">
        <v>9</v>
      </c>
      <c r="M677" s="1" t="s">
        <v>61</v>
      </c>
      <c r="N677" s="1">
        <v>0.2</v>
      </c>
      <c r="O677" s="1" t="s">
        <v>82</v>
      </c>
      <c r="P677" s="1" t="s">
        <v>36</v>
      </c>
    </row>
    <row r="678" spans="1:16" x14ac:dyDescent="0.25">
      <c r="A678" s="1">
        <v>75333749</v>
      </c>
      <c r="B678" s="1" t="s">
        <v>37</v>
      </c>
      <c r="C678" s="1" t="s">
        <v>17</v>
      </c>
      <c r="D678" s="1">
        <v>48570</v>
      </c>
      <c r="E678" s="1">
        <v>2863</v>
      </c>
      <c r="F678" s="1">
        <v>39</v>
      </c>
      <c r="G678" s="13">
        <f>Table[[#This Row],[Return Value]]/Table[[#This Row],[Sell Value]]</f>
        <v>1.3622074746769124E-2</v>
      </c>
      <c r="H678" s="1" t="s">
        <v>3</v>
      </c>
      <c r="I678" s="1">
        <v>22</v>
      </c>
      <c r="J678" s="14">
        <f>Table[[#This Row],[Sell Value]]*Table[[#This Row],[Selling Price]]</f>
        <v>62986</v>
      </c>
      <c r="K678" s="1" t="s">
        <v>4</v>
      </c>
      <c r="L678" s="1" t="s">
        <v>13</v>
      </c>
      <c r="M678" s="1" t="s">
        <v>61</v>
      </c>
      <c r="N678" s="1">
        <v>0.2</v>
      </c>
      <c r="O678" s="1" t="s">
        <v>82</v>
      </c>
      <c r="P678" s="1" t="s">
        <v>66</v>
      </c>
    </row>
    <row r="679" spans="1:16" x14ac:dyDescent="0.25">
      <c r="A679" s="1">
        <v>156056164</v>
      </c>
      <c r="B679" s="1" t="s">
        <v>40</v>
      </c>
      <c r="C679" s="1" t="s">
        <v>17</v>
      </c>
      <c r="D679" s="1">
        <v>47751</v>
      </c>
      <c r="E679" s="1">
        <v>1846</v>
      </c>
      <c r="F679" s="1">
        <v>41</v>
      </c>
      <c r="G679" s="13">
        <f>Table[[#This Row],[Return Value]]/Table[[#This Row],[Sell Value]]</f>
        <v>2.2210184182015168E-2</v>
      </c>
      <c r="H679" s="1" t="s">
        <v>3</v>
      </c>
      <c r="I679" s="1">
        <v>41</v>
      </c>
      <c r="J679" s="14">
        <f>Table[[#This Row],[Sell Value]]*Table[[#This Row],[Selling Price]]</f>
        <v>75686</v>
      </c>
      <c r="K679" s="1" t="s">
        <v>4</v>
      </c>
      <c r="L679" s="1" t="s">
        <v>18</v>
      </c>
      <c r="M679" s="1" t="s">
        <v>61</v>
      </c>
      <c r="N679" s="1">
        <v>0.2</v>
      </c>
      <c r="O679" s="1" t="s">
        <v>81</v>
      </c>
      <c r="P679" s="1" t="s">
        <v>62</v>
      </c>
    </row>
    <row r="680" spans="1:16" x14ac:dyDescent="0.25">
      <c r="A680" s="1">
        <v>811587084</v>
      </c>
      <c r="B680" s="1" t="s">
        <v>42</v>
      </c>
      <c r="C680" s="1" t="s">
        <v>2</v>
      </c>
      <c r="D680" s="1">
        <v>47635</v>
      </c>
      <c r="E680" s="1">
        <v>3266</v>
      </c>
      <c r="F680" s="1">
        <v>36</v>
      </c>
      <c r="G680" s="13">
        <f>Table[[#This Row],[Return Value]]/Table[[#This Row],[Sell Value]]</f>
        <v>1.1022657685241886E-2</v>
      </c>
      <c r="H680" s="1" t="s">
        <v>28</v>
      </c>
      <c r="I680" s="1">
        <v>24</v>
      </c>
      <c r="J680" s="14">
        <f>Table[[#This Row],[Sell Value]]*Table[[#This Row],[Selling Price]]</f>
        <v>78384</v>
      </c>
      <c r="K680" s="1" t="s">
        <v>4</v>
      </c>
      <c r="L680" s="1" t="s">
        <v>21</v>
      </c>
      <c r="M680" s="1" t="s">
        <v>61</v>
      </c>
      <c r="N680" s="1">
        <v>0.2</v>
      </c>
      <c r="O680" s="1" t="s">
        <v>82</v>
      </c>
      <c r="P680" s="1" t="s">
        <v>19</v>
      </c>
    </row>
    <row r="681" spans="1:16" x14ac:dyDescent="0.25">
      <c r="A681" s="1">
        <v>587479895</v>
      </c>
      <c r="B681" s="1" t="s">
        <v>46</v>
      </c>
      <c r="C681" s="1" t="s">
        <v>2</v>
      </c>
      <c r="D681" s="1">
        <v>48294</v>
      </c>
      <c r="E681" s="1">
        <v>4907</v>
      </c>
      <c r="F681" s="1">
        <v>21</v>
      </c>
      <c r="G681" s="13">
        <f>Table[[#This Row],[Return Value]]/Table[[#This Row],[Sell Value]]</f>
        <v>4.2796005706134095E-3</v>
      </c>
      <c r="H681" s="1" t="s">
        <v>3</v>
      </c>
      <c r="I681" s="1">
        <v>36</v>
      </c>
      <c r="J681" s="14">
        <f>Table[[#This Row],[Sell Value]]*Table[[#This Row],[Selling Price]]</f>
        <v>176652</v>
      </c>
      <c r="K681" s="1" t="s">
        <v>4</v>
      </c>
      <c r="L681" s="1" t="s">
        <v>25</v>
      </c>
      <c r="M681" s="1" t="s">
        <v>44</v>
      </c>
      <c r="N681" s="1">
        <v>0.2</v>
      </c>
      <c r="O681" s="1" t="s">
        <v>82</v>
      </c>
      <c r="P681" s="1" t="s">
        <v>52</v>
      </c>
    </row>
    <row r="682" spans="1:16" x14ac:dyDescent="0.25">
      <c r="A682" s="1">
        <v>627584630</v>
      </c>
      <c r="B682" s="1" t="s">
        <v>50</v>
      </c>
      <c r="C682" s="1" t="s">
        <v>2</v>
      </c>
      <c r="D682" s="1">
        <v>48448</v>
      </c>
      <c r="E682" s="1">
        <v>2812</v>
      </c>
      <c r="F682" s="1">
        <v>29</v>
      </c>
      <c r="G682" s="13">
        <f>Table[[#This Row],[Return Value]]/Table[[#This Row],[Sell Value]]</f>
        <v>1.0312944523470839E-2</v>
      </c>
      <c r="H682" s="1" t="s">
        <v>3</v>
      </c>
      <c r="I682" s="1">
        <v>32</v>
      </c>
      <c r="J682" s="14">
        <f>Table[[#This Row],[Sell Value]]*Table[[#This Row],[Selling Price]]</f>
        <v>89984</v>
      </c>
      <c r="K682" s="1" t="s">
        <v>4</v>
      </c>
      <c r="L682" s="1" t="s">
        <v>29</v>
      </c>
      <c r="M682" s="1" t="s">
        <v>14</v>
      </c>
      <c r="N682" s="1">
        <v>0.2</v>
      </c>
      <c r="O682" s="1" t="s">
        <v>81</v>
      </c>
      <c r="P682" s="1" t="s">
        <v>15</v>
      </c>
    </row>
    <row r="683" spans="1:16" x14ac:dyDescent="0.25">
      <c r="A683" s="1">
        <v>167486552</v>
      </c>
      <c r="B683" s="1" t="s">
        <v>53</v>
      </c>
      <c r="C683" s="1" t="s">
        <v>2</v>
      </c>
      <c r="D683" s="1">
        <v>48227</v>
      </c>
      <c r="E683" s="1">
        <v>4685</v>
      </c>
      <c r="F683" s="1">
        <v>31</v>
      </c>
      <c r="G683" s="13">
        <f>Table[[#This Row],[Return Value]]/Table[[#This Row],[Sell Value]]</f>
        <v>6.6168623265741725E-3</v>
      </c>
      <c r="H683" s="1" t="s">
        <v>28</v>
      </c>
      <c r="I683" s="1">
        <v>44</v>
      </c>
      <c r="J683" s="14">
        <f>Table[[#This Row],[Sell Value]]*Table[[#This Row],[Selling Price]]</f>
        <v>206140</v>
      </c>
      <c r="K683" s="1" t="s">
        <v>4</v>
      </c>
      <c r="L683" s="1" t="s">
        <v>29</v>
      </c>
      <c r="M683" s="1" t="s">
        <v>44</v>
      </c>
      <c r="N683" s="1">
        <v>0.2</v>
      </c>
      <c r="O683" s="1" t="s">
        <v>82</v>
      </c>
      <c r="P683" s="1" t="s">
        <v>11</v>
      </c>
    </row>
    <row r="684" spans="1:16" x14ac:dyDescent="0.25">
      <c r="A684" s="1">
        <v>74502626</v>
      </c>
      <c r="B684" s="1" t="s">
        <v>56</v>
      </c>
      <c r="C684" s="1" t="s">
        <v>2</v>
      </c>
      <c r="D684" s="1">
        <v>48208</v>
      </c>
      <c r="E684" s="1">
        <v>4920</v>
      </c>
      <c r="F684" s="1">
        <v>33</v>
      </c>
      <c r="G684" s="13">
        <f>Table[[#This Row],[Return Value]]/Table[[#This Row],[Sell Value]]</f>
        <v>6.7073170731707316E-3</v>
      </c>
      <c r="H684" s="1" t="s">
        <v>3</v>
      </c>
      <c r="I684" s="1">
        <v>33</v>
      </c>
      <c r="J684" s="14">
        <f>Table[[#This Row],[Sell Value]]*Table[[#This Row],[Selling Price]]</f>
        <v>162360</v>
      </c>
      <c r="K684" s="1" t="s">
        <v>4</v>
      </c>
      <c r="L684" s="1" t="s">
        <v>35</v>
      </c>
      <c r="M684" s="1" t="s">
        <v>33</v>
      </c>
      <c r="N684" s="1">
        <v>0.2</v>
      </c>
      <c r="O684" s="1" t="s">
        <v>81</v>
      </c>
      <c r="P684" s="1" t="s">
        <v>58</v>
      </c>
    </row>
    <row r="685" spans="1:16" x14ac:dyDescent="0.25">
      <c r="A685" s="1">
        <v>710837851</v>
      </c>
      <c r="B685" s="1" t="s">
        <v>1</v>
      </c>
      <c r="C685" s="1" t="s">
        <v>2</v>
      </c>
      <c r="D685" s="1">
        <v>47808</v>
      </c>
      <c r="E685" s="1">
        <v>3782</v>
      </c>
      <c r="F685" s="1">
        <v>24</v>
      </c>
      <c r="G685" s="13">
        <f>Table[[#This Row],[Return Value]]/Table[[#This Row],[Sell Value]]</f>
        <v>6.345848757271285E-3</v>
      </c>
      <c r="H685" s="1" t="s">
        <v>3</v>
      </c>
      <c r="I685" s="1">
        <v>49</v>
      </c>
      <c r="J685" s="14">
        <f>Table[[#This Row],[Sell Value]]*Table[[#This Row],[Selling Price]]</f>
        <v>185318</v>
      </c>
      <c r="K685" s="1" t="s">
        <v>4</v>
      </c>
      <c r="L685" s="1" t="s">
        <v>38</v>
      </c>
      <c r="M685" s="1" t="s">
        <v>30</v>
      </c>
      <c r="N685" s="1">
        <v>0.2</v>
      </c>
      <c r="O685" s="1" t="s">
        <v>82</v>
      </c>
      <c r="P685" s="1" t="s">
        <v>60</v>
      </c>
    </row>
    <row r="686" spans="1:16" x14ac:dyDescent="0.25">
      <c r="A686" s="1">
        <v>74824113</v>
      </c>
      <c r="B686" s="1" t="s">
        <v>8</v>
      </c>
      <c r="C686" s="1" t="s">
        <v>2</v>
      </c>
      <c r="D686" s="1">
        <v>48011</v>
      </c>
      <c r="E686" s="1">
        <v>1142</v>
      </c>
      <c r="F686" s="1">
        <v>23</v>
      </c>
      <c r="G686" s="13">
        <f>Table[[#This Row],[Return Value]]/Table[[#This Row],[Sell Value]]</f>
        <v>2.0140105078809107E-2</v>
      </c>
      <c r="H686" s="1" t="s">
        <v>3</v>
      </c>
      <c r="I686" s="1">
        <v>35</v>
      </c>
      <c r="J686" s="14">
        <f>Table[[#This Row],[Sell Value]]*Table[[#This Row],[Selling Price]]</f>
        <v>39970</v>
      </c>
      <c r="K686" s="1" t="s">
        <v>4</v>
      </c>
      <c r="L686" s="1" t="s">
        <v>41</v>
      </c>
      <c r="M686" s="1" t="s">
        <v>26</v>
      </c>
      <c r="N686" s="1">
        <v>0.2</v>
      </c>
      <c r="O686" s="1" t="s">
        <v>81</v>
      </c>
      <c r="P686" s="1" t="s">
        <v>65</v>
      </c>
    </row>
    <row r="687" spans="1:16" x14ac:dyDescent="0.25">
      <c r="A687" s="1">
        <v>392853504</v>
      </c>
      <c r="B687" s="1" t="s">
        <v>12</v>
      </c>
      <c r="C687" s="1" t="s">
        <v>2</v>
      </c>
      <c r="D687" s="1">
        <v>47620</v>
      </c>
      <c r="E687" s="1">
        <v>3293</v>
      </c>
      <c r="F687" s="1">
        <v>17</v>
      </c>
      <c r="G687" s="13">
        <f>Table[[#This Row],[Return Value]]/Table[[#This Row],[Sell Value]]</f>
        <v>5.1624658366231403E-3</v>
      </c>
      <c r="H687" s="1" t="s">
        <v>3</v>
      </c>
      <c r="I687" s="1">
        <v>42</v>
      </c>
      <c r="J687" s="14">
        <f>Table[[#This Row],[Sell Value]]*Table[[#This Row],[Selling Price]]</f>
        <v>138306</v>
      </c>
      <c r="K687" s="1" t="s">
        <v>4</v>
      </c>
      <c r="L687" s="1" t="s">
        <v>43</v>
      </c>
      <c r="M687" s="1" t="s">
        <v>44</v>
      </c>
      <c r="N687" s="1">
        <v>0.2</v>
      </c>
      <c r="O687" s="1" t="s">
        <v>81</v>
      </c>
      <c r="P687" s="1" t="s">
        <v>31</v>
      </c>
    </row>
    <row r="688" spans="1:16" x14ac:dyDescent="0.25">
      <c r="A688" s="1">
        <v>703157153</v>
      </c>
      <c r="B688" s="1" t="s">
        <v>16</v>
      </c>
      <c r="C688" s="1" t="s">
        <v>17</v>
      </c>
      <c r="D688" s="1">
        <v>47886</v>
      </c>
      <c r="E688" s="1">
        <v>4683</v>
      </c>
      <c r="F688" s="1">
        <v>40</v>
      </c>
      <c r="G688" s="13">
        <f>Table[[#This Row],[Return Value]]/Table[[#This Row],[Sell Value]]</f>
        <v>8.5415332052103353E-3</v>
      </c>
      <c r="H688" s="1" t="s">
        <v>3</v>
      </c>
      <c r="I688" s="1">
        <v>50</v>
      </c>
      <c r="J688" s="14">
        <f>Table[[#This Row],[Sell Value]]*Table[[#This Row],[Selling Price]]</f>
        <v>234150</v>
      </c>
      <c r="K688" s="1" t="s">
        <v>4</v>
      </c>
      <c r="L688" s="1" t="s">
        <v>47</v>
      </c>
      <c r="M688" s="1" t="s">
        <v>6</v>
      </c>
      <c r="N688" s="1">
        <v>0.2</v>
      </c>
      <c r="O688" s="1" t="s">
        <v>82</v>
      </c>
      <c r="P688" s="1" t="s">
        <v>65</v>
      </c>
    </row>
    <row r="689" spans="1:16" x14ac:dyDescent="0.25">
      <c r="A689" s="1">
        <v>95318134</v>
      </c>
      <c r="B689" s="1" t="s">
        <v>20</v>
      </c>
      <c r="C689" s="1" t="s">
        <v>17</v>
      </c>
      <c r="D689" s="1">
        <v>48360</v>
      </c>
      <c r="E689" s="1">
        <v>4050</v>
      </c>
      <c r="F689" s="1">
        <v>13</v>
      </c>
      <c r="G689" s="13">
        <f>Table[[#This Row],[Return Value]]/Table[[#This Row],[Sell Value]]</f>
        <v>3.2098765432098763E-3</v>
      </c>
      <c r="H689" s="1" t="s">
        <v>3</v>
      </c>
      <c r="I689" s="1">
        <v>23</v>
      </c>
      <c r="J689" s="14">
        <f>Table[[#This Row],[Sell Value]]*Table[[#This Row],[Selling Price]]</f>
        <v>93150</v>
      </c>
      <c r="K689" s="1" t="s">
        <v>4</v>
      </c>
      <c r="L689" s="1" t="s">
        <v>51</v>
      </c>
      <c r="M689" s="1" t="s">
        <v>44</v>
      </c>
      <c r="N689" s="1">
        <v>0.2</v>
      </c>
      <c r="O689" s="1" t="s">
        <v>81</v>
      </c>
      <c r="P689" s="1" t="s">
        <v>55</v>
      </c>
    </row>
    <row r="690" spans="1:16" x14ac:dyDescent="0.25">
      <c r="A690" s="1">
        <v>210666394</v>
      </c>
      <c r="B690" s="1" t="s">
        <v>24</v>
      </c>
      <c r="C690" s="1" t="s">
        <v>2</v>
      </c>
      <c r="D690" s="1">
        <v>48353</v>
      </c>
      <c r="E690" s="1">
        <v>1535</v>
      </c>
      <c r="F690" s="1">
        <v>12</v>
      </c>
      <c r="G690" s="13">
        <f>Table[[#This Row],[Return Value]]/Table[[#This Row],[Sell Value]]</f>
        <v>7.8175895765472316E-3</v>
      </c>
      <c r="H690" s="1" t="s">
        <v>3</v>
      </c>
      <c r="I690" s="1">
        <v>34</v>
      </c>
      <c r="J690" s="14">
        <f>Table[[#This Row],[Sell Value]]*Table[[#This Row],[Selling Price]]</f>
        <v>52190</v>
      </c>
      <c r="K690" s="1" t="s">
        <v>4</v>
      </c>
      <c r="L690" s="1" t="s">
        <v>54</v>
      </c>
      <c r="M690" s="1" t="s">
        <v>22</v>
      </c>
      <c r="N690" s="1">
        <v>0.2</v>
      </c>
      <c r="O690" s="1" t="s">
        <v>81</v>
      </c>
      <c r="P690" s="1" t="s">
        <v>49</v>
      </c>
    </row>
    <row r="691" spans="1:16" x14ac:dyDescent="0.25">
      <c r="A691" s="1">
        <v>752199458</v>
      </c>
      <c r="B691" s="1" t="s">
        <v>27</v>
      </c>
      <c r="C691" s="1" t="s">
        <v>2</v>
      </c>
      <c r="D691" s="1">
        <v>48562</v>
      </c>
      <c r="E691" s="1">
        <v>4441</v>
      </c>
      <c r="F691" s="1">
        <v>21</v>
      </c>
      <c r="G691" s="13">
        <f>Table[[#This Row],[Return Value]]/Table[[#This Row],[Sell Value]]</f>
        <v>4.7286647151542445E-3</v>
      </c>
      <c r="H691" s="1" t="s">
        <v>3</v>
      </c>
      <c r="I691" s="1">
        <v>50</v>
      </c>
      <c r="J691" s="14">
        <f>Table[[#This Row],[Sell Value]]*Table[[#This Row],[Selling Price]]</f>
        <v>222050</v>
      </c>
      <c r="K691" s="1" t="s">
        <v>4</v>
      </c>
      <c r="L691" s="1" t="s">
        <v>57</v>
      </c>
      <c r="M691" s="1" t="s">
        <v>14</v>
      </c>
      <c r="N691" s="1">
        <v>0.2</v>
      </c>
      <c r="O691" s="1" t="s">
        <v>82</v>
      </c>
      <c r="P691" s="1" t="s">
        <v>36</v>
      </c>
    </row>
    <row r="692" spans="1:16" x14ac:dyDescent="0.25">
      <c r="A692" s="1">
        <v>356955567</v>
      </c>
      <c r="B692" s="1" t="s">
        <v>32</v>
      </c>
      <c r="C692" s="1" t="s">
        <v>17</v>
      </c>
      <c r="D692" s="1">
        <v>48485</v>
      </c>
      <c r="E692" s="1">
        <v>4464</v>
      </c>
      <c r="F692" s="1">
        <v>24</v>
      </c>
      <c r="G692" s="13">
        <f>Table[[#This Row],[Return Value]]/Table[[#This Row],[Sell Value]]</f>
        <v>5.3763440860215058E-3</v>
      </c>
      <c r="H692" s="1" t="s">
        <v>3</v>
      </c>
      <c r="I692" s="1">
        <v>20</v>
      </c>
      <c r="J692" s="14">
        <f>Table[[#This Row],[Sell Value]]*Table[[#This Row],[Selling Price]]</f>
        <v>89280</v>
      </c>
      <c r="K692" s="1" t="s">
        <v>4</v>
      </c>
      <c r="L692" s="1" t="s">
        <v>5</v>
      </c>
      <c r="M692" s="1" t="s">
        <v>6</v>
      </c>
      <c r="N692" s="1">
        <v>0.2</v>
      </c>
      <c r="O692" s="1" t="s">
        <v>82</v>
      </c>
      <c r="P692" s="1" t="s">
        <v>15</v>
      </c>
    </row>
    <row r="693" spans="1:16" x14ac:dyDescent="0.25">
      <c r="A693" s="1">
        <v>960616472</v>
      </c>
      <c r="B693" s="1" t="s">
        <v>34</v>
      </c>
      <c r="C693" s="1" t="s">
        <v>2</v>
      </c>
      <c r="D693" s="1">
        <v>47643</v>
      </c>
      <c r="E693" s="1">
        <v>4061</v>
      </c>
      <c r="F693" s="1">
        <v>41</v>
      </c>
      <c r="G693" s="13">
        <f>Table[[#This Row],[Return Value]]/Table[[#This Row],[Sell Value]]</f>
        <v>1.0096035459246491E-2</v>
      </c>
      <c r="H693" s="1" t="s">
        <v>3</v>
      </c>
      <c r="I693" s="1">
        <v>33</v>
      </c>
      <c r="J693" s="14">
        <f>Table[[#This Row],[Sell Value]]*Table[[#This Row],[Selling Price]]</f>
        <v>134013</v>
      </c>
      <c r="K693" s="1" t="s">
        <v>4</v>
      </c>
      <c r="L693" s="1" t="s">
        <v>9</v>
      </c>
      <c r="M693" s="1" t="s">
        <v>30</v>
      </c>
      <c r="N693" s="1">
        <v>0.2</v>
      </c>
      <c r="O693" s="1" t="s">
        <v>81</v>
      </c>
      <c r="P693" s="1" t="s">
        <v>31</v>
      </c>
    </row>
    <row r="694" spans="1:16" x14ac:dyDescent="0.25">
      <c r="A694" s="1">
        <v>746531583</v>
      </c>
      <c r="B694" s="1" t="s">
        <v>37</v>
      </c>
      <c r="C694" s="1" t="s">
        <v>17</v>
      </c>
      <c r="D694" s="1">
        <v>48578</v>
      </c>
      <c r="E694" s="1">
        <v>3678</v>
      </c>
      <c r="F694" s="1">
        <v>25</v>
      </c>
      <c r="G694" s="13">
        <f>Table[[#This Row],[Return Value]]/Table[[#This Row],[Sell Value]]</f>
        <v>6.797172376291463E-3</v>
      </c>
      <c r="H694" s="1" t="s">
        <v>3</v>
      </c>
      <c r="I694" s="1">
        <v>49</v>
      </c>
      <c r="J694" s="14">
        <f>Table[[#This Row],[Sell Value]]*Table[[#This Row],[Selling Price]]</f>
        <v>180222</v>
      </c>
      <c r="K694" s="1" t="s">
        <v>4</v>
      </c>
      <c r="L694" s="1" t="s">
        <v>13</v>
      </c>
      <c r="M694" s="1" t="s">
        <v>10</v>
      </c>
      <c r="N694" s="1">
        <v>0.2</v>
      </c>
      <c r="O694" s="1" t="s">
        <v>81</v>
      </c>
      <c r="P694" s="1" t="s">
        <v>55</v>
      </c>
    </row>
    <row r="695" spans="1:16" x14ac:dyDescent="0.25">
      <c r="A695" s="1">
        <v>278103935</v>
      </c>
      <c r="B695" s="1" t="s">
        <v>40</v>
      </c>
      <c r="C695" s="1" t="s">
        <v>17</v>
      </c>
      <c r="D695" s="1">
        <v>48385</v>
      </c>
      <c r="E695" s="1">
        <v>4203</v>
      </c>
      <c r="F695" s="1">
        <v>34</v>
      </c>
      <c r="G695" s="13">
        <f>Table[[#This Row],[Return Value]]/Table[[#This Row],[Sell Value]]</f>
        <v>8.0894599095883892E-3</v>
      </c>
      <c r="H695" s="1" t="s">
        <v>3</v>
      </c>
      <c r="I695" s="1">
        <v>38</v>
      </c>
      <c r="J695" s="14">
        <f>Table[[#This Row],[Sell Value]]*Table[[#This Row],[Selling Price]]</f>
        <v>159714</v>
      </c>
      <c r="K695" s="1" t="s">
        <v>4</v>
      </c>
      <c r="L695" s="1" t="s">
        <v>18</v>
      </c>
      <c r="M695" s="1" t="s">
        <v>6</v>
      </c>
      <c r="N695" s="1">
        <v>0.2</v>
      </c>
      <c r="O695" s="1" t="s">
        <v>81</v>
      </c>
      <c r="P695" s="1" t="s">
        <v>23</v>
      </c>
    </row>
    <row r="696" spans="1:16" x14ac:dyDescent="0.25">
      <c r="A696" s="1">
        <v>468629234</v>
      </c>
      <c r="B696" s="1" t="s">
        <v>42</v>
      </c>
      <c r="C696" s="1" t="s">
        <v>2</v>
      </c>
      <c r="D696" s="1">
        <v>47752</v>
      </c>
      <c r="E696" s="1">
        <v>3486</v>
      </c>
      <c r="F696" s="1">
        <v>25</v>
      </c>
      <c r="G696" s="13">
        <f>Table[[#This Row],[Return Value]]/Table[[#This Row],[Sell Value]]</f>
        <v>7.1715433161216296E-3</v>
      </c>
      <c r="H696" s="1" t="s">
        <v>3</v>
      </c>
      <c r="I696" s="1">
        <v>31</v>
      </c>
      <c r="J696" s="14">
        <f>Table[[#This Row],[Sell Value]]*Table[[#This Row],[Selling Price]]</f>
        <v>108066</v>
      </c>
      <c r="K696" s="1" t="s">
        <v>4</v>
      </c>
      <c r="L696" s="1" t="s">
        <v>21</v>
      </c>
      <c r="M696" s="1" t="s">
        <v>26</v>
      </c>
      <c r="N696" s="1">
        <v>0.2</v>
      </c>
      <c r="O696" s="1" t="s">
        <v>82</v>
      </c>
      <c r="P696" s="1" t="s">
        <v>49</v>
      </c>
    </row>
    <row r="697" spans="1:16" x14ac:dyDescent="0.25">
      <c r="A697" s="1">
        <v>734343348</v>
      </c>
      <c r="B697" s="1" t="s">
        <v>46</v>
      </c>
      <c r="C697" s="1" t="s">
        <v>2</v>
      </c>
      <c r="D697" s="1">
        <v>47811</v>
      </c>
      <c r="E697" s="1">
        <v>1692</v>
      </c>
      <c r="F697" s="1">
        <v>23</v>
      </c>
      <c r="G697" s="13">
        <f>Table[[#This Row],[Return Value]]/Table[[#This Row],[Sell Value]]</f>
        <v>1.3593380614657211E-2</v>
      </c>
      <c r="H697" s="1" t="s">
        <v>3</v>
      </c>
      <c r="I697" s="1">
        <v>28</v>
      </c>
      <c r="J697" s="14">
        <f>Table[[#This Row],[Sell Value]]*Table[[#This Row],[Selling Price]]</f>
        <v>47376</v>
      </c>
      <c r="K697" s="1" t="s">
        <v>4</v>
      </c>
      <c r="L697" s="1" t="s">
        <v>25</v>
      </c>
      <c r="M697" s="1" t="s">
        <v>14</v>
      </c>
      <c r="N697" s="1">
        <v>0.2</v>
      </c>
      <c r="O697" s="1" t="s">
        <v>82</v>
      </c>
      <c r="P697" s="1" t="s">
        <v>49</v>
      </c>
    </row>
    <row r="698" spans="1:16" x14ac:dyDescent="0.25">
      <c r="A698" s="1">
        <v>933093888</v>
      </c>
      <c r="B698" s="1" t="s">
        <v>50</v>
      </c>
      <c r="C698" s="1" t="s">
        <v>2</v>
      </c>
      <c r="D698" s="1">
        <v>48499</v>
      </c>
      <c r="E698" s="1">
        <v>2513</v>
      </c>
      <c r="F698" s="1">
        <v>12</v>
      </c>
      <c r="G698" s="13">
        <f>Table[[#This Row],[Return Value]]/Table[[#This Row],[Sell Value]]</f>
        <v>4.7751691205730204E-3</v>
      </c>
      <c r="H698" s="1" t="s">
        <v>3</v>
      </c>
      <c r="I698" s="1">
        <v>34</v>
      </c>
      <c r="J698" s="14">
        <f>Table[[#This Row],[Sell Value]]*Table[[#This Row],[Selling Price]]</f>
        <v>85442</v>
      </c>
      <c r="K698" s="1" t="s">
        <v>4</v>
      </c>
      <c r="L698" s="1" t="s">
        <v>29</v>
      </c>
      <c r="M698" s="1" t="s">
        <v>6</v>
      </c>
      <c r="N698" s="1">
        <v>0.2</v>
      </c>
      <c r="O698" s="1" t="s">
        <v>82</v>
      </c>
      <c r="P698" s="1" t="s">
        <v>23</v>
      </c>
    </row>
    <row r="699" spans="1:16" x14ac:dyDescent="0.25">
      <c r="A699" s="1">
        <v>492507350</v>
      </c>
      <c r="B699" s="1" t="s">
        <v>53</v>
      </c>
      <c r="C699" s="1" t="s">
        <v>2</v>
      </c>
      <c r="D699" s="1">
        <v>47632</v>
      </c>
      <c r="E699" s="1">
        <v>3126</v>
      </c>
      <c r="F699" s="1">
        <v>26</v>
      </c>
      <c r="G699" s="13">
        <f>Table[[#This Row],[Return Value]]/Table[[#This Row],[Sell Value]]</f>
        <v>8.3173384516954576E-3</v>
      </c>
      <c r="H699" s="1" t="s">
        <v>3</v>
      </c>
      <c r="I699" s="1">
        <v>43</v>
      </c>
      <c r="J699" s="14">
        <f>Table[[#This Row],[Sell Value]]*Table[[#This Row],[Selling Price]]</f>
        <v>134418</v>
      </c>
      <c r="K699" s="1" t="s">
        <v>4</v>
      </c>
      <c r="L699" s="1" t="s">
        <v>29</v>
      </c>
      <c r="M699" s="1" t="s">
        <v>61</v>
      </c>
      <c r="N699" s="1">
        <v>0.2</v>
      </c>
      <c r="O699" s="1" t="s">
        <v>82</v>
      </c>
      <c r="P699" s="1" t="s">
        <v>23</v>
      </c>
    </row>
    <row r="700" spans="1:16" x14ac:dyDescent="0.25">
      <c r="A700" s="1">
        <v>290714739</v>
      </c>
      <c r="B700" s="1" t="s">
        <v>56</v>
      </c>
      <c r="C700" s="1" t="s">
        <v>2</v>
      </c>
      <c r="D700" s="1">
        <v>47620</v>
      </c>
      <c r="E700" s="1">
        <v>3986</v>
      </c>
      <c r="F700" s="1">
        <v>30</v>
      </c>
      <c r="G700" s="13">
        <f>Table[[#This Row],[Return Value]]/Table[[#This Row],[Sell Value]]</f>
        <v>7.526342197691922E-3</v>
      </c>
      <c r="H700" s="1" t="s">
        <v>3</v>
      </c>
      <c r="I700" s="1">
        <v>48</v>
      </c>
      <c r="J700" s="14">
        <f>Table[[#This Row],[Sell Value]]*Table[[#This Row],[Selling Price]]</f>
        <v>191328</v>
      </c>
      <c r="K700" s="1" t="s">
        <v>4</v>
      </c>
      <c r="L700" s="1" t="s">
        <v>35</v>
      </c>
      <c r="M700" s="1" t="s">
        <v>22</v>
      </c>
      <c r="N700" s="1">
        <v>0.2</v>
      </c>
      <c r="O700" s="1" t="s">
        <v>82</v>
      </c>
      <c r="P700" s="1" t="s">
        <v>66</v>
      </c>
    </row>
    <row r="701" spans="1:16" x14ac:dyDescent="0.25">
      <c r="A701" s="1">
        <v>108463067</v>
      </c>
      <c r="B701" s="1" t="s">
        <v>1</v>
      </c>
      <c r="C701" s="1" t="s">
        <v>2</v>
      </c>
      <c r="D701" s="1">
        <v>48076</v>
      </c>
      <c r="E701" s="1">
        <v>1424</v>
      </c>
      <c r="F701" s="1">
        <v>39</v>
      </c>
      <c r="G701" s="13">
        <f>Table[[#This Row],[Return Value]]/Table[[#This Row],[Sell Value]]</f>
        <v>2.7387640449438203E-2</v>
      </c>
      <c r="H701" s="1" t="s">
        <v>3</v>
      </c>
      <c r="I701" s="1">
        <v>36</v>
      </c>
      <c r="J701" s="14">
        <f>Table[[#This Row],[Sell Value]]*Table[[#This Row],[Selling Price]]</f>
        <v>51264</v>
      </c>
      <c r="K701" s="1" t="s">
        <v>4</v>
      </c>
      <c r="L701" s="1" t="s">
        <v>38</v>
      </c>
      <c r="M701" s="1" t="s">
        <v>10</v>
      </c>
      <c r="N701" s="1">
        <v>0.2</v>
      </c>
      <c r="O701" s="1" t="s">
        <v>82</v>
      </c>
      <c r="P701" s="1" t="s">
        <v>62</v>
      </c>
    </row>
    <row r="702" spans="1:16" x14ac:dyDescent="0.25">
      <c r="A702" s="1">
        <v>905521854</v>
      </c>
      <c r="B702" s="1" t="s">
        <v>8</v>
      </c>
      <c r="C702" s="1" t="s">
        <v>2</v>
      </c>
      <c r="D702" s="1">
        <v>48260</v>
      </c>
      <c r="E702" s="1">
        <v>1915</v>
      </c>
      <c r="F702" s="1">
        <v>21</v>
      </c>
      <c r="G702" s="13">
        <f>Table[[#This Row],[Return Value]]/Table[[#This Row],[Sell Value]]</f>
        <v>1.0966057441253264E-2</v>
      </c>
      <c r="H702" s="1" t="s">
        <v>3</v>
      </c>
      <c r="I702" s="1">
        <v>40</v>
      </c>
      <c r="J702" s="14">
        <f>Table[[#This Row],[Sell Value]]*Table[[#This Row],[Selling Price]]</f>
        <v>76600</v>
      </c>
      <c r="K702" s="1" t="s">
        <v>4</v>
      </c>
      <c r="L702" s="1" t="s">
        <v>41</v>
      </c>
      <c r="M702" s="1" t="s">
        <v>10</v>
      </c>
      <c r="N702" s="1">
        <v>0.2</v>
      </c>
      <c r="O702" s="1" t="s">
        <v>82</v>
      </c>
      <c r="P702" s="1" t="s">
        <v>7</v>
      </c>
    </row>
    <row r="703" spans="1:16" x14ac:dyDescent="0.25">
      <c r="A703" s="1">
        <v>486592548</v>
      </c>
      <c r="B703" s="1" t="s">
        <v>12</v>
      </c>
      <c r="C703" s="1" t="s">
        <v>2</v>
      </c>
      <c r="D703" s="1">
        <v>48506</v>
      </c>
      <c r="E703" s="1">
        <v>3750</v>
      </c>
      <c r="F703" s="1">
        <v>37</v>
      </c>
      <c r="G703" s="13">
        <f>Table[[#This Row],[Return Value]]/Table[[#This Row],[Sell Value]]</f>
        <v>9.8666666666666659E-3</v>
      </c>
      <c r="H703" s="1" t="s">
        <v>3</v>
      </c>
      <c r="I703" s="1">
        <v>37</v>
      </c>
      <c r="J703" s="14">
        <f>Table[[#This Row],[Sell Value]]*Table[[#This Row],[Selling Price]]</f>
        <v>138750</v>
      </c>
      <c r="K703" s="1" t="s">
        <v>4</v>
      </c>
      <c r="L703" s="1" t="s">
        <v>43</v>
      </c>
      <c r="M703" s="1" t="s">
        <v>44</v>
      </c>
      <c r="N703" s="1">
        <v>0.2</v>
      </c>
      <c r="O703" s="1" t="s">
        <v>81</v>
      </c>
      <c r="P703" s="1" t="s">
        <v>55</v>
      </c>
    </row>
    <row r="704" spans="1:16" x14ac:dyDescent="0.25">
      <c r="A704" s="1">
        <v>63405809</v>
      </c>
      <c r="B704" s="1" t="s">
        <v>16</v>
      </c>
      <c r="C704" s="1" t="s">
        <v>17</v>
      </c>
      <c r="D704" s="1">
        <v>47691</v>
      </c>
      <c r="E704" s="1">
        <v>1312</v>
      </c>
      <c r="F704" s="1">
        <v>34</v>
      </c>
      <c r="G704" s="13">
        <f>Table[[#This Row],[Return Value]]/Table[[#This Row],[Sell Value]]</f>
        <v>2.5914634146341462E-2</v>
      </c>
      <c r="H704" s="1" t="s">
        <v>3</v>
      </c>
      <c r="I704" s="1">
        <v>47</v>
      </c>
      <c r="J704" s="14">
        <f>Table[[#This Row],[Sell Value]]*Table[[#This Row],[Selling Price]]</f>
        <v>61664</v>
      </c>
      <c r="K704" s="1" t="s">
        <v>4</v>
      </c>
      <c r="L704" s="1" t="s">
        <v>47</v>
      </c>
      <c r="M704" s="1" t="s">
        <v>30</v>
      </c>
      <c r="N704" s="1">
        <v>0.2</v>
      </c>
      <c r="O704" s="1" t="s">
        <v>82</v>
      </c>
      <c r="P704" s="1" t="s">
        <v>23</v>
      </c>
    </row>
    <row r="705" spans="1:16" x14ac:dyDescent="0.25">
      <c r="A705" s="1">
        <v>362928372</v>
      </c>
      <c r="B705" s="1" t="s">
        <v>20</v>
      </c>
      <c r="C705" s="1" t="s">
        <v>17</v>
      </c>
      <c r="D705" s="1">
        <v>47929</v>
      </c>
      <c r="E705" s="1">
        <v>3806</v>
      </c>
      <c r="F705" s="1">
        <v>17</v>
      </c>
      <c r="G705" s="13">
        <f>Table[[#This Row],[Return Value]]/Table[[#This Row],[Sell Value]]</f>
        <v>4.4666316342616922E-3</v>
      </c>
      <c r="H705" s="1" t="s">
        <v>28</v>
      </c>
      <c r="I705" s="1">
        <v>46</v>
      </c>
      <c r="J705" s="14">
        <f>Table[[#This Row],[Sell Value]]*Table[[#This Row],[Selling Price]]</f>
        <v>175076</v>
      </c>
      <c r="K705" s="1" t="s">
        <v>4</v>
      </c>
      <c r="L705" s="1" t="s">
        <v>51</v>
      </c>
      <c r="M705" s="1" t="s">
        <v>48</v>
      </c>
      <c r="N705" s="1">
        <v>0.2</v>
      </c>
      <c r="O705" s="1" t="s">
        <v>81</v>
      </c>
      <c r="P705" s="1" t="s">
        <v>36</v>
      </c>
    </row>
    <row r="706" spans="1:16" x14ac:dyDescent="0.25">
      <c r="A706" s="1">
        <v>375323826</v>
      </c>
      <c r="B706" s="1" t="s">
        <v>24</v>
      </c>
      <c r="C706" s="1" t="s">
        <v>2</v>
      </c>
      <c r="D706" s="1">
        <v>47950</v>
      </c>
      <c r="E706" s="1">
        <v>4019</v>
      </c>
      <c r="F706" s="1">
        <v>48</v>
      </c>
      <c r="G706" s="13">
        <f>Table[[#This Row],[Return Value]]/Table[[#This Row],[Sell Value]]</f>
        <v>1.1943269470017417E-2</v>
      </c>
      <c r="H706" s="1" t="s">
        <v>3</v>
      </c>
      <c r="I706" s="1">
        <v>41</v>
      </c>
      <c r="J706" s="14">
        <f>Table[[#This Row],[Sell Value]]*Table[[#This Row],[Selling Price]]</f>
        <v>164779</v>
      </c>
      <c r="K706" s="1" t="s">
        <v>4</v>
      </c>
      <c r="L706" s="1" t="s">
        <v>54</v>
      </c>
      <c r="M706" s="1" t="s">
        <v>14</v>
      </c>
      <c r="N706" s="1">
        <v>0.2</v>
      </c>
      <c r="O706" s="1" t="s">
        <v>81</v>
      </c>
      <c r="P706" s="1" t="s">
        <v>39</v>
      </c>
    </row>
    <row r="707" spans="1:16" x14ac:dyDescent="0.25">
      <c r="A707" s="1">
        <v>48754793</v>
      </c>
      <c r="B707" s="1" t="s">
        <v>27</v>
      </c>
      <c r="C707" s="1" t="s">
        <v>2</v>
      </c>
      <c r="D707" s="1">
        <v>47644</v>
      </c>
      <c r="E707" s="1">
        <v>2892</v>
      </c>
      <c r="F707" s="1">
        <v>27</v>
      </c>
      <c r="G707" s="13">
        <f>Table[[#This Row],[Return Value]]/Table[[#This Row],[Sell Value]]</f>
        <v>9.3360995850622405E-3</v>
      </c>
      <c r="H707" s="1" t="s">
        <v>3</v>
      </c>
      <c r="I707" s="1">
        <v>23</v>
      </c>
      <c r="J707" s="14">
        <f>Table[[#This Row],[Sell Value]]*Table[[#This Row],[Selling Price]]</f>
        <v>66516</v>
      </c>
      <c r="K707" s="1" t="s">
        <v>4</v>
      </c>
      <c r="L707" s="1" t="s">
        <v>57</v>
      </c>
      <c r="M707" s="1" t="s">
        <v>48</v>
      </c>
      <c r="N707" s="1">
        <v>0.2</v>
      </c>
      <c r="O707" s="1" t="s">
        <v>82</v>
      </c>
      <c r="P707" s="1" t="s">
        <v>19</v>
      </c>
    </row>
    <row r="708" spans="1:16" x14ac:dyDescent="0.25">
      <c r="A708" s="1">
        <v>680616963</v>
      </c>
      <c r="B708" s="1" t="s">
        <v>32</v>
      </c>
      <c r="C708" s="1" t="s">
        <v>17</v>
      </c>
      <c r="D708" s="1">
        <v>47940</v>
      </c>
      <c r="E708" s="1">
        <v>2389</v>
      </c>
      <c r="F708" s="1">
        <v>30</v>
      </c>
      <c r="G708" s="13">
        <f>Table[[#This Row],[Return Value]]/Table[[#This Row],[Sell Value]]</f>
        <v>1.2557555462536627E-2</v>
      </c>
      <c r="H708" s="1" t="s">
        <v>3</v>
      </c>
      <c r="I708" s="1">
        <v>26</v>
      </c>
      <c r="J708" s="14">
        <f>Table[[#This Row],[Sell Value]]*Table[[#This Row],[Selling Price]]</f>
        <v>62114</v>
      </c>
      <c r="K708" s="1" t="s">
        <v>4</v>
      </c>
      <c r="L708" s="1" t="s">
        <v>5</v>
      </c>
      <c r="M708" s="1" t="s">
        <v>14</v>
      </c>
      <c r="N708" s="1">
        <v>0.2</v>
      </c>
      <c r="O708" s="1" t="s">
        <v>81</v>
      </c>
      <c r="P708" s="1" t="s">
        <v>39</v>
      </c>
    </row>
    <row r="709" spans="1:16" x14ac:dyDescent="0.25">
      <c r="A709" s="1">
        <v>618391211</v>
      </c>
      <c r="B709" s="1" t="s">
        <v>34</v>
      </c>
      <c r="C709" s="1" t="s">
        <v>2</v>
      </c>
      <c r="D709" s="1">
        <v>48419</v>
      </c>
      <c r="E709" s="1">
        <v>2418</v>
      </c>
      <c r="F709" s="1">
        <v>10</v>
      </c>
      <c r="G709" s="13">
        <f>Table[[#This Row],[Return Value]]/Table[[#This Row],[Sell Value]]</f>
        <v>4.1356492969396195E-3</v>
      </c>
      <c r="H709" s="1" t="s">
        <v>3</v>
      </c>
      <c r="I709" s="1">
        <v>48</v>
      </c>
      <c r="J709" s="14">
        <f>Table[[#This Row],[Sell Value]]*Table[[#This Row],[Selling Price]]</f>
        <v>116064</v>
      </c>
      <c r="K709" s="1" t="s">
        <v>4</v>
      </c>
      <c r="L709" s="1" t="s">
        <v>9</v>
      </c>
      <c r="M709" s="1" t="s">
        <v>26</v>
      </c>
      <c r="N709" s="1">
        <v>0.2</v>
      </c>
      <c r="O709" s="1" t="s">
        <v>81</v>
      </c>
      <c r="P709" s="1" t="s">
        <v>60</v>
      </c>
    </row>
    <row r="710" spans="1:16" x14ac:dyDescent="0.25">
      <c r="A710" s="1">
        <v>992790193</v>
      </c>
      <c r="B710" s="1" t="s">
        <v>37</v>
      </c>
      <c r="C710" s="1" t="s">
        <v>17</v>
      </c>
      <c r="D710" s="1">
        <v>47882</v>
      </c>
      <c r="E710" s="1">
        <v>3857</v>
      </c>
      <c r="F710" s="1">
        <v>29</v>
      </c>
      <c r="G710" s="13">
        <f>Table[[#This Row],[Return Value]]/Table[[#This Row],[Sell Value]]</f>
        <v>7.5187969924812026E-3</v>
      </c>
      <c r="H710" s="1" t="s">
        <v>70</v>
      </c>
      <c r="I710" s="1">
        <v>36</v>
      </c>
      <c r="J710" s="14">
        <f>Table[[#This Row],[Sell Value]]*Table[[#This Row],[Selling Price]]</f>
        <v>138852</v>
      </c>
      <c r="K710" s="1" t="s">
        <v>71</v>
      </c>
      <c r="L710" s="1" t="s">
        <v>13</v>
      </c>
      <c r="M710" s="1" t="s">
        <v>30</v>
      </c>
      <c r="N710" s="1">
        <v>0.2</v>
      </c>
      <c r="O710" s="1" t="s">
        <v>82</v>
      </c>
      <c r="P710" s="1" t="s">
        <v>55</v>
      </c>
    </row>
    <row r="711" spans="1:16" x14ac:dyDescent="0.25">
      <c r="A711" s="1">
        <v>952982838</v>
      </c>
      <c r="B711" s="1" t="s">
        <v>40</v>
      </c>
      <c r="C711" s="1" t="s">
        <v>17</v>
      </c>
      <c r="D711" s="1">
        <v>47981</v>
      </c>
      <c r="E711" s="1">
        <v>1013</v>
      </c>
      <c r="F711" s="1">
        <v>14</v>
      </c>
      <c r="G711" s="13">
        <f>Table[[#This Row],[Return Value]]/Table[[#This Row],[Sell Value]]</f>
        <v>1.3820335636722606E-2</v>
      </c>
      <c r="H711" s="1" t="s">
        <v>3</v>
      </c>
      <c r="I711" s="1">
        <v>32</v>
      </c>
      <c r="J711" s="14">
        <f>Table[[#This Row],[Sell Value]]*Table[[#This Row],[Selling Price]]</f>
        <v>32416</v>
      </c>
      <c r="K711" s="1" t="s">
        <v>4</v>
      </c>
      <c r="L711" s="1" t="s">
        <v>18</v>
      </c>
      <c r="M711" s="1" t="s">
        <v>44</v>
      </c>
      <c r="N711" s="1">
        <v>0.2</v>
      </c>
      <c r="O711" s="1" t="s">
        <v>81</v>
      </c>
      <c r="P711" s="1" t="s">
        <v>36</v>
      </c>
    </row>
    <row r="712" spans="1:16" x14ac:dyDescent="0.25">
      <c r="A712" s="1">
        <v>975762492</v>
      </c>
      <c r="B712" s="1" t="s">
        <v>42</v>
      </c>
      <c r="C712" s="1" t="s">
        <v>2</v>
      </c>
      <c r="D712" s="1">
        <v>47505</v>
      </c>
      <c r="E712" s="1">
        <v>2991</v>
      </c>
      <c r="F712" s="1">
        <v>43</v>
      </c>
      <c r="G712" s="13">
        <f>Table[[#This Row],[Return Value]]/Table[[#This Row],[Sell Value]]</f>
        <v>1.4376462721497826E-2</v>
      </c>
      <c r="H712" s="1" t="s">
        <v>3</v>
      </c>
      <c r="I712" s="1">
        <v>43</v>
      </c>
      <c r="J712" s="14">
        <f>Table[[#This Row],[Sell Value]]*Table[[#This Row],[Selling Price]]</f>
        <v>128613</v>
      </c>
      <c r="K712" s="1" t="s">
        <v>4</v>
      </c>
      <c r="L712" s="1" t="s">
        <v>21</v>
      </c>
      <c r="M712" s="1" t="s">
        <v>59</v>
      </c>
      <c r="N712" s="1">
        <v>0.2</v>
      </c>
      <c r="O712" s="1" t="s">
        <v>82</v>
      </c>
      <c r="P712" s="1" t="s">
        <v>55</v>
      </c>
    </row>
    <row r="713" spans="1:16" x14ac:dyDescent="0.25">
      <c r="A713" s="1">
        <v>657702038</v>
      </c>
      <c r="B713" s="1" t="s">
        <v>46</v>
      </c>
      <c r="C713" s="1" t="s">
        <v>2</v>
      </c>
      <c r="D713" s="1">
        <v>48315</v>
      </c>
      <c r="E713" s="1">
        <v>3394</v>
      </c>
      <c r="F713" s="1">
        <v>42</v>
      </c>
      <c r="G713" s="13">
        <f>Table[[#This Row],[Return Value]]/Table[[#This Row],[Sell Value]]</f>
        <v>1.2374779021803181E-2</v>
      </c>
      <c r="H713" s="1" t="s">
        <v>3</v>
      </c>
      <c r="I713" s="1">
        <v>20</v>
      </c>
      <c r="J713" s="14">
        <f>Table[[#This Row],[Sell Value]]*Table[[#This Row],[Selling Price]]</f>
        <v>67880</v>
      </c>
      <c r="K713" s="1" t="s">
        <v>4</v>
      </c>
      <c r="L713" s="1" t="s">
        <v>25</v>
      </c>
      <c r="M713" s="1" t="s">
        <v>10</v>
      </c>
      <c r="N713" s="1">
        <v>0.2</v>
      </c>
      <c r="O713" s="1" t="s">
        <v>81</v>
      </c>
      <c r="P713" s="1" t="s">
        <v>67</v>
      </c>
    </row>
    <row r="714" spans="1:16" x14ac:dyDescent="0.25">
      <c r="A714" s="1">
        <v>121144136</v>
      </c>
      <c r="B714" s="1" t="s">
        <v>12</v>
      </c>
      <c r="C714" s="1" t="s">
        <v>2</v>
      </c>
      <c r="D714" s="1">
        <v>48330</v>
      </c>
      <c r="E714" s="1">
        <v>1731</v>
      </c>
      <c r="F714" s="1">
        <v>15</v>
      </c>
      <c r="G714" s="13">
        <f>Table[[#This Row],[Return Value]]/Table[[#This Row],[Sell Value]]</f>
        <v>8.6655112651646445E-3</v>
      </c>
      <c r="H714" s="1" t="s">
        <v>3</v>
      </c>
      <c r="I714" s="1">
        <v>25</v>
      </c>
      <c r="J714" s="14">
        <f>Table[[#This Row],[Sell Value]]*Table[[#This Row],[Selling Price]]</f>
        <v>43275</v>
      </c>
      <c r="K714" s="1" t="s">
        <v>4</v>
      </c>
      <c r="L714" s="1" t="s">
        <v>29</v>
      </c>
      <c r="M714" s="1" t="s">
        <v>61</v>
      </c>
      <c r="N714" s="1">
        <v>0.2</v>
      </c>
      <c r="O714" s="1" t="s">
        <v>82</v>
      </c>
      <c r="P714" s="1" t="s">
        <v>19</v>
      </c>
    </row>
    <row r="715" spans="1:16" x14ac:dyDescent="0.25">
      <c r="A715" s="1">
        <v>73204327</v>
      </c>
      <c r="B715" s="1" t="s">
        <v>16</v>
      </c>
      <c r="C715" s="1" t="s">
        <v>17</v>
      </c>
      <c r="D715" s="1">
        <v>47776</v>
      </c>
      <c r="E715" s="1">
        <v>4609</v>
      </c>
      <c r="F715" s="1">
        <v>41</v>
      </c>
      <c r="G715" s="13">
        <f>Table[[#This Row],[Return Value]]/Table[[#This Row],[Sell Value]]</f>
        <v>8.8956389672380128E-3</v>
      </c>
      <c r="H715" s="1" t="s">
        <v>3</v>
      </c>
      <c r="I715" s="1">
        <v>32</v>
      </c>
      <c r="J715" s="14">
        <f>Table[[#This Row],[Sell Value]]*Table[[#This Row],[Selling Price]]</f>
        <v>147488</v>
      </c>
      <c r="K715" s="1" t="s">
        <v>4</v>
      </c>
      <c r="L715" s="1" t="s">
        <v>29</v>
      </c>
      <c r="M715" s="1" t="s">
        <v>33</v>
      </c>
      <c r="N715" s="1">
        <v>0.2</v>
      </c>
      <c r="O715" s="1" t="s">
        <v>81</v>
      </c>
      <c r="P715" s="1" t="s">
        <v>7</v>
      </c>
    </row>
    <row r="716" spans="1:16" x14ac:dyDescent="0.25">
      <c r="A716" s="1">
        <v>487415720</v>
      </c>
      <c r="B716" s="1" t="s">
        <v>20</v>
      </c>
      <c r="C716" s="1" t="s">
        <v>17</v>
      </c>
      <c r="D716" s="1">
        <v>47800</v>
      </c>
      <c r="E716" s="1">
        <v>2003</v>
      </c>
      <c r="F716" s="1">
        <v>36</v>
      </c>
      <c r="G716" s="13">
        <f>Table[[#This Row],[Return Value]]/Table[[#This Row],[Sell Value]]</f>
        <v>1.797304043934099E-2</v>
      </c>
      <c r="H716" s="1" t="s">
        <v>3</v>
      </c>
      <c r="I716" s="1">
        <v>27</v>
      </c>
      <c r="J716" s="14">
        <f>Table[[#This Row],[Sell Value]]*Table[[#This Row],[Selling Price]]</f>
        <v>54081</v>
      </c>
      <c r="K716" s="1" t="s">
        <v>4</v>
      </c>
      <c r="L716" s="1" t="s">
        <v>35</v>
      </c>
      <c r="M716" s="1" t="s">
        <v>48</v>
      </c>
      <c r="N716" s="1">
        <v>0.2</v>
      </c>
      <c r="O716" s="1" t="s">
        <v>81</v>
      </c>
      <c r="P716" s="1" t="s">
        <v>58</v>
      </c>
    </row>
    <row r="717" spans="1:16" x14ac:dyDescent="0.25">
      <c r="A717" s="1">
        <v>315784189</v>
      </c>
      <c r="B717" s="1" t="s">
        <v>24</v>
      </c>
      <c r="C717" s="1" t="s">
        <v>2</v>
      </c>
      <c r="D717" s="1">
        <v>48273</v>
      </c>
      <c r="E717" s="1">
        <v>4960</v>
      </c>
      <c r="F717" s="1">
        <v>20</v>
      </c>
      <c r="G717" s="13">
        <f>Table[[#This Row],[Return Value]]/Table[[#This Row],[Sell Value]]</f>
        <v>4.0322580645161289E-3</v>
      </c>
      <c r="H717" s="1" t="s">
        <v>3</v>
      </c>
      <c r="I717" s="1">
        <v>34</v>
      </c>
      <c r="J717" s="14">
        <f>Table[[#This Row],[Sell Value]]*Table[[#This Row],[Selling Price]]</f>
        <v>168640</v>
      </c>
      <c r="K717" s="1" t="s">
        <v>4</v>
      </c>
      <c r="L717" s="1" t="s">
        <v>38</v>
      </c>
      <c r="M717" s="1" t="s">
        <v>10</v>
      </c>
      <c r="N717" s="1">
        <v>0.2</v>
      </c>
      <c r="O717" s="1" t="s">
        <v>81</v>
      </c>
      <c r="P717" s="1" t="s">
        <v>45</v>
      </c>
    </row>
    <row r="718" spans="1:16" x14ac:dyDescent="0.25">
      <c r="A718" s="1">
        <v>703617139</v>
      </c>
      <c r="B718" s="1" t="s">
        <v>27</v>
      </c>
      <c r="C718" s="1" t="s">
        <v>2</v>
      </c>
      <c r="D718" s="1">
        <v>48069</v>
      </c>
      <c r="E718" s="1">
        <v>2986</v>
      </c>
      <c r="F718" s="1">
        <v>35</v>
      </c>
      <c r="G718" s="13">
        <f>Table[[#This Row],[Return Value]]/Table[[#This Row],[Sell Value]]</f>
        <v>1.172136637642331E-2</v>
      </c>
      <c r="H718" s="1" t="s">
        <v>3</v>
      </c>
      <c r="I718" s="1">
        <v>38</v>
      </c>
      <c r="J718" s="14">
        <f>Table[[#This Row],[Sell Value]]*Table[[#This Row],[Selling Price]]</f>
        <v>113468</v>
      </c>
      <c r="K718" s="1" t="s">
        <v>4</v>
      </c>
      <c r="L718" s="1" t="s">
        <v>41</v>
      </c>
      <c r="M718" s="1" t="s">
        <v>30</v>
      </c>
      <c r="N718" s="1">
        <v>0.2</v>
      </c>
      <c r="O718" s="1" t="s">
        <v>81</v>
      </c>
      <c r="P718" s="1" t="s">
        <v>52</v>
      </c>
    </row>
    <row r="719" spans="1:16" x14ac:dyDescent="0.25">
      <c r="A719" s="1">
        <v>108391371</v>
      </c>
      <c r="B719" s="1" t="s">
        <v>32</v>
      </c>
      <c r="C719" s="1" t="s">
        <v>17</v>
      </c>
      <c r="D719" s="1">
        <v>48038</v>
      </c>
      <c r="E719" s="1">
        <v>4394</v>
      </c>
      <c r="F719" s="1">
        <v>22</v>
      </c>
      <c r="G719" s="13">
        <f>Table[[#This Row],[Return Value]]/Table[[#This Row],[Sell Value]]</f>
        <v>5.0068274920345929E-3</v>
      </c>
      <c r="H719" s="1" t="s">
        <v>3</v>
      </c>
      <c r="I719" s="1">
        <v>21</v>
      </c>
      <c r="J719" s="14">
        <f>Table[[#This Row],[Sell Value]]*Table[[#This Row],[Selling Price]]</f>
        <v>92274</v>
      </c>
      <c r="K719" s="1" t="s">
        <v>4</v>
      </c>
      <c r="L719" s="1" t="s">
        <v>43</v>
      </c>
      <c r="M719" s="1" t="s">
        <v>6</v>
      </c>
      <c r="N719" s="1">
        <v>0.2</v>
      </c>
      <c r="O719" s="1" t="s">
        <v>82</v>
      </c>
      <c r="P719" s="1" t="s">
        <v>31</v>
      </c>
    </row>
    <row r="720" spans="1:16" x14ac:dyDescent="0.25">
      <c r="A720" s="1">
        <v>859985564</v>
      </c>
      <c r="B720" s="1" t="s">
        <v>34</v>
      </c>
      <c r="C720" s="1" t="s">
        <v>2</v>
      </c>
      <c r="D720" s="1">
        <v>47703</v>
      </c>
      <c r="E720" s="1">
        <v>2809</v>
      </c>
      <c r="F720" s="1">
        <v>50</v>
      </c>
      <c r="G720" s="13">
        <f>Table[[#This Row],[Return Value]]/Table[[#This Row],[Sell Value]]</f>
        <v>1.77999288002848E-2</v>
      </c>
      <c r="H720" s="1" t="s">
        <v>64</v>
      </c>
      <c r="I720" s="1">
        <v>34</v>
      </c>
      <c r="J720" s="14">
        <f>Table[[#This Row],[Sell Value]]*Table[[#This Row],[Selling Price]]</f>
        <v>95506</v>
      </c>
      <c r="K720" s="1" t="s">
        <v>4</v>
      </c>
      <c r="L720" s="1" t="s">
        <v>47</v>
      </c>
      <c r="M720" s="1" t="s">
        <v>6</v>
      </c>
      <c r="N720" s="1">
        <v>0.2</v>
      </c>
      <c r="O720" s="1" t="s">
        <v>82</v>
      </c>
      <c r="P720" s="1" t="s">
        <v>36</v>
      </c>
    </row>
    <row r="721" spans="1:16" x14ac:dyDescent="0.25">
      <c r="A721" s="1">
        <v>540135643</v>
      </c>
      <c r="B721" s="1" t="s">
        <v>37</v>
      </c>
      <c r="C721" s="1" t="s">
        <v>17</v>
      </c>
      <c r="D721" s="1">
        <v>47694</v>
      </c>
      <c r="E721" s="1">
        <v>3776</v>
      </c>
      <c r="F721" s="1">
        <v>29</v>
      </c>
      <c r="G721" s="13">
        <f>Table[[#This Row],[Return Value]]/Table[[#This Row],[Sell Value]]</f>
        <v>7.6800847457627122E-3</v>
      </c>
      <c r="H721" s="1" t="s">
        <v>28</v>
      </c>
      <c r="I721" s="1">
        <v>26</v>
      </c>
      <c r="J721" s="14">
        <f>Table[[#This Row],[Sell Value]]*Table[[#This Row],[Selling Price]]</f>
        <v>98176</v>
      </c>
      <c r="K721" s="1" t="s">
        <v>4</v>
      </c>
      <c r="L721" s="1" t="s">
        <v>51</v>
      </c>
      <c r="M721" s="1" t="s">
        <v>44</v>
      </c>
      <c r="N721" s="1">
        <v>0.2</v>
      </c>
      <c r="O721" s="1" t="s">
        <v>82</v>
      </c>
      <c r="P721" s="1" t="s">
        <v>19</v>
      </c>
    </row>
    <row r="722" spans="1:16" x14ac:dyDescent="0.25">
      <c r="A722" s="1">
        <v>495276420</v>
      </c>
      <c r="B722" s="1" t="s">
        <v>40</v>
      </c>
      <c r="C722" s="1" t="s">
        <v>17</v>
      </c>
      <c r="D722" s="1">
        <v>48577</v>
      </c>
      <c r="E722" s="1">
        <v>1450</v>
      </c>
      <c r="F722" s="1">
        <v>29</v>
      </c>
      <c r="G722" s="13">
        <f>Table[[#This Row],[Return Value]]/Table[[#This Row],[Sell Value]]</f>
        <v>0.02</v>
      </c>
      <c r="H722" s="1" t="s">
        <v>3</v>
      </c>
      <c r="I722" s="1">
        <v>21</v>
      </c>
      <c r="J722" s="14">
        <f>Table[[#This Row],[Sell Value]]*Table[[#This Row],[Selling Price]]</f>
        <v>30450</v>
      </c>
      <c r="K722" s="1" t="s">
        <v>4</v>
      </c>
      <c r="L722" s="1" t="s">
        <v>54</v>
      </c>
      <c r="M722" s="1" t="s">
        <v>14</v>
      </c>
      <c r="N722" s="1">
        <v>0.2</v>
      </c>
      <c r="O722" s="1" t="s">
        <v>82</v>
      </c>
      <c r="P722" s="1" t="s">
        <v>36</v>
      </c>
    </row>
    <row r="723" spans="1:16" x14ac:dyDescent="0.25">
      <c r="A723" s="1">
        <v>205520626</v>
      </c>
      <c r="B723" s="1" t="s">
        <v>42</v>
      </c>
      <c r="C723" s="1" t="s">
        <v>2</v>
      </c>
      <c r="D723" s="1">
        <v>48476</v>
      </c>
      <c r="E723" s="1">
        <v>1415</v>
      </c>
      <c r="F723" s="1">
        <v>18</v>
      </c>
      <c r="G723" s="13">
        <f>Table[[#This Row],[Return Value]]/Table[[#This Row],[Sell Value]]</f>
        <v>1.2720848056537103E-2</v>
      </c>
      <c r="H723" s="1" t="s">
        <v>3</v>
      </c>
      <c r="I723" s="1">
        <v>47</v>
      </c>
      <c r="J723" s="14">
        <f>Table[[#This Row],[Sell Value]]*Table[[#This Row],[Selling Price]]</f>
        <v>66505</v>
      </c>
      <c r="K723" s="1" t="s">
        <v>4</v>
      </c>
      <c r="L723" s="1" t="s">
        <v>57</v>
      </c>
      <c r="M723" s="1" t="s">
        <v>59</v>
      </c>
      <c r="N723" s="1">
        <v>0.2</v>
      </c>
      <c r="O723" s="1" t="s">
        <v>82</v>
      </c>
      <c r="P723" s="1" t="s">
        <v>23</v>
      </c>
    </row>
    <row r="724" spans="1:16" x14ac:dyDescent="0.25">
      <c r="A724" s="1">
        <v>22449537</v>
      </c>
      <c r="B724" s="1" t="s">
        <v>46</v>
      </c>
      <c r="C724" s="1" t="s">
        <v>2</v>
      </c>
      <c r="D724" s="1">
        <v>48000</v>
      </c>
      <c r="E724" s="1">
        <v>1094</v>
      </c>
      <c r="F724" s="1">
        <v>10</v>
      </c>
      <c r="G724" s="13">
        <f>Table[[#This Row],[Return Value]]/Table[[#This Row],[Sell Value]]</f>
        <v>9.140767824497258E-3</v>
      </c>
      <c r="H724" s="1" t="s">
        <v>3</v>
      </c>
      <c r="I724" s="1">
        <v>46</v>
      </c>
      <c r="J724" s="14">
        <f>Table[[#This Row],[Sell Value]]*Table[[#This Row],[Selling Price]]</f>
        <v>50324</v>
      </c>
      <c r="K724" s="1" t="s">
        <v>4</v>
      </c>
      <c r="L724" s="1" t="s">
        <v>5</v>
      </c>
      <c r="M724" s="1" t="s">
        <v>10</v>
      </c>
      <c r="N724" s="1">
        <v>0.2</v>
      </c>
      <c r="O724" s="1" t="s">
        <v>81</v>
      </c>
      <c r="P724" s="1" t="s">
        <v>36</v>
      </c>
    </row>
    <row r="725" spans="1:16" x14ac:dyDescent="0.25">
      <c r="A725" s="1">
        <v>265287876</v>
      </c>
      <c r="B725" s="1" t="s">
        <v>50</v>
      </c>
      <c r="C725" s="1" t="s">
        <v>2</v>
      </c>
      <c r="D725" s="1">
        <v>47870</v>
      </c>
      <c r="E725" s="1">
        <v>4731</v>
      </c>
      <c r="F725" s="1">
        <v>15</v>
      </c>
      <c r="G725" s="13">
        <f>Table[[#This Row],[Return Value]]/Table[[#This Row],[Sell Value]]</f>
        <v>3.1705770450221942E-3</v>
      </c>
      <c r="H725" s="1" t="s">
        <v>3</v>
      </c>
      <c r="I725" s="1">
        <v>36</v>
      </c>
      <c r="J725" s="14">
        <f>Table[[#This Row],[Sell Value]]*Table[[#This Row],[Selling Price]]</f>
        <v>170316</v>
      </c>
      <c r="K725" s="1" t="s">
        <v>4</v>
      </c>
      <c r="L725" s="1" t="s">
        <v>9</v>
      </c>
      <c r="M725" s="1" t="s">
        <v>22</v>
      </c>
      <c r="N725" s="1">
        <v>0.2</v>
      </c>
      <c r="O725" s="1" t="s">
        <v>81</v>
      </c>
      <c r="P725" s="1" t="s">
        <v>49</v>
      </c>
    </row>
    <row r="726" spans="1:16" x14ac:dyDescent="0.25">
      <c r="A726" s="1">
        <v>8077950</v>
      </c>
      <c r="B726" s="1" t="s">
        <v>53</v>
      </c>
      <c r="C726" s="1" t="s">
        <v>2</v>
      </c>
      <c r="D726" s="1">
        <v>48187</v>
      </c>
      <c r="E726" s="1">
        <v>2308</v>
      </c>
      <c r="F726" s="1">
        <v>11</v>
      </c>
      <c r="G726" s="13">
        <f>Table[[#This Row],[Return Value]]/Table[[#This Row],[Sell Value]]</f>
        <v>4.7660311958405543E-3</v>
      </c>
      <c r="H726" s="1" t="s">
        <v>28</v>
      </c>
      <c r="I726" s="1">
        <v>33</v>
      </c>
      <c r="J726" s="14">
        <f>Table[[#This Row],[Sell Value]]*Table[[#This Row],[Selling Price]]</f>
        <v>76164</v>
      </c>
      <c r="K726" s="1" t="s">
        <v>4</v>
      </c>
      <c r="L726" s="1" t="s">
        <v>13</v>
      </c>
      <c r="M726" s="1" t="s">
        <v>22</v>
      </c>
      <c r="N726" s="1">
        <v>0.2</v>
      </c>
      <c r="O726" s="1" t="s">
        <v>82</v>
      </c>
      <c r="P726" s="1" t="s">
        <v>7</v>
      </c>
    </row>
    <row r="727" spans="1:16" x14ac:dyDescent="0.25">
      <c r="A727" s="1">
        <v>813075695</v>
      </c>
      <c r="B727" s="1" t="s">
        <v>56</v>
      </c>
      <c r="C727" s="1" t="s">
        <v>2</v>
      </c>
      <c r="D727" s="1">
        <v>47681</v>
      </c>
      <c r="E727" s="1">
        <v>3917</v>
      </c>
      <c r="F727" s="1">
        <v>50</v>
      </c>
      <c r="G727" s="13">
        <f>Table[[#This Row],[Return Value]]/Table[[#This Row],[Sell Value]]</f>
        <v>1.2764871074802144E-2</v>
      </c>
      <c r="H727" s="1" t="s">
        <v>3</v>
      </c>
      <c r="I727" s="1">
        <v>25</v>
      </c>
      <c r="J727" s="14">
        <f>Table[[#This Row],[Sell Value]]*Table[[#This Row],[Selling Price]]</f>
        <v>97925</v>
      </c>
      <c r="K727" s="1" t="s">
        <v>4</v>
      </c>
      <c r="L727" s="1" t="s">
        <v>18</v>
      </c>
      <c r="M727" s="1" t="s">
        <v>14</v>
      </c>
      <c r="N727" s="1">
        <v>0.2</v>
      </c>
      <c r="O727" s="1" t="s">
        <v>81</v>
      </c>
      <c r="P727" s="1" t="s">
        <v>62</v>
      </c>
    </row>
    <row r="728" spans="1:16" x14ac:dyDescent="0.25">
      <c r="A728" s="1">
        <v>435238931</v>
      </c>
      <c r="B728" s="1" t="s">
        <v>1</v>
      </c>
      <c r="C728" s="1" t="s">
        <v>2</v>
      </c>
      <c r="D728" s="1">
        <v>48509</v>
      </c>
      <c r="E728" s="1">
        <v>2975</v>
      </c>
      <c r="F728" s="1">
        <v>33</v>
      </c>
      <c r="G728" s="13">
        <f>Table[[#This Row],[Return Value]]/Table[[#This Row],[Sell Value]]</f>
        <v>1.1092436974789916E-2</v>
      </c>
      <c r="H728" s="1" t="s">
        <v>3</v>
      </c>
      <c r="I728" s="1">
        <v>40</v>
      </c>
      <c r="J728" s="14">
        <f>Table[[#This Row],[Sell Value]]*Table[[#This Row],[Selling Price]]</f>
        <v>119000</v>
      </c>
      <c r="K728" s="1" t="s">
        <v>4</v>
      </c>
      <c r="L728" s="1" t="s">
        <v>21</v>
      </c>
      <c r="M728" s="1" t="s">
        <v>61</v>
      </c>
      <c r="N728" s="1">
        <v>0.2</v>
      </c>
      <c r="O728" s="1" t="s">
        <v>82</v>
      </c>
      <c r="P728" s="1" t="s">
        <v>52</v>
      </c>
    </row>
    <row r="729" spans="1:16" x14ac:dyDescent="0.25">
      <c r="A729" s="1">
        <v>330502982</v>
      </c>
      <c r="B729" s="1" t="s">
        <v>8</v>
      </c>
      <c r="C729" s="1" t="s">
        <v>2</v>
      </c>
      <c r="D729" s="1">
        <v>48175</v>
      </c>
      <c r="E729" s="1">
        <v>1558</v>
      </c>
      <c r="F729" s="1">
        <v>37</v>
      </c>
      <c r="G729" s="13">
        <f>Table[[#This Row],[Return Value]]/Table[[#This Row],[Sell Value]]</f>
        <v>2.3748395378690629E-2</v>
      </c>
      <c r="H729" s="1" t="s">
        <v>3</v>
      </c>
      <c r="I729" s="1">
        <v>25</v>
      </c>
      <c r="J729" s="14">
        <f>Table[[#This Row],[Sell Value]]*Table[[#This Row],[Selling Price]]</f>
        <v>38950</v>
      </c>
      <c r="K729" s="1" t="s">
        <v>4</v>
      </c>
      <c r="L729" s="1" t="s">
        <v>25</v>
      </c>
      <c r="M729" s="1" t="s">
        <v>44</v>
      </c>
      <c r="N729" s="1">
        <v>0.2</v>
      </c>
      <c r="O729" s="1" t="s">
        <v>81</v>
      </c>
      <c r="P729" s="1" t="s">
        <v>49</v>
      </c>
    </row>
    <row r="730" spans="1:16" x14ac:dyDescent="0.25">
      <c r="A730" s="1">
        <v>307275833</v>
      </c>
      <c r="B730" s="1" t="s">
        <v>12</v>
      </c>
      <c r="C730" s="1" t="s">
        <v>2</v>
      </c>
      <c r="D730" s="1">
        <v>48448</v>
      </c>
      <c r="E730" s="1">
        <v>4773</v>
      </c>
      <c r="F730" s="1">
        <v>22</v>
      </c>
      <c r="G730" s="13">
        <f>Table[[#This Row],[Return Value]]/Table[[#This Row],[Sell Value]]</f>
        <v>4.6092604232139114E-3</v>
      </c>
      <c r="H730" s="1" t="s">
        <v>3</v>
      </c>
      <c r="I730" s="1">
        <v>46</v>
      </c>
      <c r="J730" s="14">
        <f>Table[[#This Row],[Sell Value]]*Table[[#This Row],[Selling Price]]</f>
        <v>219558</v>
      </c>
      <c r="K730" s="1" t="s">
        <v>4</v>
      </c>
      <c r="L730" s="1" t="s">
        <v>29</v>
      </c>
      <c r="M730" s="1" t="s">
        <v>26</v>
      </c>
      <c r="N730" s="1">
        <v>0.2</v>
      </c>
      <c r="O730" s="1" t="s">
        <v>82</v>
      </c>
      <c r="P730" s="1" t="s">
        <v>36</v>
      </c>
    </row>
    <row r="731" spans="1:16" x14ac:dyDescent="0.25">
      <c r="A731" s="1">
        <v>252770482</v>
      </c>
      <c r="B731" s="1" t="s">
        <v>16</v>
      </c>
      <c r="C731" s="1" t="s">
        <v>17</v>
      </c>
      <c r="D731" s="1">
        <v>47660</v>
      </c>
      <c r="E731" s="1">
        <v>1678</v>
      </c>
      <c r="F731" s="1">
        <v>38</v>
      </c>
      <c r="G731" s="13">
        <f>Table[[#This Row],[Return Value]]/Table[[#This Row],[Sell Value]]</f>
        <v>2.2646007151370679E-2</v>
      </c>
      <c r="H731" s="1" t="s">
        <v>3</v>
      </c>
      <c r="I731" s="1">
        <v>26</v>
      </c>
      <c r="J731" s="14">
        <f>Table[[#This Row],[Sell Value]]*Table[[#This Row],[Selling Price]]</f>
        <v>43628</v>
      </c>
      <c r="K731" s="1" t="s">
        <v>4</v>
      </c>
      <c r="L731" s="1" t="s">
        <v>29</v>
      </c>
      <c r="M731" s="1" t="s">
        <v>33</v>
      </c>
      <c r="N731" s="1">
        <v>0.2</v>
      </c>
      <c r="O731" s="1" t="s">
        <v>81</v>
      </c>
      <c r="P731" s="1" t="s">
        <v>36</v>
      </c>
    </row>
    <row r="732" spans="1:16" x14ac:dyDescent="0.25">
      <c r="A732" s="1">
        <v>747786970</v>
      </c>
      <c r="B732" s="1" t="s">
        <v>20</v>
      </c>
      <c r="C732" s="1" t="s">
        <v>17</v>
      </c>
      <c r="D732" s="1">
        <v>47636</v>
      </c>
      <c r="E732" s="1">
        <v>2902</v>
      </c>
      <c r="F732" s="1">
        <v>39</v>
      </c>
      <c r="G732" s="13">
        <f>Table[[#This Row],[Return Value]]/Table[[#This Row],[Sell Value]]</f>
        <v>1.3439007580978636E-2</v>
      </c>
      <c r="H732" s="1" t="s">
        <v>3</v>
      </c>
      <c r="I732" s="1">
        <v>39</v>
      </c>
      <c r="J732" s="14">
        <f>Table[[#This Row],[Sell Value]]*Table[[#This Row],[Selling Price]]</f>
        <v>113178</v>
      </c>
      <c r="K732" s="1" t="s">
        <v>4</v>
      </c>
      <c r="L732" s="1" t="s">
        <v>35</v>
      </c>
      <c r="M732" s="1" t="s">
        <v>26</v>
      </c>
      <c r="N732" s="1">
        <v>0.2</v>
      </c>
      <c r="O732" s="1" t="s">
        <v>81</v>
      </c>
      <c r="P732" s="1" t="s">
        <v>58</v>
      </c>
    </row>
    <row r="733" spans="1:16" x14ac:dyDescent="0.25">
      <c r="A733" s="1">
        <v>681895983</v>
      </c>
      <c r="B733" s="1" t="s">
        <v>24</v>
      </c>
      <c r="C733" s="1" t="s">
        <v>2</v>
      </c>
      <c r="D733" s="1">
        <v>48398</v>
      </c>
      <c r="E733" s="1">
        <v>2283</v>
      </c>
      <c r="F733" s="1">
        <v>28</v>
      </c>
      <c r="G733" s="13">
        <f>Table[[#This Row],[Return Value]]/Table[[#This Row],[Sell Value]]</f>
        <v>1.2264564169951819E-2</v>
      </c>
      <c r="H733" s="1" t="s">
        <v>3</v>
      </c>
      <c r="I733" s="1">
        <v>21</v>
      </c>
      <c r="J733" s="14">
        <f>Table[[#This Row],[Sell Value]]*Table[[#This Row],[Selling Price]]</f>
        <v>47943</v>
      </c>
      <c r="K733" s="1" t="s">
        <v>4</v>
      </c>
      <c r="L733" s="1" t="s">
        <v>38</v>
      </c>
      <c r="M733" s="1" t="s">
        <v>26</v>
      </c>
      <c r="N733" s="1">
        <v>0.2</v>
      </c>
      <c r="O733" s="1" t="s">
        <v>81</v>
      </c>
      <c r="P733" s="1" t="s">
        <v>55</v>
      </c>
    </row>
    <row r="734" spans="1:16" x14ac:dyDescent="0.25">
      <c r="A734" s="1">
        <v>985924204</v>
      </c>
      <c r="B734" s="1" t="s">
        <v>27</v>
      </c>
      <c r="C734" s="1" t="s">
        <v>2</v>
      </c>
      <c r="D734" s="1">
        <v>47717</v>
      </c>
      <c r="E734" s="1">
        <v>1893</v>
      </c>
      <c r="F734" s="1">
        <v>43</v>
      </c>
      <c r="G734" s="13">
        <f>Table[[#This Row],[Return Value]]/Table[[#This Row],[Sell Value]]</f>
        <v>2.2715266772319071E-2</v>
      </c>
      <c r="H734" s="1" t="s">
        <v>3</v>
      </c>
      <c r="I734" s="1">
        <v>35</v>
      </c>
      <c r="J734" s="14">
        <f>Table[[#This Row],[Sell Value]]*Table[[#This Row],[Selling Price]]</f>
        <v>66255</v>
      </c>
      <c r="K734" s="1" t="s">
        <v>4</v>
      </c>
      <c r="L734" s="1" t="s">
        <v>41</v>
      </c>
      <c r="M734" s="1" t="s">
        <v>6</v>
      </c>
      <c r="N734" s="1">
        <v>0.2</v>
      </c>
      <c r="O734" s="1" t="s">
        <v>82</v>
      </c>
      <c r="P734" s="1" t="s">
        <v>63</v>
      </c>
    </row>
    <row r="735" spans="1:16" x14ac:dyDescent="0.25">
      <c r="A735" s="1">
        <v>142855347</v>
      </c>
      <c r="B735" s="1" t="s">
        <v>32</v>
      </c>
      <c r="C735" s="1" t="s">
        <v>17</v>
      </c>
      <c r="D735" s="1">
        <v>47753</v>
      </c>
      <c r="E735" s="1">
        <v>3254</v>
      </c>
      <c r="F735" s="1">
        <v>29</v>
      </c>
      <c r="G735" s="13">
        <f>Table[[#This Row],[Return Value]]/Table[[#This Row],[Sell Value]]</f>
        <v>8.9121081745543954E-3</v>
      </c>
      <c r="H735" s="1" t="s">
        <v>3</v>
      </c>
      <c r="I735" s="1">
        <v>20</v>
      </c>
      <c r="J735" s="14">
        <f>Table[[#This Row],[Sell Value]]*Table[[#This Row],[Selling Price]]</f>
        <v>65080</v>
      </c>
      <c r="K735" s="1" t="s">
        <v>4</v>
      </c>
      <c r="L735" s="1" t="s">
        <v>43</v>
      </c>
      <c r="M735" s="1" t="s">
        <v>59</v>
      </c>
      <c r="N735" s="1">
        <v>0.2</v>
      </c>
      <c r="O735" s="1" t="s">
        <v>81</v>
      </c>
      <c r="P735" s="1" t="s">
        <v>65</v>
      </c>
    </row>
    <row r="736" spans="1:16" x14ac:dyDescent="0.25">
      <c r="A736" s="1">
        <v>440120767</v>
      </c>
      <c r="B736" s="1" t="s">
        <v>34</v>
      </c>
      <c r="C736" s="1" t="s">
        <v>2</v>
      </c>
      <c r="D736" s="1">
        <v>48332</v>
      </c>
      <c r="E736" s="1">
        <v>3987</v>
      </c>
      <c r="F736" s="1">
        <v>49</v>
      </c>
      <c r="G736" s="13">
        <f>Table[[#This Row],[Return Value]]/Table[[#This Row],[Sell Value]]</f>
        <v>1.2289942312515676E-2</v>
      </c>
      <c r="H736" s="1" t="s">
        <v>3</v>
      </c>
      <c r="I736" s="1">
        <v>42</v>
      </c>
      <c r="J736" s="14">
        <f>Table[[#This Row],[Sell Value]]*Table[[#This Row],[Selling Price]]</f>
        <v>167454</v>
      </c>
      <c r="K736" s="1" t="s">
        <v>4</v>
      </c>
      <c r="L736" s="1" t="s">
        <v>47</v>
      </c>
      <c r="M736" s="1" t="s">
        <v>14</v>
      </c>
      <c r="N736" s="1">
        <v>0.2</v>
      </c>
      <c r="O736" s="1" t="s">
        <v>82</v>
      </c>
      <c r="P736" s="1" t="s">
        <v>52</v>
      </c>
    </row>
    <row r="737" spans="1:16" x14ac:dyDescent="0.25">
      <c r="A737" s="1">
        <v>453397019</v>
      </c>
      <c r="B737" s="1" t="s">
        <v>37</v>
      </c>
      <c r="C737" s="1" t="s">
        <v>17</v>
      </c>
      <c r="D737" s="1">
        <v>48318</v>
      </c>
      <c r="E737" s="1">
        <v>1756</v>
      </c>
      <c r="F737" s="1">
        <v>40</v>
      </c>
      <c r="G737" s="13">
        <f>Table[[#This Row],[Return Value]]/Table[[#This Row],[Sell Value]]</f>
        <v>2.2779043280182234E-2</v>
      </c>
      <c r="H737" s="1" t="s">
        <v>3</v>
      </c>
      <c r="I737" s="1">
        <v>31</v>
      </c>
      <c r="J737" s="14">
        <f>Table[[#This Row],[Sell Value]]*Table[[#This Row],[Selling Price]]</f>
        <v>54436</v>
      </c>
      <c r="K737" s="1" t="s">
        <v>4</v>
      </c>
      <c r="L737" s="1" t="s">
        <v>51</v>
      </c>
      <c r="M737" s="1" t="s">
        <v>33</v>
      </c>
      <c r="N737" s="1">
        <v>0.2</v>
      </c>
      <c r="O737" s="1" t="s">
        <v>82</v>
      </c>
      <c r="P737" s="1" t="s">
        <v>15</v>
      </c>
    </row>
    <row r="738" spans="1:16" x14ac:dyDescent="0.25">
      <c r="A738" s="1">
        <v>721591040</v>
      </c>
      <c r="B738" s="1" t="s">
        <v>40</v>
      </c>
      <c r="C738" s="1" t="s">
        <v>17</v>
      </c>
      <c r="D738" s="1">
        <v>47912</v>
      </c>
      <c r="E738" s="1">
        <v>1494</v>
      </c>
      <c r="F738" s="1">
        <v>13</v>
      </c>
      <c r="G738" s="13">
        <f>Table[[#This Row],[Return Value]]/Table[[#This Row],[Sell Value]]</f>
        <v>8.7014725568942443E-3</v>
      </c>
      <c r="H738" s="1" t="s">
        <v>3</v>
      </c>
      <c r="I738" s="1">
        <v>38</v>
      </c>
      <c r="J738" s="14">
        <f>Table[[#This Row],[Sell Value]]*Table[[#This Row],[Selling Price]]</f>
        <v>56772</v>
      </c>
      <c r="K738" s="1" t="s">
        <v>4</v>
      </c>
      <c r="L738" s="1" t="s">
        <v>54</v>
      </c>
      <c r="M738" s="1" t="s">
        <v>6</v>
      </c>
      <c r="N738" s="1">
        <v>0.2</v>
      </c>
      <c r="O738" s="1" t="s">
        <v>82</v>
      </c>
      <c r="P738" s="1" t="s">
        <v>15</v>
      </c>
    </row>
    <row r="739" spans="1:16" x14ac:dyDescent="0.25">
      <c r="A739" s="1">
        <v>8029368</v>
      </c>
      <c r="B739" s="1" t="s">
        <v>42</v>
      </c>
      <c r="C739" s="1" t="s">
        <v>2</v>
      </c>
      <c r="D739" s="1">
        <v>47919</v>
      </c>
      <c r="E739" s="1">
        <v>3315</v>
      </c>
      <c r="F739" s="1">
        <v>17</v>
      </c>
      <c r="G739" s="13">
        <f>Table[[#This Row],[Return Value]]/Table[[#This Row],[Sell Value]]</f>
        <v>5.1282051282051282E-3</v>
      </c>
      <c r="H739" s="1" t="s">
        <v>3</v>
      </c>
      <c r="I739" s="1">
        <v>43</v>
      </c>
      <c r="J739" s="14">
        <f>Table[[#This Row],[Sell Value]]*Table[[#This Row],[Selling Price]]</f>
        <v>142545</v>
      </c>
      <c r="K739" s="1" t="s">
        <v>4</v>
      </c>
      <c r="L739" s="1" t="s">
        <v>57</v>
      </c>
      <c r="M739" s="1" t="s">
        <v>14</v>
      </c>
      <c r="N739" s="1">
        <v>0.2</v>
      </c>
      <c r="O739" s="1" t="s">
        <v>82</v>
      </c>
      <c r="P739" s="1" t="s">
        <v>63</v>
      </c>
    </row>
    <row r="740" spans="1:16" x14ac:dyDescent="0.25">
      <c r="A740" s="1">
        <v>415199036</v>
      </c>
      <c r="B740" s="1" t="s">
        <v>46</v>
      </c>
      <c r="C740" s="1" t="s">
        <v>2</v>
      </c>
      <c r="D740" s="1">
        <v>48157</v>
      </c>
      <c r="E740" s="1">
        <v>4428</v>
      </c>
      <c r="F740" s="1">
        <v>18</v>
      </c>
      <c r="G740" s="13">
        <f>Table[[#This Row],[Return Value]]/Table[[#This Row],[Sell Value]]</f>
        <v>4.0650406504065045E-3</v>
      </c>
      <c r="H740" s="1" t="s">
        <v>3</v>
      </c>
      <c r="I740" s="1">
        <v>34</v>
      </c>
      <c r="J740" s="14">
        <f>Table[[#This Row],[Sell Value]]*Table[[#This Row],[Selling Price]]</f>
        <v>150552</v>
      </c>
      <c r="K740" s="1" t="s">
        <v>4</v>
      </c>
      <c r="L740" s="1" t="s">
        <v>5</v>
      </c>
      <c r="M740" s="1" t="s">
        <v>30</v>
      </c>
      <c r="N740" s="1">
        <v>0.2</v>
      </c>
      <c r="O740" s="1" t="s">
        <v>82</v>
      </c>
      <c r="P740" s="1" t="s">
        <v>36</v>
      </c>
    </row>
    <row r="741" spans="1:16" x14ac:dyDescent="0.25">
      <c r="A741" s="1">
        <v>861028919</v>
      </c>
      <c r="B741" s="1" t="s">
        <v>50</v>
      </c>
      <c r="C741" s="1" t="s">
        <v>2</v>
      </c>
      <c r="D741" s="1">
        <v>47689</v>
      </c>
      <c r="E741" s="1">
        <v>1931</v>
      </c>
      <c r="F741" s="1">
        <v>35</v>
      </c>
      <c r="G741" s="13">
        <f>Table[[#This Row],[Return Value]]/Table[[#This Row],[Sell Value]]</f>
        <v>1.8125323666494046E-2</v>
      </c>
      <c r="H741" s="1" t="s">
        <v>3</v>
      </c>
      <c r="I741" s="1">
        <v>41</v>
      </c>
      <c r="J741" s="14">
        <f>Table[[#This Row],[Sell Value]]*Table[[#This Row],[Selling Price]]</f>
        <v>79171</v>
      </c>
      <c r="K741" s="1" t="s">
        <v>4</v>
      </c>
      <c r="L741" s="1" t="s">
        <v>9</v>
      </c>
      <c r="M741" s="1" t="s">
        <v>61</v>
      </c>
      <c r="N741" s="1">
        <v>0.2</v>
      </c>
      <c r="O741" s="1" t="s">
        <v>81</v>
      </c>
      <c r="P741" s="1" t="s">
        <v>58</v>
      </c>
    </row>
    <row r="742" spans="1:16" x14ac:dyDescent="0.25">
      <c r="A742" s="1">
        <v>656412454</v>
      </c>
      <c r="B742" s="1" t="s">
        <v>53</v>
      </c>
      <c r="C742" s="1" t="s">
        <v>2</v>
      </c>
      <c r="D742" s="1">
        <v>47664</v>
      </c>
      <c r="E742" s="1">
        <v>4010</v>
      </c>
      <c r="F742" s="1">
        <v>29</v>
      </c>
      <c r="G742" s="13">
        <f>Table[[#This Row],[Return Value]]/Table[[#This Row],[Sell Value]]</f>
        <v>7.2319201995012473E-3</v>
      </c>
      <c r="H742" s="1" t="s">
        <v>3</v>
      </c>
      <c r="I742" s="1">
        <v>20</v>
      </c>
      <c r="J742" s="14">
        <f>Table[[#This Row],[Sell Value]]*Table[[#This Row],[Selling Price]]</f>
        <v>80200</v>
      </c>
      <c r="K742" s="1" t="s">
        <v>4</v>
      </c>
      <c r="L742" s="1" t="s">
        <v>13</v>
      </c>
      <c r="M742" s="1" t="s">
        <v>22</v>
      </c>
      <c r="N742" s="1">
        <v>0.2</v>
      </c>
      <c r="O742" s="1" t="s">
        <v>81</v>
      </c>
      <c r="P742" s="1" t="s">
        <v>63</v>
      </c>
    </row>
    <row r="743" spans="1:16" x14ac:dyDescent="0.25">
      <c r="A743" s="1">
        <v>330389407</v>
      </c>
      <c r="B743" s="1" t="s">
        <v>56</v>
      </c>
      <c r="C743" s="1" t="s">
        <v>2</v>
      </c>
      <c r="D743" s="1">
        <v>47853</v>
      </c>
      <c r="E743" s="1">
        <v>2207</v>
      </c>
      <c r="F743" s="1">
        <v>50</v>
      </c>
      <c r="G743" s="13">
        <f>Table[[#This Row],[Return Value]]/Table[[#This Row],[Sell Value]]</f>
        <v>2.2655188038060717E-2</v>
      </c>
      <c r="H743" s="1" t="s">
        <v>3</v>
      </c>
      <c r="I743" s="1">
        <v>25</v>
      </c>
      <c r="J743" s="14">
        <f>Table[[#This Row],[Sell Value]]*Table[[#This Row],[Selling Price]]</f>
        <v>55175</v>
      </c>
      <c r="K743" s="1" t="s">
        <v>4</v>
      </c>
      <c r="L743" s="1" t="s">
        <v>18</v>
      </c>
      <c r="M743" s="1" t="s">
        <v>10</v>
      </c>
      <c r="N743" s="1">
        <v>0.2</v>
      </c>
      <c r="O743" s="1" t="s">
        <v>81</v>
      </c>
      <c r="P743" s="1" t="s">
        <v>60</v>
      </c>
    </row>
    <row r="744" spans="1:16" x14ac:dyDescent="0.25">
      <c r="A744" s="1">
        <v>564710434</v>
      </c>
      <c r="B744" s="1" t="s">
        <v>1</v>
      </c>
      <c r="C744" s="1" t="s">
        <v>2</v>
      </c>
      <c r="D744" s="1">
        <v>47576</v>
      </c>
      <c r="E744" s="1">
        <v>2982</v>
      </c>
      <c r="F744" s="1">
        <v>47</v>
      </c>
      <c r="G744" s="13">
        <f>Table[[#This Row],[Return Value]]/Table[[#This Row],[Sell Value]]</f>
        <v>1.5761234071093227E-2</v>
      </c>
      <c r="H744" s="1" t="s">
        <v>3</v>
      </c>
      <c r="I744" s="1">
        <v>28</v>
      </c>
      <c r="J744" s="14">
        <f>Table[[#This Row],[Sell Value]]*Table[[#This Row],[Selling Price]]</f>
        <v>83496</v>
      </c>
      <c r="K744" s="1" t="s">
        <v>4</v>
      </c>
      <c r="L744" s="1" t="s">
        <v>21</v>
      </c>
      <c r="M744" s="1" t="s">
        <v>30</v>
      </c>
      <c r="N744" s="1">
        <v>0.2</v>
      </c>
      <c r="O744" s="1" t="s">
        <v>81</v>
      </c>
      <c r="P744" s="1" t="s">
        <v>52</v>
      </c>
    </row>
    <row r="745" spans="1:16" x14ac:dyDescent="0.25">
      <c r="A745" s="1">
        <v>276471356</v>
      </c>
      <c r="B745" s="1" t="s">
        <v>8</v>
      </c>
      <c r="C745" s="1" t="s">
        <v>2</v>
      </c>
      <c r="D745" s="1">
        <v>48235</v>
      </c>
      <c r="E745" s="1">
        <v>1221</v>
      </c>
      <c r="F745" s="1">
        <v>30</v>
      </c>
      <c r="G745" s="13">
        <f>Table[[#This Row],[Return Value]]/Table[[#This Row],[Sell Value]]</f>
        <v>2.4570024570024569E-2</v>
      </c>
      <c r="H745" s="1" t="s">
        <v>3</v>
      </c>
      <c r="I745" s="1">
        <v>44</v>
      </c>
      <c r="J745" s="14">
        <f>Table[[#This Row],[Sell Value]]*Table[[#This Row],[Selling Price]]</f>
        <v>53724</v>
      </c>
      <c r="K745" s="1" t="s">
        <v>4</v>
      </c>
      <c r="L745" s="1" t="s">
        <v>25</v>
      </c>
      <c r="M745" s="1" t="s">
        <v>30</v>
      </c>
      <c r="N745" s="1">
        <v>0.2</v>
      </c>
      <c r="O745" s="1" t="s">
        <v>81</v>
      </c>
      <c r="P745" s="1" t="s">
        <v>55</v>
      </c>
    </row>
    <row r="746" spans="1:16" x14ac:dyDescent="0.25">
      <c r="A746" s="1">
        <v>926627997</v>
      </c>
      <c r="B746" s="1" t="s">
        <v>12</v>
      </c>
      <c r="C746" s="1" t="s">
        <v>2</v>
      </c>
      <c r="D746" s="1">
        <v>47600</v>
      </c>
      <c r="E746" s="1">
        <v>3803</v>
      </c>
      <c r="F746" s="1">
        <v>20</v>
      </c>
      <c r="G746" s="13">
        <f>Table[[#This Row],[Return Value]]/Table[[#This Row],[Sell Value]]</f>
        <v>5.2590060478569546E-3</v>
      </c>
      <c r="H746" s="1" t="s">
        <v>3</v>
      </c>
      <c r="I746" s="1">
        <v>44</v>
      </c>
      <c r="J746" s="14">
        <f>Table[[#This Row],[Sell Value]]*Table[[#This Row],[Selling Price]]</f>
        <v>167332</v>
      </c>
      <c r="K746" s="1" t="s">
        <v>4</v>
      </c>
      <c r="L746" s="1" t="s">
        <v>29</v>
      </c>
      <c r="M746" s="1" t="s">
        <v>6</v>
      </c>
      <c r="N746" s="1">
        <v>0.2</v>
      </c>
      <c r="O746" s="1" t="s">
        <v>82</v>
      </c>
      <c r="P746" s="1" t="s">
        <v>39</v>
      </c>
    </row>
    <row r="747" spans="1:16" x14ac:dyDescent="0.25">
      <c r="A747" s="1">
        <v>549182793</v>
      </c>
      <c r="B747" s="1" t="s">
        <v>16</v>
      </c>
      <c r="C747" s="1" t="s">
        <v>17</v>
      </c>
      <c r="D747" s="1">
        <v>48295</v>
      </c>
      <c r="E747" s="1">
        <v>3008</v>
      </c>
      <c r="F747" s="1">
        <v>19</v>
      </c>
      <c r="G747" s="13">
        <f>Table[[#This Row],[Return Value]]/Table[[#This Row],[Sell Value]]</f>
        <v>6.3164893617021272E-3</v>
      </c>
      <c r="H747" s="1" t="s">
        <v>3</v>
      </c>
      <c r="I747" s="1">
        <v>30</v>
      </c>
      <c r="J747" s="14">
        <f>Table[[#This Row],[Sell Value]]*Table[[#This Row],[Selling Price]]</f>
        <v>90240</v>
      </c>
      <c r="K747" s="1" t="s">
        <v>4</v>
      </c>
      <c r="L747" s="1" t="s">
        <v>29</v>
      </c>
      <c r="M747" s="1" t="s">
        <v>59</v>
      </c>
      <c r="N747" s="1">
        <v>0.2</v>
      </c>
      <c r="O747" s="1" t="s">
        <v>82</v>
      </c>
      <c r="P747" s="1" t="s">
        <v>31</v>
      </c>
    </row>
    <row r="748" spans="1:16" x14ac:dyDescent="0.25">
      <c r="A748" s="1">
        <v>188767352</v>
      </c>
      <c r="B748" s="1" t="s">
        <v>20</v>
      </c>
      <c r="C748" s="1" t="s">
        <v>17</v>
      </c>
      <c r="D748" s="1">
        <v>47769</v>
      </c>
      <c r="E748" s="1">
        <v>2953</v>
      </c>
      <c r="F748" s="1">
        <v>11</v>
      </c>
      <c r="G748" s="13">
        <f>Table[[#This Row],[Return Value]]/Table[[#This Row],[Sell Value]]</f>
        <v>3.7250253979004403E-3</v>
      </c>
      <c r="H748" s="1" t="s">
        <v>28</v>
      </c>
      <c r="I748" s="1">
        <v>33</v>
      </c>
      <c r="J748" s="14">
        <f>Table[[#This Row],[Sell Value]]*Table[[#This Row],[Selling Price]]</f>
        <v>97449</v>
      </c>
      <c r="K748" s="1" t="s">
        <v>4</v>
      </c>
      <c r="L748" s="1" t="s">
        <v>35</v>
      </c>
      <c r="M748" s="1" t="s">
        <v>14</v>
      </c>
      <c r="N748" s="1">
        <v>0.2</v>
      </c>
      <c r="O748" s="1" t="s">
        <v>82</v>
      </c>
      <c r="P748" s="1" t="s">
        <v>7</v>
      </c>
    </row>
    <row r="749" spans="1:16" x14ac:dyDescent="0.25">
      <c r="A749" s="1">
        <v>860704970</v>
      </c>
      <c r="B749" s="1" t="s">
        <v>24</v>
      </c>
      <c r="C749" s="1" t="s">
        <v>2</v>
      </c>
      <c r="D749" s="1">
        <v>48296</v>
      </c>
      <c r="E749" s="1">
        <v>2608</v>
      </c>
      <c r="F749" s="1">
        <v>39</v>
      </c>
      <c r="G749" s="13">
        <f>Table[[#This Row],[Return Value]]/Table[[#This Row],[Sell Value]]</f>
        <v>1.495398773006135E-2</v>
      </c>
      <c r="H749" s="1" t="s">
        <v>3</v>
      </c>
      <c r="I749" s="1">
        <v>26</v>
      </c>
      <c r="J749" s="14">
        <f>Table[[#This Row],[Sell Value]]*Table[[#This Row],[Selling Price]]</f>
        <v>67808</v>
      </c>
      <c r="K749" s="1" t="s">
        <v>4</v>
      </c>
      <c r="L749" s="1" t="s">
        <v>38</v>
      </c>
      <c r="M749" s="1" t="s">
        <v>59</v>
      </c>
      <c r="N749" s="1">
        <v>0.2</v>
      </c>
      <c r="O749" s="1" t="s">
        <v>82</v>
      </c>
      <c r="P749" s="1" t="s">
        <v>45</v>
      </c>
    </row>
    <row r="750" spans="1:16" x14ac:dyDescent="0.25">
      <c r="A750" s="1">
        <v>653194443</v>
      </c>
      <c r="B750" s="1" t="s">
        <v>27</v>
      </c>
      <c r="C750" s="1" t="s">
        <v>2</v>
      </c>
      <c r="D750" s="1">
        <v>48065</v>
      </c>
      <c r="E750" s="1">
        <v>1550</v>
      </c>
      <c r="F750" s="1">
        <v>38</v>
      </c>
      <c r="G750" s="13">
        <f>Table[[#This Row],[Return Value]]/Table[[#This Row],[Sell Value]]</f>
        <v>2.4516129032258065E-2</v>
      </c>
      <c r="H750" s="1" t="s">
        <v>3</v>
      </c>
      <c r="I750" s="1">
        <v>50</v>
      </c>
      <c r="J750" s="14">
        <f>Table[[#This Row],[Sell Value]]*Table[[#This Row],[Selling Price]]</f>
        <v>77500</v>
      </c>
      <c r="K750" s="1" t="s">
        <v>4</v>
      </c>
      <c r="L750" s="1" t="s">
        <v>41</v>
      </c>
      <c r="M750" s="1" t="s">
        <v>33</v>
      </c>
      <c r="N750" s="1">
        <v>0.2</v>
      </c>
      <c r="O750" s="1" t="s">
        <v>81</v>
      </c>
      <c r="P750" s="1" t="s">
        <v>58</v>
      </c>
    </row>
    <row r="751" spans="1:16" x14ac:dyDescent="0.25">
      <c r="A751" s="1">
        <v>821118799</v>
      </c>
      <c r="B751" s="1" t="s">
        <v>32</v>
      </c>
      <c r="C751" s="1" t="s">
        <v>17</v>
      </c>
      <c r="D751" s="1">
        <v>47513</v>
      </c>
      <c r="E751" s="1">
        <v>4084</v>
      </c>
      <c r="F751" s="1">
        <v>28</v>
      </c>
      <c r="G751" s="13">
        <f>Table[[#This Row],[Return Value]]/Table[[#This Row],[Sell Value]]</f>
        <v>6.8560235063663075E-3</v>
      </c>
      <c r="H751" s="1" t="s">
        <v>3</v>
      </c>
      <c r="I751" s="1">
        <v>45</v>
      </c>
      <c r="J751" s="14">
        <f>Table[[#This Row],[Sell Value]]*Table[[#This Row],[Selling Price]]</f>
        <v>183780</v>
      </c>
      <c r="K751" s="1" t="s">
        <v>4</v>
      </c>
      <c r="L751" s="1" t="s">
        <v>43</v>
      </c>
      <c r="M751" s="1" t="s">
        <v>44</v>
      </c>
      <c r="N751" s="1">
        <v>0.2</v>
      </c>
      <c r="O751" s="1" t="s">
        <v>82</v>
      </c>
      <c r="P751" s="1" t="s">
        <v>66</v>
      </c>
    </row>
    <row r="752" spans="1:16" x14ac:dyDescent="0.25">
      <c r="A752" s="1">
        <v>385402196</v>
      </c>
      <c r="B752" s="1" t="s">
        <v>34</v>
      </c>
      <c r="C752" s="1" t="s">
        <v>2</v>
      </c>
      <c r="D752" s="1">
        <v>48150</v>
      </c>
      <c r="E752" s="1">
        <v>3980</v>
      </c>
      <c r="F752" s="1">
        <v>30</v>
      </c>
      <c r="G752" s="13">
        <f>Table[[#This Row],[Return Value]]/Table[[#This Row],[Sell Value]]</f>
        <v>7.537688442211055E-3</v>
      </c>
      <c r="H752" s="1" t="s">
        <v>3</v>
      </c>
      <c r="I752" s="1">
        <v>27</v>
      </c>
      <c r="J752" s="14">
        <f>Table[[#This Row],[Sell Value]]*Table[[#This Row],[Selling Price]]</f>
        <v>107460</v>
      </c>
      <c r="K752" s="1" t="s">
        <v>4</v>
      </c>
      <c r="L752" s="1" t="s">
        <v>47</v>
      </c>
      <c r="M752" s="1" t="s">
        <v>6</v>
      </c>
      <c r="N752" s="1">
        <v>0.2</v>
      </c>
      <c r="O752" s="1" t="s">
        <v>82</v>
      </c>
      <c r="P752" s="1" t="s">
        <v>66</v>
      </c>
    </row>
    <row r="753" spans="1:16" x14ac:dyDescent="0.25">
      <c r="A753" s="1">
        <v>924304748</v>
      </c>
      <c r="B753" s="1" t="s">
        <v>37</v>
      </c>
      <c r="C753" s="1" t="s">
        <v>17</v>
      </c>
      <c r="D753" s="1">
        <v>47819</v>
      </c>
      <c r="E753" s="1">
        <v>3362</v>
      </c>
      <c r="F753" s="1">
        <v>45</v>
      </c>
      <c r="G753" s="13">
        <f>Table[[#This Row],[Return Value]]/Table[[#This Row],[Sell Value]]</f>
        <v>1.338488994646044E-2</v>
      </c>
      <c r="H753" s="1" t="s">
        <v>3</v>
      </c>
      <c r="I753" s="1">
        <v>43</v>
      </c>
      <c r="J753" s="14">
        <f>Table[[#This Row],[Sell Value]]*Table[[#This Row],[Selling Price]]</f>
        <v>144566</v>
      </c>
      <c r="K753" s="1" t="s">
        <v>4</v>
      </c>
      <c r="L753" s="1" t="s">
        <v>51</v>
      </c>
      <c r="M753" s="1" t="s">
        <v>22</v>
      </c>
      <c r="N753" s="1">
        <v>0.2</v>
      </c>
      <c r="O753" s="1" t="s">
        <v>82</v>
      </c>
      <c r="P753" s="1" t="s">
        <v>39</v>
      </c>
    </row>
    <row r="754" spans="1:16" x14ac:dyDescent="0.25">
      <c r="A754" s="1">
        <v>224737619</v>
      </c>
      <c r="B754" s="1" t="s">
        <v>40</v>
      </c>
      <c r="C754" s="1" t="s">
        <v>17</v>
      </c>
      <c r="D754" s="1">
        <v>48372</v>
      </c>
      <c r="E754" s="1">
        <v>1461</v>
      </c>
      <c r="F754" s="1">
        <v>37</v>
      </c>
      <c r="G754" s="13">
        <f>Table[[#This Row],[Return Value]]/Table[[#This Row],[Sell Value]]</f>
        <v>2.5325119780971937E-2</v>
      </c>
      <c r="H754" s="1" t="s">
        <v>3</v>
      </c>
      <c r="I754" s="1">
        <v>40</v>
      </c>
      <c r="J754" s="14">
        <f>Table[[#This Row],[Sell Value]]*Table[[#This Row],[Selling Price]]</f>
        <v>58440</v>
      </c>
      <c r="K754" s="1" t="s">
        <v>4</v>
      </c>
      <c r="L754" s="1" t="s">
        <v>54</v>
      </c>
      <c r="M754" s="1" t="s">
        <v>48</v>
      </c>
      <c r="N754" s="1">
        <v>0.2</v>
      </c>
      <c r="O754" s="1" t="s">
        <v>81</v>
      </c>
      <c r="P754" s="1" t="s">
        <v>11</v>
      </c>
    </row>
    <row r="755" spans="1:16" x14ac:dyDescent="0.25">
      <c r="A755" s="1">
        <v>270780833</v>
      </c>
      <c r="B755" s="1" t="s">
        <v>42</v>
      </c>
      <c r="C755" s="1" t="s">
        <v>2</v>
      </c>
      <c r="D755" s="1">
        <v>48088</v>
      </c>
      <c r="E755" s="1">
        <v>2327</v>
      </c>
      <c r="F755" s="1">
        <v>41</v>
      </c>
      <c r="G755" s="13">
        <f>Table[[#This Row],[Return Value]]/Table[[#This Row],[Sell Value]]</f>
        <v>1.7619252256123763E-2</v>
      </c>
      <c r="H755" s="1" t="s">
        <v>3</v>
      </c>
      <c r="I755" s="1">
        <v>24</v>
      </c>
      <c r="J755" s="14">
        <f>Table[[#This Row],[Sell Value]]*Table[[#This Row],[Selling Price]]</f>
        <v>55848</v>
      </c>
      <c r="K755" s="1" t="s">
        <v>4</v>
      </c>
      <c r="L755" s="1" t="s">
        <v>57</v>
      </c>
      <c r="M755" s="1" t="s">
        <v>30</v>
      </c>
      <c r="N755" s="1">
        <v>0.2</v>
      </c>
      <c r="O755" s="1" t="s">
        <v>82</v>
      </c>
      <c r="P755" s="1" t="s">
        <v>52</v>
      </c>
    </row>
    <row r="756" spans="1:16" x14ac:dyDescent="0.25">
      <c r="A756" s="1">
        <v>669819417</v>
      </c>
      <c r="B756" s="1" t="s">
        <v>46</v>
      </c>
      <c r="C756" s="1" t="s">
        <v>2</v>
      </c>
      <c r="D756" s="1">
        <v>47488</v>
      </c>
      <c r="E756" s="1">
        <v>4748</v>
      </c>
      <c r="F756" s="1">
        <v>29</v>
      </c>
      <c r="G756" s="13">
        <f>Table[[#This Row],[Return Value]]/Table[[#This Row],[Sell Value]]</f>
        <v>6.1078348778433027E-3</v>
      </c>
      <c r="H756" s="1" t="s">
        <v>3</v>
      </c>
      <c r="I756" s="1">
        <v>45</v>
      </c>
      <c r="J756" s="14">
        <f>Table[[#This Row],[Sell Value]]*Table[[#This Row],[Selling Price]]</f>
        <v>213660</v>
      </c>
      <c r="K756" s="1" t="s">
        <v>4</v>
      </c>
      <c r="L756" s="1" t="s">
        <v>5</v>
      </c>
      <c r="M756" s="1" t="s">
        <v>44</v>
      </c>
      <c r="N756" s="1">
        <v>0.2</v>
      </c>
      <c r="O756" s="1" t="s">
        <v>81</v>
      </c>
      <c r="P756" s="1" t="s">
        <v>45</v>
      </c>
    </row>
    <row r="757" spans="1:16" x14ac:dyDescent="0.25">
      <c r="A757" s="1">
        <v>640394490</v>
      </c>
      <c r="B757" s="1" t="s">
        <v>12</v>
      </c>
      <c r="C757" s="1" t="s">
        <v>2</v>
      </c>
      <c r="D757" s="1">
        <v>48106</v>
      </c>
      <c r="E757" s="1">
        <v>1457</v>
      </c>
      <c r="F757" s="1">
        <v>23</v>
      </c>
      <c r="G757" s="13">
        <f>Table[[#This Row],[Return Value]]/Table[[#This Row],[Sell Value]]</f>
        <v>1.5785861358956762E-2</v>
      </c>
      <c r="H757" s="1" t="s">
        <v>3</v>
      </c>
      <c r="I757" s="1">
        <v>22</v>
      </c>
      <c r="J757" s="14">
        <f>Table[[#This Row],[Sell Value]]*Table[[#This Row],[Selling Price]]</f>
        <v>32054</v>
      </c>
      <c r="K757" s="1" t="s">
        <v>4</v>
      </c>
      <c r="L757" s="1" t="s">
        <v>9</v>
      </c>
      <c r="M757" s="1" t="s">
        <v>22</v>
      </c>
      <c r="N757" s="1">
        <v>0.2</v>
      </c>
      <c r="O757" s="1" t="s">
        <v>81</v>
      </c>
      <c r="P757" s="1" t="s">
        <v>60</v>
      </c>
    </row>
    <row r="758" spans="1:16" x14ac:dyDescent="0.25">
      <c r="A758" s="1">
        <v>483519368</v>
      </c>
      <c r="B758" s="1" t="s">
        <v>16</v>
      </c>
      <c r="C758" s="1" t="s">
        <v>17</v>
      </c>
      <c r="D758" s="1">
        <v>47524</v>
      </c>
      <c r="E758" s="1">
        <v>2691</v>
      </c>
      <c r="F758" s="1">
        <v>23</v>
      </c>
      <c r="G758" s="13">
        <f>Table[[#This Row],[Return Value]]/Table[[#This Row],[Sell Value]]</f>
        <v>8.5470085470085479E-3</v>
      </c>
      <c r="H758" s="1" t="s">
        <v>3</v>
      </c>
      <c r="I758" s="1">
        <v>34</v>
      </c>
      <c r="J758" s="14">
        <f>Table[[#This Row],[Sell Value]]*Table[[#This Row],[Selling Price]]</f>
        <v>91494</v>
      </c>
      <c r="K758" s="1" t="s">
        <v>4</v>
      </c>
      <c r="L758" s="1" t="s">
        <v>13</v>
      </c>
      <c r="M758" s="1" t="s">
        <v>61</v>
      </c>
      <c r="N758" s="1">
        <v>0.2</v>
      </c>
      <c r="O758" s="1" t="s">
        <v>81</v>
      </c>
      <c r="P758" s="1" t="s">
        <v>36</v>
      </c>
    </row>
    <row r="759" spans="1:16" x14ac:dyDescent="0.25">
      <c r="A759" s="1">
        <v>530391480</v>
      </c>
      <c r="B759" s="1" t="s">
        <v>20</v>
      </c>
      <c r="C759" s="1" t="s">
        <v>17</v>
      </c>
      <c r="D759" s="1">
        <v>47520</v>
      </c>
      <c r="E759" s="1">
        <v>4384</v>
      </c>
      <c r="F759" s="1">
        <v>43</v>
      </c>
      <c r="G759" s="13">
        <f>Table[[#This Row],[Return Value]]/Table[[#This Row],[Sell Value]]</f>
        <v>9.8083941605839418E-3</v>
      </c>
      <c r="H759" s="1" t="s">
        <v>3</v>
      </c>
      <c r="I759" s="1">
        <v>43</v>
      </c>
      <c r="J759" s="14">
        <f>Table[[#This Row],[Sell Value]]*Table[[#This Row],[Selling Price]]</f>
        <v>188512</v>
      </c>
      <c r="K759" s="1" t="s">
        <v>4</v>
      </c>
      <c r="L759" s="1" t="s">
        <v>18</v>
      </c>
      <c r="M759" s="1" t="s">
        <v>26</v>
      </c>
      <c r="N759" s="1">
        <v>0.2</v>
      </c>
      <c r="O759" s="1" t="s">
        <v>82</v>
      </c>
      <c r="P759" s="1" t="s">
        <v>36</v>
      </c>
    </row>
    <row r="760" spans="1:16" x14ac:dyDescent="0.25">
      <c r="A760" s="1">
        <v>829891994</v>
      </c>
      <c r="B760" s="1" t="s">
        <v>24</v>
      </c>
      <c r="C760" s="1" t="s">
        <v>2</v>
      </c>
      <c r="D760" s="1">
        <v>47542</v>
      </c>
      <c r="E760" s="1">
        <v>4390</v>
      </c>
      <c r="F760" s="1">
        <v>47</v>
      </c>
      <c r="G760" s="13">
        <f>Table[[#This Row],[Return Value]]/Table[[#This Row],[Sell Value]]</f>
        <v>1.070615034168565E-2</v>
      </c>
      <c r="H760" s="1" t="s">
        <v>3</v>
      </c>
      <c r="I760" s="1">
        <v>21</v>
      </c>
      <c r="J760" s="14">
        <f>Table[[#This Row],[Sell Value]]*Table[[#This Row],[Selling Price]]</f>
        <v>92190</v>
      </c>
      <c r="K760" s="1" t="s">
        <v>4</v>
      </c>
      <c r="L760" s="1" t="s">
        <v>21</v>
      </c>
      <c r="M760" s="1" t="s">
        <v>22</v>
      </c>
      <c r="N760" s="1">
        <v>0.2</v>
      </c>
      <c r="O760" s="1" t="s">
        <v>81</v>
      </c>
      <c r="P760" s="1" t="s">
        <v>58</v>
      </c>
    </row>
    <row r="761" spans="1:16" x14ac:dyDescent="0.25">
      <c r="A761" s="1">
        <v>397599962</v>
      </c>
      <c r="B761" s="1" t="s">
        <v>27</v>
      </c>
      <c r="C761" s="1" t="s">
        <v>2</v>
      </c>
      <c r="D761" s="1">
        <v>48059</v>
      </c>
      <c r="E761" s="1">
        <v>4355</v>
      </c>
      <c r="F761" s="1">
        <v>50</v>
      </c>
      <c r="G761" s="13">
        <f>Table[[#This Row],[Return Value]]/Table[[#This Row],[Sell Value]]</f>
        <v>1.1481056257175661E-2</v>
      </c>
      <c r="H761" s="1" t="s">
        <v>3</v>
      </c>
      <c r="I761" s="1">
        <v>31</v>
      </c>
      <c r="J761" s="14">
        <f>Table[[#This Row],[Sell Value]]*Table[[#This Row],[Selling Price]]</f>
        <v>135005</v>
      </c>
      <c r="K761" s="1" t="s">
        <v>4</v>
      </c>
      <c r="L761" s="1" t="s">
        <v>25</v>
      </c>
      <c r="M761" s="1" t="s">
        <v>10</v>
      </c>
      <c r="N761" s="1">
        <v>0.2</v>
      </c>
      <c r="O761" s="1" t="s">
        <v>81</v>
      </c>
      <c r="P761" s="1" t="s">
        <v>67</v>
      </c>
    </row>
    <row r="762" spans="1:16" x14ac:dyDescent="0.25">
      <c r="A762" s="1">
        <v>446236210</v>
      </c>
      <c r="B762" s="1" t="s">
        <v>32</v>
      </c>
      <c r="C762" s="1" t="s">
        <v>17</v>
      </c>
      <c r="D762" s="1">
        <v>48503</v>
      </c>
      <c r="E762" s="1">
        <v>2721</v>
      </c>
      <c r="F762" s="1">
        <v>35</v>
      </c>
      <c r="G762" s="13">
        <f>Table[[#This Row],[Return Value]]/Table[[#This Row],[Sell Value]]</f>
        <v>1.2862918044836457E-2</v>
      </c>
      <c r="H762" s="1" t="s">
        <v>70</v>
      </c>
      <c r="I762" s="1">
        <v>25</v>
      </c>
      <c r="J762" s="14">
        <f>Table[[#This Row],[Sell Value]]*Table[[#This Row],[Selling Price]]</f>
        <v>68025</v>
      </c>
      <c r="K762" s="1" t="s">
        <v>71</v>
      </c>
      <c r="L762" s="1" t="s">
        <v>29</v>
      </c>
      <c r="M762" s="1" t="s">
        <v>48</v>
      </c>
      <c r="N762" s="1">
        <v>0.2</v>
      </c>
      <c r="O762" s="1" t="s">
        <v>82</v>
      </c>
      <c r="P762" s="1" t="s">
        <v>66</v>
      </c>
    </row>
    <row r="763" spans="1:16" x14ac:dyDescent="0.25">
      <c r="A763" s="1">
        <v>55216453</v>
      </c>
      <c r="B763" s="1" t="s">
        <v>34</v>
      </c>
      <c r="C763" s="1" t="s">
        <v>2</v>
      </c>
      <c r="D763" s="1">
        <v>47901</v>
      </c>
      <c r="E763" s="1">
        <v>3867</v>
      </c>
      <c r="F763" s="1">
        <v>17</v>
      </c>
      <c r="G763" s="13">
        <f>Table[[#This Row],[Return Value]]/Table[[#This Row],[Sell Value]]</f>
        <v>4.3961727437289893E-3</v>
      </c>
      <c r="H763" s="1" t="s">
        <v>3</v>
      </c>
      <c r="I763" s="1">
        <v>44</v>
      </c>
      <c r="J763" s="14">
        <f>Table[[#This Row],[Sell Value]]*Table[[#This Row],[Selling Price]]</f>
        <v>170148</v>
      </c>
      <c r="K763" s="1" t="s">
        <v>4</v>
      </c>
      <c r="L763" s="1" t="s">
        <v>29</v>
      </c>
      <c r="M763" s="1" t="s">
        <v>6</v>
      </c>
      <c r="N763" s="1">
        <v>0.2</v>
      </c>
      <c r="O763" s="1" t="s">
        <v>82</v>
      </c>
      <c r="P763" s="1" t="s">
        <v>7</v>
      </c>
    </row>
    <row r="764" spans="1:16" x14ac:dyDescent="0.25">
      <c r="A764" s="1">
        <v>202941633</v>
      </c>
      <c r="B764" s="1" t="s">
        <v>37</v>
      </c>
      <c r="C764" s="1" t="s">
        <v>17</v>
      </c>
      <c r="D764" s="1">
        <v>47792</v>
      </c>
      <c r="E764" s="1">
        <v>2858</v>
      </c>
      <c r="F764" s="1">
        <v>41</v>
      </c>
      <c r="G764" s="13">
        <f>Table[[#This Row],[Return Value]]/Table[[#This Row],[Sell Value]]</f>
        <v>1.4345696291112667E-2</v>
      </c>
      <c r="H764" s="1" t="s">
        <v>3</v>
      </c>
      <c r="I764" s="1">
        <v>45</v>
      </c>
      <c r="J764" s="14">
        <f>Table[[#This Row],[Sell Value]]*Table[[#This Row],[Selling Price]]</f>
        <v>128610</v>
      </c>
      <c r="K764" s="1" t="s">
        <v>4</v>
      </c>
      <c r="L764" s="1" t="s">
        <v>35</v>
      </c>
      <c r="M764" s="1" t="s">
        <v>6</v>
      </c>
      <c r="N764" s="1">
        <v>0.2</v>
      </c>
      <c r="O764" s="1" t="s">
        <v>81</v>
      </c>
      <c r="P764" s="1" t="s">
        <v>66</v>
      </c>
    </row>
    <row r="765" spans="1:16" x14ac:dyDescent="0.25">
      <c r="A765" s="1">
        <v>674171804</v>
      </c>
      <c r="B765" s="1" t="s">
        <v>40</v>
      </c>
      <c r="C765" s="1" t="s">
        <v>17</v>
      </c>
      <c r="D765" s="1">
        <v>48396</v>
      </c>
      <c r="E765" s="1">
        <v>4065</v>
      </c>
      <c r="F765" s="1">
        <v>34</v>
      </c>
      <c r="G765" s="13">
        <f>Table[[#This Row],[Return Value]]/Table[[#This Row],[Sell Value]]</f>
        <v>8.3640836408364078E-3</v>
      </c>
      <c r="H765" s="1" t="s">
        <v>3</v>
      </c>
      <c r="I765" s="1">
        <v>22</v>
      </c>
      <c r="J765" s="14">
        <f>Table[[#This Row],[Sell Value]]*Table[[#This Row],[Selling Price]]</f>
        <v>89430</v>
      </c>
      <c r="K765" s="1" t="s">
        <v>4</v>
      </c>
      <c r="L765" s="1" t="s">
        <v>38</v>
      </c>
      <c r="M765" s="1" t="s">
        <v>33</v>
      </c>
      <c r="N765" s="1">
        <v>0.2</v>
      </c>
      <c r="O765" s="1" t="s">
        <v>82</v>
      </c>
      <c r="P765" s="1" t="s">
        <v>39</v>
      </c>
    </row>
    <row r="766" spans="1:16" x14ac:dyDescent="0.25">
      <c r="A766" s="1">
        <v>157973318</v>
      </c>
      <c r="B766" s="1" t="s">
        <v>42</v>
      </c>
      <c r="C766" s="1" t="s">
        <v>2</v>
      </c>
      <c r="D766" s="1">
        <v>47881</v>
      </c>
      <c r="E766" s="1">
        <v>4422</v>
      </c>
      <c r="F766" s="1">
        <v>23</v>
      </c>
      <c r="G766" s="13">
        <f>Table[[#This Row],[Return Value]]/Table[[#This Row],[Sell Value]]</f>
        <v>5.2012663952962458E-3</v>
      </c>
      <c r="H766" s="1" t="s">
        <v>3</v>
      </c>
      <c r="I766" s="1">
        <v>44</v>
      </c>
      <c r="J766" s="14">
        <f>Table[[#This Row],[Sell Value]]*Table[[#This Row],[Selling Price]]</f>
        <v>194568</v>
      </c>
      <c r="K766" s="1" t="s">
        <v>4</v>
      </c>
      <c r="L766" s="1" t="s">
        <v>41</v>
      </c>
      <c r="M766" s="1" t="s">
        <v>22</v>
      </c>
      <c r="N766" s="1">
        <v>0.2</v>
      </c>
      <c r="O766" s="1" t="s">
        <v>82</v>
      </c>
      <c r="P766" s="1" t="s">
        <v>45</v>
      </c>
    </row>
    <row r="767" spans="1:16" x14ac:dyDescent="0.25">
      <c r="A767" s="1">
        <v>825040602</v>
      </c>
      <c r="B767" s="1" t="s">
        <v>46</v>
      </c>
      <c r="C767" s="1" t="s">
        <v>2</v>
      </c>
      <c r="D767" s="1">
        <v>47990</v>
      </c>
      <c r="E767" s="1">
        <v>2865</v>
      </c>
      <c r="F767" s="1">
        <v>11</v>
      </c>
      <c r="G767" s="13">
        <f>Table[[#This Row],[Return Value]]/Table[[#This Row],[Sell Value]]</f>
        <v>3.8394415357766143E-3</v>
      </c>
      <c r="H767" s="1" t="s">
        <v>3</v>
      </c>
      <c r="I767" s="1">
        <v>27</v>
      </c>
      <c r="J767" s="14">
        <f>Table[[#This Row],[Sell Value]]*Table[[#This Row],[Selling Price]]</f>
        <v>77355</v>
      </c>
      <c r="K767" s="1" t="s">
        <v>4</v>
      </c>
      <c r="L767" s="1" t="s">
        <v>43</v>
      </c>
      <c r="M767" s="1" t="s">
        <v>61</v>
      </c>
      <c r="N767" s="1">
        <v>0.2</v>
      </c>
      <c r="O767" s="1" t="s">
        <v>82</v>
      </c>
      <c r="P767" s="1" t="s">
        <v>45</v>
      </c>
    </row>
    <row r="768" spans="1:16" x14ac:dyDescent="0.25">
      <c r="A768" s="1">
        <v>709356251</v>
      </c>
      <c r="B768" s="1" t="s">
        <v>50</v>
      </c>
      <c r="C768" s="1" t="s">
        <v>2</v>
      </c>
      <c r="D768" s="1">
        <v>48410</v>
      </c>
      <c r="E768" s="1">
        <v>2011</v>
      </c>
      <c r="F768" s="1">
        <v>38</v>
      </c>
      <c r="G768" s="13">
        <f>Table[[#This Row],[Return Value]]/Table[[#This Row],[Sell Value]]</f>
        <v>1.8896071606166086E-2</v>
      </c>
      <c r="H768" s="1" t="s">
        <v>3</v>
      </c>
      <c r="I768" s="1">
        <v>40</v>
      </c>
      <c r="J768" s="14">
        <f>Table[[#This Row],[Sell Value]]*Table[[#This Row],[Selling Price]]</f>
        <v>80440</v>
      </c>
      <c r="K768" s="1" t="s">
        <v>4</v>
      </c>
      <c r="L768" s="1" t="s">
        <v>47</v>
      </c>
      <c r="M768" s="1" t="s">
        <v>10</v>
      </c>
      <c r="N768" s="1">
        <v>0.2</v>
      </c>
      <c r="O768" s="1" t="s">
        <v>82</v>
      </c>
      <c r="P768" s="1" t="s">
        <v>49</v>
      </c>
    </row>
    <row r="769" spans="1:16" x14ac:dyDescent="0.25">
      <c r="A769" s="1">
        <v>95818469</v>
      </c>
      <c r="B769" s="1" t="s">
        <v>53</v>
      </c>
      <c r="C769" s="1" t="s">
        <v>2</v>
      </c>
      <c r="D769" s="1">
        <v>47840</v>
      </c>
      <c r="E769" s="1">
        <v>1906</v>
      </c>
      <c r="F769" s="1">
        <v>29</v>
      </c>
      <c r="G769" s="13">
        <f>Table[[#This Row],[Return Value]]/Table[[#This Row],[Sell Value]]</f>
        <v>1.5215110178384051E-2</v>
      </c>
      <c r="H769" s="1" t="s">
        <v>3</v>
      </c>
      <c r="I769" s="1">
        <v>35</v>
      </c>
      <c r="J769" s="14">
        <f>Table[[#This Row],[Sell Value]]*Table[[#This Row],[Selling Price]]</f>
        <v>66710</v>
      </c>
      <c r="K769" s="1" t="s">
        <v>4</v>
      </c>
      <c r="L769" s="1" t="s">
        <v>51</v>
      </c>
      <c r="M769" s="1" t="s">
        <v>59</v>
      </c>
      <c r="N769" s="1">
        <v>0.2</v>
      </c>
      <c r="O769" s="1" t="s">
        <v>82</v>
      </c>
      <c r="P769" s="1" t="s">
        <v>45</v>
      </c>
    </row>
    <row r="770" spans="1:16" x14ac:dyDescent="0.25">
      <c r="A770" s="1">
        <v>983907638</v>
      </c>
      <c r="B770" s="1" t="s">
        <v>56</v>
      </c>
      <c r="C770" s="1" t="s">
        <v>2</v>
      </c>
      <c r="D770" s="1">
        <v>48526</v>
      </c>
      <c r="E770" s="1">
        <v>3466</v>
      </c>
      <c r="F770" s="1">
        <v>41</v>
      </c>
      <c r="G770" s="13">
        <f>Table[[#This Row],[Return Value]]/Table[[#This Row],[Sell Value]]</f>
        <v>1.1829197922677438E-2</v>
      </c>
      <c r="H770" s="1" t="s">
        <v>3</v>
      </c>
      <c r="I770" s="1">
        <v>47</v>
      </c>
      <c r="J770" s="14">
        <f>Table[[#This Row],[Sell Value]]*Table[[#This Row],[Selling Price]]</f>
        <v>162902</v>
      </c>
      <c r="K770" s="1" t="s">
        <v>4</v>
      </c>
      <c r="L770" s="1" t="s">
        <v>54</v>
      </c>
      <c r="M770" s="1" t="s">
        <v>14</v>
      </c>
      <c r="N770" s="1">
        <v>0.2</v>
      </c>
      <c r="O770" s="1" t="s">
        <v>82</v>
      </c>
      <c r="P770" s="1" t="s">
        <v>31</v>
      </c>
    </row>
    <row r="771" spans="1:16" x14ac:dyDescent="0.25">
      <c r="A771" s="1">
        <v>862858059</v>
      </c>
      <c r="B771" s="1" t="s">
        <v>1</v>
      </c>
      <c r="C771" s="1" t="s">
        <v>2</v>
      </c>
      <c r="D771" s="1">
        <v>47864</v>
      </c>
      <c r="E771" s="1">
        <v>4507</v>
      </c>
      <c r="F771" s="1">
        <v>50</v>
      </c>
      <c r="G771" s="13">
        <f>Table[[#This Row],[Return Value]]/Table[[#This Row],[Sell Value]]</f>
        <v>1.1093854004881295E-2</v>
      </c>
      <c r="H771" s="1" t="s">
        <v>3</v>
      </c>
      <c r="I771" s="1">
        <v>39</v>
      </c>
      <c r="J771" s="14">
        <f>Table[[#This Row],[Sell Value]]*Table[[#This Row],[Selling Price]]</f>
        <v>175773</v>
      </c>
      <c r="K771" s="1" t="s">
        <v>4</v>
      </c>
      <c r="L771" s="1" t="s">
        <v>57</v>
      </c>
      <c r="M771" s="1" t="s">
        <v>59</v>
      </c>
      <c r="N771" s="1">
        <v>0.2</v>
      </c>
      <c r="O771" s="1" t="s">
        <v>81</v>
      </c>
      <c r="P771" s="1" t="s">
        <v>49</v>
      </c>
    </row>
    <row r="772" spans="1:16" x14ac:dyDescent="0.25">
      <c r="A772" s="1">
        <v>793077513</v>
      </c>
      <c r="B772" s="1" t="s">
        <v>8</v>
      </c>
      <c r="C772" s="1" t="s">
        <v>2</v>
      </c>
      <c r="D772" s="1">
        <v>48013</v>
      </c>
      <c r="E772" s="1">
        <v>2636</v>
      </c>
      <c r="F772" s="1">
        <v>36</v>
      </c>
      <c r="G772" s="13">
        <f>Table[[#This Row],[Return Value]]/Table[[#This Row],[Sell Value]]</f>
        <v>1.3657056145675266E-2</v>
      </c>
      <c r="H772" s="1" t="s">
        <v>3</v>
      </c>
      <c r="I772" s="1">
        <v>44</v>
      </c>
      <c r="J772" s="14">
        <f>Table[[#This Row],[Sell Value]]*Table[[#This Row],[Selling Price]]</f>
        <v>115984</v>
      </c>
      <c r="K772" s="1" t="s">
        <v>4</v>
      </c>
      <c r="L772" s="1" t="s">
        <v>5</v>
      </c>
      <c r="M772" s="1" t="s">
        <v>30</v>
      </c>
      <c r="N772" s="1">
        <v>0.2</v>
      </c>
      <c r="O772" s="1" t="s">
        <v>81</v>
      </c>
      <c r="P772" s="1" t="s">
        <v>7</v>
      </c>
    </row>
    <row r="773" spans="1:16" x14ac:dyDescent="0.25">
      <c r="A773" s="1">
        <v>25453052</v>
      </c>
      <c r="B773" s="1" t="s">
        <v>12</v>
      </c>
      <c r="C773" s="1" t="s">
        <v>2</v>
      </c>
      <c r="D773" s="1">
        <v>48087</v>
      </c>
      <c r="E773" s="1">
        <v>3434</v>
      </c>
      <c r="F773" s="1">
        <v>47</v>
      </c>
      <c r="G773" s="13">
        <f>Table[[#This Row],[Return Value]]/Table[[#This Row],[Sell Value]]</f>
        <v>1.3686662783925451E-2</v>
      </c>
      <c r="H773" s="1" t="s">
        <v>3</v>
      </c>
      <c r="I773" s="1">
        <v>31</v>
      </c>
      <c r="J773" s="14">
        <f>Table[[#This Row],[Sell Value]]*Table[[#This Row],[Selling Price]]</f>
        <v>106454</v>
      </c>
      <c r="K773" s="1" t="s">
        <v>4</v>
      </c>
      <c r="L773" s="1" t="s">
        <v>9</v>
      </c>
      <c r="M773" s="1" t="s">
        <v>10</v>
      </c>
      <c r="N773" s="1">
        <v>0.2</v>
      </c>
      <c r="O773" s="1" t="s">
        <v>81</v>
      </c>
      <c r="P773" s="1" t="s">
        <v>65</v>
      </c>
    </row>
    <row r="774" spans="1:16" x14ac:dyDescent="0.25">
      <c r="A774" s="1">
        <v>221808921</v>
      </c>
      <c r="B774" s="1" t="s">
        <v>16</v>
      </c>
      <c r="C774" s="1" t="s">
        <v>17</v>
      </c>
      <c r="D774" s="1">
        <v>47663</v>
      </c>
      <c r="E774" s="1">
        <v>1078</v>
      </c>
      <c r="F774" s="1">
        <v>38</v>
      </c>
      <c r="G774" s="13">
        <f>Table[[#This Row],[Return Value]]/Table[[#This Row],[Sell Value]]</f>
        <v>3.525046382189239E-2</v>
      </c>
      <c r="H774" s="1" t="s">
        <v>3</v>
      </c>
      <c r="I774" s="1">
        <v>23</v>
      </c>
      <c r="J774" s="14">
        <f>Table[[#This Row],[Sell Value]]*Table[[#This Row],[Selling Price]]</f>
        <v>24794</v>
      </c>
      <c r="K774" s="1" t="s">
        <v>4</v>
      </c>
      <c r="L774" s="1" t="s">
        <v>13</v>
      </c>
      <c r="M774" s="1" t="s">
        <v>33</v>
      </c>
      <c r="N774" s="1">
        <v>0.2</v>
      </c>
      <c r="O774" s="1" t="s">
        <v>81</v>
      </c>
      <c r="P774" s="1" t="s">
        <v>62</v>
      </c>
    </row>
    <row r="775" spans="1:16" x14ac:dyDescent="0.25">
      <c r="A775" s="1">
        <v>736805568</v>
      </c>
      <c r="B775" s="1" t="s">
        <v>20</v>
      </c>
      <c r="C775" s="1" t="s">
        <v>17</v>
      </c>
      <c r="D775" s="1">
        <v>48477</v>
      </c>
      <c r="E775" s="1">
        <v>4693</v>
      </c>
      <c r="F775" s="1">
        <v>35</v>
      </c>
      <c r="G775" s="13">
        <f>Table[[#This Row],[Return Value]]/Table[[#This Row],[Sell Value]]</f>
        <v>7.4579160451736628E-3</v>
      </c>
      <c r="H775" s="1" t="s">
        <v>3</v>
      </c>
      <c r="I775" s="1">
        <v>27</v>
      </c>
      <c r="J775" s="14">
        <f>Table[[#This Row],[Sell Value]]*Table[[#This Row],[Selling Price]]</f>
        <v>126711</v>
      </c>
      <c r="K775" s="1" t="s">
        <v>4</v>
      </c>
      <c r="L775" s="1" t="s">
        <v>18</v>
      </c>
      <c r="M775" s="1" t="s">
        <v>59</v>
      </c>
      <c r="N775" s="1">
        <v>0.2</v>
      </c>
      <c r="O775" s="1" t="s">
        <v>81</v>
      </c>
      <c r="P775" s="1" t="s">
        <v>65</v>
      </c>
    </row>
    <row r="776" spans="1:16" x14ac:dyDescent="0.25">
      <c r="A776" s="1">
        <v>282238916</v>
      </c>
      <c r="B776" s="1" t="s">
        <v>24</v>
      </c>
      <c r="C776" s="1" t="s">
        <v>2</v>
      </c>
      <c r="D776" s="1">
        <v>47694</v>
      </c>
      <c r="E776" s="1">
        <v>4373</v>
      </c>
      <c r="F776" s="1">
        <v>24</v>
      </c>
      <c r="G776" s="13">
        <f>Table[[#This Row],[Return Value]]/Table[[#This Row],[Sell Value]]</f>
        <v>5.4882231877429683E-3</v>
      </c>
      <c r="H776" s="1" t="s">
        <v>3</v>
      </c>
      <c r="I776" s="1">
        <v>30</v>
      </c>
      <c r="J776" s="14">
        <f>Table[[#This Row],[Sell Value]]*Table[[#This Row],[Selling Price]]</f>
        <v>131190</v>
      </c>
      <c r="K776" s="1" t="s">
        <v>4</v>
      </c>
      <c r="L776" s="1" t="s">
        <v>21</v>
      </c>
      <c r="M776" s="1" t="s">
        <v>14</v>
      </c>
      <c r="N776" s="1">
        <v>0.2</v>
      </c>
      <c r="O776" s="1" t="s">
        <v>82</v>
      </c>
      <c r="P776" s="1" t="s">
        <v>11</v>
      </c>
    </row>
    <row r="777" spans="1:16" x14ac:dyDescent="0.25">
      <c r="A777" s="1">
        <v>534209154</v>
      </c>
      <c r="B777" s="1" t="s">
        <v>27</v>
      </c>
      <c r="C777" s="1" t="s">
        <v>2</v>
      </c>
      <c r="D777" s="1">
        <v>47783</v>
      </c>
      <c r="E777" s="1">
        <v>3067</v>
      </c>
      <c r="F777" s="1">
        <v>13</v>
      </c>
      <c r="G777" s="13">
        <f>Table[[#This Row],[Return Value]]/Table[[#This Row],[Sell Value]]</f>
        <v>4.2386697098141506E-3</v>
      </c>
      <c r="H777" s="1" t="s">
        <v>3</v>
      </c>
      <c r="I777" s="1">
        <v>39</v>
      </c>
      <c r="J777" s="14">
        <f>Table[[#This Row],[Sell Value]]*Table[[#This Row],[Selling Price]]</f>
        <v>119613</v>
      </c>
      <c r="K777" s="1" t="s">
        <v>4</v>
      </c>
      <c r="L777" s="1" t="s">
        <v>25</v>
      </c>
      <c r="M777" s="1" t="s">
        <v>30</v>
      </c>
      <c r="N777" s="1">
        <v>0.2</v>
      </c>
      <c r="O777" s="1" t="s">
        <v>82</v>
      </c>
      <c r="P777" s="1" t="s">
        <v>58</v>
      </c>
    </row>
    <row r="778" spans="1:16" x14ac:dyDescent="0.25">
      <c r="A778" s="1">
        <v>520884253</v>
      </c>
      <c r="B778" s="1" t="s">
        <v>32</v>
      </c>
      <c r="C778" s="1" t="s">
        <v>17</v>
      </c>
      <c r="D778" s="1">
        <v>47520</v>
      </c>
      <c r="E778" s="1">
        <v>4590</v>
      </c>
      <c r="F778" s="1">
        <v>14</v>
      </c>
      <c r="G778" s="13">
        <f>Table[[#This Row],[Return Value]]/Table[[#This Row],[Sell Value]]</f>
        <v>3.0501089324618735E-3</v>
      </c>
      <c r="H778" s="1" t="s">
        <v>3</v>
      </c>
      <c r="I778" s="1">
        <v>30</v>
      </c>
      <c r="J778" s="14">
        <f>Table[[#This Row],[Sell Value]]*Table[[#This Row],[Selling Price]]</f>
        <v>137700</v>
      </c>
      <c r="K778" s="1" t="s">
        <v>4</v>
      </c>
      <c r="L778" s="1" t="s">
        <v>29</v>
      </c>
      <c r="M778" s="1" t="s">
        <v>30</v>
      </c>
      <c r="N778" s="1">
        <v>0.2</v>
      </c>
      <c r="O778" s="1" t="s">
        <v>81</v>
      </c>
      <c r="P778" s="1" t="s">
        <v>52</v>
      </c>
    </row>
    <row r="779" spans="1:16" x14ac:dyDescent="0.25">
      <c r="A779" s="1">
        <v>240809617</v>
      </c>
      <c r="B779" s="1" t="s">
        <v>34</v>
      </c>
      <c r="C779" s="1" t="s">
        <v>2</v>
      </c>
      <c r="D779" s="1">
        <v>48075</v>
      </c>
      <c r="E779" s="1">
        <v>2724</v>
      </c>
      <c r="F779" s="1">
        <v>32</v>
      </c>
      <c r="G779" s="13">
        <f>Table[[#This Row],[Return Value]]/Table[[#This Row],[Sell Value]]</f>
        <v>1.1747430249632892E-2</v>
      </c>
      <c r="H779" s="1" t="s">
        <v>3</v>
      </c>
      <c r="I779" s="1">
        <v>47</v>
      </c>
      <c r="J779" s="14">
        <f>Table[[#This Row],[Sell Value]]*Table[[#This Row],[Selling Price]]</f>
        <v>128028</v>
      </c>
      <c r="K779" s="1" t="s">
        <v>4</v>
      </c>
      <c r="L779" s="1" t="s">
        <v>29</v>
      </c>
      <c r="M779" s="1" t="s">
        <v>44</v>
      </c>
      <c r="N779" s="1">
        <v>0.2</v>
      </c>
      <c r="O779" s="1" t="s">
        <v>82</v>
      </c>
      <c r="P779" s="1" t="s">
        <v>15</v>
      </c>
    </row>
    <row r="780" spans="1:16" x14ac:dyDescent="0.25">
      <c r="A780" s="1">
        <v>832168829</v>
      </c>
      <c r="B780" s="1" t="s">
        <v>37</v>
      </c>
      <c r="C780" s="1" t="s">
        <v>17</v>
      </c>
      <c r="D780" s="1">
        <v>48128</v>
      </c>
      <c r="E780" s="1">
        <v>3869</v>
      </c>
      <c r="F780" s="1">
        <v>32</v>
      </c>
      <c r="G780" s="13">
        <f>Table[[#This Row],[Return Value]]/Table[[#This Row],[Sell Value]]</f>
        <v>8.2708710261049367E-3</v>
      </c>
      <c r="H780" s="1" t="s">
        <v>3</v>
      </c>
      <c r="I780" s="1">
        <v>20</v>
      </c>
      <c r="J780" s="14">
        <f>Table[[#This Row],[Sell Value]]*Table[[#This Row],[Selling Price]]</f>
        <v>77380</v>
      </c>
      <c r="K780" s="1" t="s">
        <v>4</v>
      </c>
      <c r="L780" s="1" t="s">
        <v>35</v>
      </c>
      <c r="M780" s="1" t="s">
        <v>14</v>
      </c>
      <c r="N780" s="1">
        <v>0.2</v>
      </c>
      <c r="O780" s="1" t="s">
        <v>81</v>
      </c>
      <c r="P780" s="1" t="s">
        <v>45</v>
      </c>
    </row>
    <row r="781" spans="1:16" x14ac:dyDescent="0.25">
      <c r="A781" s="1">
        <v>168209471</v>
      </c>
      <c r="B781" s="1" t="s">
        <v>40</v>
      </c>
      <c r="C781" s="1" t="s">
        <v>17</v>
      </c>
      <c r="D781" s="1">
        <v>47687</v>
      </c>
      <c r="E781" s="1">
        <v>1351</v>
      </c>
      <c r="F781" s="1">
        <v>45</v>
      </c>
      <c r="G781" s="13">
        <f>Table[[#This Row],[Return Value]]/Table[[#This Row],[Sell Value]]</f>
        <v>3.3308660251665435E-2</v>
      </c>
      <c r="H781" s="1" t="s">
        <v>3</v>
      </c>
      <c r="I781" s="1">
        <v>36</v>
      </c>
      <c r="J781" s="14">
        <f>Table[[#This Row],[Sell Value]]*Table[[#This Row],[Selling Price]]</f>
        <v>48636</v>
      </c>
      <c r="K781" s="1" t="s">
        <v>4</v>
      </c>
      <c r="L781" s="1" t="s">
        <v>38</v>
      </c>
      <c r="M781" s="1" t="s">
        <v>48</v>
      </c>
      <c r="N781" s="1">
        <v>0.2</v>
      </c>
      <c r="O781" s="1" t="s">
        <v>81</v>
      </c>
      <c r="P781" s="1" t="s">
        <v>55</v>
      </c>
    </row>
    <row r="782" spans="1:16" x14ac:dyDescent="0.25">
      <c r="A782" s="1">
        <v>759152309</v>
      </c>
      <c r="B782" s="1" t="s">
        <v>42</v>
      </c>
      <c r="C782" s="1" t="s">
        <v>2</v>
      </c>
      <c r="D782" s="1">
        <v>48435</v>
      </c>
      <c r="E782" s="1">
        <v>1866</v>
      </c>
      <c r="F782" s="1">
        <v>14</v>
      </c>
      <c r="G782" s="13">
        <f>Table[[#This Row],[Return Value]]/Table[[#This Row],[Sell Value]]</f>
        <v>7.502679528403001E-3</v>
      </c>
      <c r="H782" s="1" t="s">
        <v>3</v>
      </c>
      <c r="I782" s="1">
        <v>36</v>
      </c>
      <c r="J782" s="14">
        <f>Table[[#This Row],[Sell Value]]*Table[[#This Row],[Selling Price]]</f>
        <v>67176</v>
      </c>
      <c r="K782" s="1" t="s">
        <v>4</v>
      </c>
      <c r="L782" s="1" t="s">
        <v>41</v>
      </c>
      <c r="M782" s="1" t="s">
        <v>22</v>
      </c>
      <c r="N782" s="1">
        <v>0.2</v>
      </c>
      <c r="O782" s="1" t="s">
        <v>82</v>
      </c>
      <c r="P782" s="1" t="s">
        <v>52</v>
      </c>
    </row>
    <row r="783" spans="1:16" x14ac:dyDescent="0.25">
      <c r="A783" s="1">
        <v>987593866</v>
      </c>
      <c r="B783" s="1" t="s">
        <v>46</v>
      </c>
      <c r="C783" s="1" t="s">
        <v>2</v>
      </c>
      <c r="D783" s="1">
        <v>48241</v>
      </c>
      <c r="E783" s="1">
        <v>3647</v>
      </c>
      <c r="F783" s="1">
        <v>14</v>
      </c>
      <c r="G783" s="13">
        <f>Table[[#This Row],[Return Value]]/Table[[#This Row],[Sell Value]]</f>
        <v>3.838771593090211E-3</v>
      </c>
      <c r="H783" s="1" t="s">
        <v>3</v>
      </c>
      <c r="I783" s="1">
        <v>30</v>
      </c>
      <c r="J783" s="14">
        <f>Table[[#This Row],[Sell Value]]*Table[[#This Row],[Selling Price]]</f>
        <v>109410</v>
      </c>
      <c r="K783" s="1" t="s">
        <v>4</v>
      </c>
      <c r="L783" s="1" t="s">
        <v>43</v>
      </c>
      <c r="M783" s="1" t="s">
        <v>59</v>
      </c>
      <c r="N783" s="1">
        <v>0.2</v>
      </c>
      <c r="O783" s="1" t="s">
        <v>81</v>
      </c>
      <c r="P783" s="1" t="s">
        <v>19</v>
      </c>
    </row>
    <row r="784" spans="1:16" x14ac:dyDescent="0.25">
      <c r="A784" s="1">
        <v>28716372</v>
      </c>
      <c r="B784" s="1" t="s">
        <v>50</v>
      </c>
      <c r="C784" s="1" t="s">
        <v>2</v>
      </c>
      <c r="D784" s="1">
        <v>48104</v>
      </c>
      <c r="E784" s="1">
        <v>4772</v>
      </c>
      <c r="F784" s="1">
        <v>25</v>
      </c>
      <c r="G784" s="13">
        <f>Table[[#This Row],[Return Value]]/Table[[#This Row],[Sell Value]]</f>
        <v>5.238893545683152E-3</v>
      </c>
      <c r="H784" s="1" t="s">
        <v>3</v>
      </c>
      <c r="I784" s="1">
        <v>32</v>
      </c>
      <c r="J784" s="14">
        <f>Table[[#This Row],[Sell Value]]*Table[[#This Row],[Selling Price]]</f>
        <v>152704</v>
      </c>
      <c r="K784" s="1" t="s">
        <v>4</v>
      </c>
      <c r="L784" s="1" t="s">
        <v>47</v>
      </c>
      <c r="M784" s="1" t="s">
        <v>22</v>
      </c>
      <c r="N784" s="1">
        <v>0.2</v>
      </c>
      <c r="O784" s="1" t="s">
        <v>81</v>
      </c>
      <c r="P784" s="1" t="s">
        <v>60</v>
      </c>
    </row>
    <row r="785" spans="1:16" x14ac:dyDescent="0.25">
      <c r="A785" s="1">
        <v>417312213</v>
      </c>
      <c r="B785" s="1" t="s">
        <v>53</v>
      </c>
      <c r="C785" s="1" t="s">
        <v>2</v>
      </c>
      <c r="D785" s="1">
        <v>48025</v>
      </c>
      <c r="E785" s="1">
        <v>1542</v>
      </c>
      <c r="F785" s="1">
        <v>50</v>
      </c>
      <c r="G785" s="13">
        <f>Table[[#This Row],[Return Value]]/Table[[#This Row],[Sell Value]]</f>
        <v>3.2425421530479899E-2</v>
      </c>
      <c r="H785" s="1" t="s">
        <v>3</v>
      </c>
      <c r="I785" s="1">
        <v>34</v>
      </c>
      <c r="J785" s="14">
        <f>Table[[#This Row],[Sell Value]]*Table[[#This Row],[Selling Price]]</f>
        <v>52428</v>
      </c>
      <c r="K785" s="1" t="s">
        <v>4</v>
      </c>
      <c r="L785" s="1" t="s">
        <v>51</v>
      </c>
      <c r="M785" s="1" t="s">
        <v>44</v>
      </c>
      <c r="N785" s="1">
        <v>0.2</v>
      </c>
      <c r="O785" s="1" t="s">
        <v>82</v>
      </c>
      <c r="P785" s="1" t="s">
        <v>19</v>
      </c>
    </row>
    <row r="786" spans="1:16" x14ac:dyDescent="0.25">
      <c r="A786" s="1">
        <v>943750835</v>
      </c>
      <c r="B786" s="1" t="s">
        <v>56</v>
      </c>
      <c r="C786" s="1" t="s">
        <v>2</v>
      </c>
      <c r="D786" s="1">
        <v>48019</v>
      </c>
      <c r="E786" s="1">
        <v>3348</v>
      </c>
      <c r="F786" s="1">
        <v>47</v>
      </c>
      <c r="G786" s="13">
        <f>Table[[#This Row],[Return Value]]/Table[[#This Row],[Sell Value]]</f>
        <v>1.4038231780167264E-2</v>
      </c>
      <c r="H786" s="1" t="s">
        <v>3</v>
      </c>
      <c r="I786" s="1">
        <v>36</v>
      </c>
      <c r="J786" s="14">
        <f>Table[[#This Row],[Sell Value]]*Table[[#This Row],[Selling Price]]</f>
        <v>120528</v>
      </c>
      <c r="K786" s="1" t="s">
        <v>4</v>
      </c>
      <c r="L786" s="1" t="s">
        <v>54</v>
      </c>
      <c r="M786" s="1" t="s">
        <v>30</v>
      </c>
      <c r="N786" s="1">
        <v>0.2</v>
      </c>
      <c r="O786" s="1" t="s">
        <v>81</v>
      </c>
      <c r="P786" s="1" t="s">
        <v>62</v>
      </c>
    </row>
    <row r="787" spans="1:16" x14ac:dyDescent="0.25">
      <c r="A787" s="1">
        <v>537955402</v>
      </c>
      <c r="B787" s="1" t="s">
        <v>1</v>
      </c>
      <c r="C787" s="1" t="s">
        <v>2</v>
      </c>
      <c r="D787" s="1">
        <v>48158</v>
      </c>
      <c r="E787" s="1">
        <v>2233</v>
      </c>
      <c r="F787" s="1">
        <v>26</v>
      </c>
      <c r="G787" s="13">
        <f>Table[[#This Row],[Return Value]]/Table[[#This Row],[Sell Value]]</f>
        <v>1.1643528884908196E-2</v>
      </c>
      <c r="H787" s="1" t="s">
        <v>3</v>
      </c>
      <c r="I787" s="1">
        <v>23</v>
      </c>
      <c r="J787" s="14">
        <f>Table[[#This Row],[Sell Value]]*Table[[#This Row],[Selling Price]]</f>
        <v>51359</v>
      </c>
      <c r="K787" s="1" t="s">
        <v>4</v>
      </c>
      <c r="L787" s="1" t="s">
        <v>57</v>
      </c>
      <c r="M787" s="1" t="s">
        <v>44</v>
      </c>
      <c r="N787" s="1">
        <v>0.2</v>
      </c>
      <c r="O787" s="1" t="s">
        <v>81</v>
      </c>
      <c r="P787" s="1" t="s">
        <v>65</v>
      </c>
    </row>
    <row r="788" spans="1:16" x14ac:dyDescent="0.25">
      <c r="A788" s="1">
        <v>470189075</v>
      </c>
      <c r="B788" s="1" t="s">
        <v>8</v>
      </c>
      <c r="C788" s="1" t="s">
        <v>2</v>
      </c>
      <c r="D788" s="1">
        <v>47524</v>
      </c>
      <c r="E788" s="1">
        <v>2511</v>
      </c>
      <c r="F788" s="1">
        <v>20</v>
      </c>
      <c r="G788" s="13">
        <f>Table[[#This Row],[Return Value]]/Table[[#This Row],[Sell Value]]</f>
        <v>7.9649542015133405E-3</v>
      </c>
      <c r="H788" s="1" t="s">
        <v>3</v>
      </c>
      <c r="I788" s="1">
        <v>47</v>
      </c>
      <c r="J788" s="14">
        <f>Table[[#This Row],[Sell Value]]*Table[[#This Row],[Selling Price]]</f>
        <v>118017</v>
      </c>
      <c r="K788" s="1" t="s">
        <v>4</v>
      </c>
      <c r="L788" s="1" t="s">
        <v>5</v>
      </c>
      <c r="M788" s="1" t="s">
        <v>26</v>
      </c>
      <c r="N788" s="1">
        <v>0.2</v>
      </c>
      <c r="O788" s="1" t="s">
        <v>82</v>
      </c>
      <c r="P788" s="1" t="s">
        <v>63</v>
      </c>
    </row>
    <row r="789" spans="1:16" x14ac:dyDescent="0.25">
      <c r="A789" s="1">
        <v>547849400</v>
      </c>
      <c r="B789" s="1" t="s">
        <v>12</v>
      </c>
      <c r="C789" s="1" t="s">
        <v>2</v>
      </c>
      <c r="D789" s="1">
        <v>48560</v>
      </c>
      <c r="E789" s="1">
        <v>4119</v>
      </c>
      <c r="F789" s="1">
        <v>17</v>
      </c>
      <c r="G789" s="13">
        <f>Table[[#This Row],[Return Value]]/Table[[#This Row],[Sell Value]]</f>
        <v>4.1272153435299832E-3</v>
      </c>
      <c r="H789" s="1" t="s">
        <v>3</v>
      </c>
      <c r="I789" s="1">
        <v>39</v>
      </c>
      <c r="J789" s="14">
        <f>Table[[#This Row],[Sell Value]]*Table[[#This Row],[Selling Price]]</f>
        <v>160641</v>
      </c>
      <c r="K789" s="1" t="s">
        <v>4</v>
      </c>
      <c r="L789" s="1" t="s">
        <v>9</v>
      </c>
      <c r="M789" s="1" t="s">
        <v>22</v>
      </c>
      <c r="N789" s="1">
        <v>0.2</v>
      </c>
      <c r="O789" s="1" t="s">
        <v>81</v>
      </c>
      <c r="P789" s="1" t="s">
        <v>49</v>
      </c>
    </row>
    <row r="790" spans="1:16" x14ac:dyDescent="0.25">
      <c r="A790" s="1">
        <v>650430486</v>
      </c>
      <c r="B790" s="1" t="s">
        <v>16</v>
      </c>
      <c r="C790" s="1" t="s">
        <v>17</v>
      </c>
      <c r="D790" s="1">
        <v>48181</v>
      </c>
      <c r="E790" s="1">
        <v>3690</v>
      </c>
      <c r="F790" s="1">
        <v>24</v>
      </c>
      <c r="G790" s="13">
        <f>Table[[#This Row],[Return Value]]/Table[[#This Row],[Sell Value]]</f>
        <v>6.5040650406504065E-3</v>
      </c>
      <c r="H790" s="1" t="s">
        <v>3</v>
      </c>
      <c r="I790" s="1">
        <v>22</v>
      </c>
      <c r="J790" s="14">
        <f>Table[[#This Row],[Sell Value]]*Table[[#This Row],[Selling Price]]</f>
        <v>81180</v>
      </c>
      <c r="K790" s="1" t="s">
        <v>4</v>
      </c>
      <c r="L790" s="1" t="s">
        <v>13</v>
      </c>
      <c r="M790" s="1" t="s">
        <v>44</v>
      </c>
      <c r="N790" s="1">
        <v>0.2</v>
      </c>
      <c r="O790" s="1" t="s">
        <v>81</v>
      </c>
      <c r="P790" s="1" t="s">
        <v>31</v>
      </c>
    </row>
    <row r="791" spans="1:16" x14ac:dyDescent="0.25">
      <c r="A791" s="1">
        <v>927872729</v>
      </c>
      <c r="B791" s="1" t="s">
        <v>20</v>
      </c>
      <c r="C791" s="1" t="s">
        <v>17</v>
      </c>
      <c r="D791" s="1">
        <v>48228</v>
      </c>
      <c r="E791" s="1">
        <v>2147</v>
      </c>
      <c r="F791" s="1">
        <v>43</v>
      </c>
      <c r="G791" s="13">
        <f>Table[[#This Row],[Return Value]]/Table[[#This Row],[Sell Value]]</f>
        <v>2.0027945971122497E-2</v>
      </c>
      <c r="H791" s="1" t="s">
        <v>3</v>
      </c>
      <c r="I791" s="1">
        <v>33</v>
      </c>
      <c r="J791" s="14">
        <f>Table[[#This Row],[Sell Value]]*Table[[#This Row],[Selling Price]]</f>
        <v>70851</v>
      </c>
      <c r="K791" s="1" t="s">
        <v>4</v>
      </c>
      <c r="L791" s="1" t="s">
        <v>18</v>
      </c>
      <c r="M791" s="1" t="s">
        <v>6</v>
      </c>
      <c r="N791" s="1">
        <v>0.2</v>
      </c>
      <c r="O791" s="1" t="s">
        <v>81</v>
      </c>
      <c r="P791" s="1" t="s">
        <v>11</v>
      </c>
    </row>
    <row r="792" spans="1:16" x14ac:dyDescent="0.25">
      <c r="A792" s="1">
        <v>206931471</v>
      </c>
      <c r="B792" s="1" t="s">
        <v>24</v>
      </c>
      <c r="C792" s="1" t="s">
        <v>2</v>
      </c>
      <c r="D792" s="1">
        <v>48077</v>
      </c>
      <c r="E792" s="1">
        <v>1097</v>
      </c>
      <c r="F792" s="1">
        <v>32</v>
      </c>
      <c r="G792" s="13">
        <f>Table[[#This Row],[Return Value]]/Table[[#This Row],[Sell Value]]</f>
        <v>2.9170464904284411E-2</v>
      </c>
      <c r="H792" s="1" t="s">
        <v>28</v>
      </c>
      <c r="I792" s="1">
        <v>44</v>
      </c>
      <c r="J792" s="14">
        <f>Table[[#This Row],[Sell Value]]*Table[[#This Row],[Selling Price]]</f>
        <v>48268</v>
      </c>
      <c r="K792" s="1" t="s">
        <v>4</v>
      </c>
      <c r="L792" s="1" t="s">
        <v>21</v>
      </c>
      <c r="M792" s="1" t="s">
        <v>6</v>
      </c>
      <c r="N792" s="1">
        <v>0.2</v>
      </c>
      <c r="O792" s="1" t="s">
        <v>82</v>
      </c>
      <c r="P792" s="1" t="s">
        <v>7</v>
      </c>
    </row>
    <row r="793" spans="1:16" x14ac:dyDescent="0.25">
      <c r="A793" s="1">
        <v>353193985</v>
      </c>
      <c r="B793" s="1" t="s">
        <v>27</v>
      </c>
      <c r="C793" s="1" t="s">
        <v>2</v>
      </c>
      <c r="D793" s="1">
        <v>47495</v>
      </c>
      <c r="E793" s="1">
        <v>1366</v>
      </c>
      <c r="F793" s="1">
        <v>30</v>
      </c>
      <c r="G793" s="13">
        <f>Table[[#This Row],[Return Value]]/Table[[#This Row],[Sell Value]]</f>
        <v>2.1961932650073207E-2</v>
      </c>
      <c r="H793" s="1" t="s">
        <v>3</v>
      </c>
      <c r="I793" s="1">
        <v>47</v>
      </c>
      <c r="J793" s="14">
        <f>Table[[#This Row],[Sell Value]]*Table[[#This Row],[Selling Price]]</f>
        <v>64202</v>
      </c>
      <c r="K793" s="1" t="s">
        <v>4</v>
      </c>
      <c r="L793" s="1" t="s">
        <v>25</v>
      </c>
      <c r="M793" s="1" t="s">
        <v>48</v>
      </c>
      <c r="N793" s="1">
        <v>0.2</v>
      </c>
      <c r="O793" s="1" t="s">
        <v>81</v>
      </c>
      <c r="P793" s="1" t="s">
        <v>67</v>
      </c>
    </row>
    <row r="794" spans="1:16" x14ac:dyDescent="0.25">
      <c r="A794" s="1">
        <v>624465341</v>
      </c>
      <c r="B794" s="1" t="s">
        <v>32</v>
      </c>
      <c r="C794" s="1" t="s">
        <v>17</v>
      </c>
      <c r="D794" s="1">
        <v>47518</v>
      </c>
      <c r="E794" s="1">
        <v>1711</v>
      </c>
      <c r="F794" s="1">
        <v>35</v>
      </c>
      <c r="G794" s="13">
        <f>Table[[#This Row],[Return Value]]/Table[[#This Row],[Sell Value]]</f>
        <v>2.0455873758036237E-2</v>
      </c>
      <c r="H794" s="1" t="s">
        <v>3</v>
      </c>
      <c r="I794" s="1">
        <v>46</v>
      </c>
      <c r="J794" s="14">
        <f>Table[[#This Row],[Sell Value]]*Table[[#This Row],[Selling Price]]</f>
        <v>78706</v>
      </c>
      <c r="K794" s="1" t="s">
        <v>4</v>
      </c>
      <c r="L794" s="1" t="s">
        <v>29</v>
      </c>
      <c r="M794" s="1" t="s">
        <v>33</v>
      </c>
      <c r="N794" s="1">
        <v>0.2</v>
      </c>
      <c r="O794" s="1" t="s">
        <v>82</v>
      </c>
      <c r="P794" s="1" t="s">
        <v>58</v>
      </c>
    </row>
    <row r="795" spans="1:16" x14ac:dyDescent="0.25">
      <c r="A795" s="1">
        <v>176669340</v>
      </c>
      <c r="B795" s="1" t="s">
        <v>34</v>
      </c>
      <c r="C795" s="1" t="s">
        <v>2</v>
      </c>
      <c r="D795" s="1">
        <v>48010</v>
      </c>
      <c r="E795" s="1">
        <v>4013</v>
      </c>
      <c r="F795" s="1">
        <v>42</v>
      </c>
      <c r="G795" s="13">
        <f>Table[[#This Row],[Return Value]]/Table[[#This Row],[Sell Value]]</f>
        <v>1.046598554697234E-2</v>
      </c>
      <c r="H795" s="1" t="s">
        <v>3</v>
      </c>
      <c r="I795" s="1">
        <v>46</v>
      </c>
      <c r="J795" s="14">
        <f>Table[[#This Row],[Sell Value]]*Table[[#This Row],[Selling Price]]</f>
        <v>184598</v>
      </c>
      <c r="K795" s="1" t="s">
        <v>4</v>
      </c>
      <c r="L795" s="1" t="s">
        <v>29</v>
      </c>
      <c r="M795" s="1" t="s">
        <v>59</v>
      </c>
      <c r="N795" s="1">
        <v>0.2</v>
      </c>
      <c r="O795" s="1" t="s">
        <v>82</v>
      </c>
      <c r="P795" s="1" t="s">
        <v>23</v>
      </c>
    </row>
    <row r="796" spans="1:16" x14ac:dyDescent="0.25">
      <c r="A796" s="1">
        <v>918290682</v>
      </c>
      <c r="B796" s="1" t="s">
        <v>37</v>
      </c>
      <c r="C796" s="1" t="s">
        <v>17</v>
      </c>
      <c r="D796" s="1">
        <v>48021</v>
      </c>
      <c r="E796" s="1">
        <v>4341</v>
      </c>
      <c r="F796" s="1">
        <v>14</v>
      </c>
      <c r="G796" s="13">
        <f>Table[[#This Row],[Return Value]]/Table[[#This Row],[Sell Value]]</f>
        <v>3.2250633494586502E-3</v>
      </c>
      <c r="H796" s="1" t="s">
        <v>3</v>
      </c>
      <c r="I796" s="1">
        <v>36</v>
      </c>
      <c r="J796" s="14">
        <f>Table[[#This Row],[Sell Value]]*Table[[#This Row],[Selling Price]]</f>
        <v>156276</v>
      </c>
      <c r="K796" s="1" t="s">
        <v>4</v>
      </c>
      <c r="L796" s="1" t="s">
        <v>35</v>
      </c>
      <c r="M796" s="1" t="s">
        <v>6</v>
      </c>
      <c r="N796" s="1">
        <v>0.2</v>
      </c>
      <c r="O796" s="1" t="s">
        <v>81</v>
      </c>
      <c r="P796" s="1" t="s">
        <v>19</v>
      </c>
    </row>
    <row r="797" spans="1:16" x14ac:dyDescent="0.25">
      <c r="A797" s="1">
        <v>309617803</v>
      </c>
      <c r="B797" s="1" t="s">
        <v>40</v>
      </c>
      <c r="C797" s="1" t="s">
        <v>17</v>
      </c>
      <c r="D797" s="1">
        <v>47974</v>
      </c>
      <c r="E797" s="1">
        <v>4945</v>
      </c>
      <c r="F797" s="1">
        <v>18</v>
      </c>
      <c r="G797" s="13">
        <f>Table[[#This Row],[Return Value]]/Table[[#This Row],[Sell Value]]</f>
        <v>3.640040444893832E-3</v>
      </c>
      <c r="H797" s="1" t="s">
        <v>3</v>
      </c>
      <c r="I797" s="1">
        <v>33</v>
      </c>
      <c r="J797" s="14">
        <f>Table[[#This Row],[Sell Value]]*Table[[#This Row],[Selling Price]]</f>
        <v>163185</v>
      </c>
      <c r="K797" s="1" t="s">
        <v>4</v>
      </c>
      <c r="L797" s="1" t="s">
        <v>38</v>
      </c>
      <c r="M797" s="1" t="s">
        <v>61</v>
      </c>
      <c r="N797" s="1">
        <v>0.2</v>
      </c>
      <c r="O797" s="1" t="s">
        <v>82</v>
      </c>
      <c r="P797" s="1" t="s">
        <v>45</v>
      </c>
    </row>
    <row r="798" spans="1:16" x14ac:dyDescent="0.25">
      <c r="A798" s="1">
        <v>947366302</v>
      </c>
      <c r="B798" s="1" t="s">
        <v>42</v>
      </c>
      <c r="C798" s="1" t="s">
        <v>2</v>
      </c>
      <c r="D798" s="1">
        <v>47983</v>
      </c>
      <c r="E798" s="1">
        <v>2083</v>
      </c>
      <c r="F798" s="1">
        <v>20</v>
      </c>
      <c r="G798" s="13">
        <f>Table[[#This Row],[Return Value]]/Table[[#This Row],[Sell Value]]</f>
        <v>9.6015362457993279E-3</v>
      </c>
      <c r="H798" s="1" t="s">
        <v>3</v>
      </c>
      <c r="I798" s="1">
        <v>20</v>
      </c>
      <c r="J798" s="14">
        <f>Table[[#This Row],[Sell Value]]*Table[[#This Row],[Selling Price]]</f>
        <v>41660</v>
      </c>
      <c r="K798" s="1" t="s">
        <v>4</v>
      </c>
      <c r="L798" s="1" t="s">
        <v>41</v>
      </c>
      <c r="M798" s="1" t="s">
        <v>61</v>
      </c>
      <c r="N798" s="1">
        <v>0.2</v>
      </c>
      <c r="O798" s="1" t="s">
        <v>81</v>
      </c>
      <c r="P798" s="1" t="s">
        <v>36</v>
      </c>
    </row>
    <row r="799" spans="1:16" x14ac:dyDescent="0.25">
      <c r="A799" s="1">
        <v>356680263</v>
      </c>
      <c r="B799" s="1" t="s">
        <v>46</v>
      </c>
      <c r="C799" s="1" t="s">
        <v>2</v>
      </c>
      <c r="D799" s="1">
        <v>48127</v>
      </c>
      <c r="E799" s="1">
        <v>3399</v>
      </c>
      <c r="F799" s="1">
        <v>48</v>
      </c>
      <c r="G799" s="13">
        <f>Table[[#This Row],[Return Value]]/Table[[#This Row],[Sell Value]]</f>
        <v>1.412180052956752E-2</v>
      </c>
      <c r="H799" s="1" t="s">
        <v>3</v>
      </c>
      <c r="I799" s="1">
        <v>24</v>
      </c>
      <c r="J799" s="14">
        <f>Table[[#This Row],[Sell Value]]*Table[[#This Row],[Selling Price]]</f>
        <v>81576</v>
      </c>
      <c r="K799" s="1" t="s">
        <v>4</v>
      </c>
      <c r="L799" s="1" t="s">
        <v>43</v>
      </c>
      <c r="M799" s="1" t="s">
        <v>48</v>
      </c>
      <c r="N799" s="1">
        <v>0.2</v>
      </c>
      <c r="O799" s="1" t="s">
        <v>82</v>
      </c>
      <c r="P799" s="1" t="s">
        <v>11</v>
      </c>
    </row>
    <row r="800" spans="1:16" x14ac:dyDescent="0.25">
      <c r="A800" s="1">
        <v>690364047</v>
      </c>
      <c r="B800" s="1" t="s">
        <v>12</v>
      </c>
      <c r="C800" s="1" t="s">
        <v>2</v>
      </c>
      <c r="D800" s="1">
        <v>47827</v>
      </c>
      <c r="E800" s="1">
        <v>4345</v>
      </c>
      <c r="F800" s="1">
        <v>41</v>
      </c>
      <c r="G800" s="13">
        <f>Table[[#This Row],[Return Value]]/Table[[#This Row],[Sell Value]]</f>
        <v>9.4361334867663973E-3</v>
      </c>
      <c r="H800" s="1" t="s">
        <v>3</v>
      </c>
      <c r="I800" s="1">
        <v>30</v>
      </c>
      <c r="J800" s="14">
        <f>Table[[#This Row],[Sell Value]]*Table[[#This Row],[Selling Price]]</f>
        <v>130350</v>
      </c>
      <c r="K800" s="1" t="s">
        <v>4</v>
      </c>
      <c r="L800" s="1" t="s">
        <v>47</v>
      </c>
      <c r="M800" s="1" t="s">
        <v>22</v>
      </c>
      <c r="N800" s="1">
        <v>0.2</v>
      </c>
      <c r="O800" s="1" t="s">
        <v>82</v>
      </c>
      <c r="P800" s="1" t="s">
        <v>45</v>
      </c>
    </row>
    <row r="801" spans="1:16" x14ac:dyDescent="0.25">
      <c r="A801" s="1">
        <v>593943033</v>
      </c>
      <c r="B801" s="1" t="s">
        <v>16</v>
      </c>
      <c r="C801" s="1" t="s">
        <v>17</v>
      </c>
      <c r="D801" s="1">
        <v>48016</v>
      </c>
      <c r="E801" s="1">
        <v>2502</v>
      </c>
      <c r="F801" s="1">
        <v>44</v>
      </c>
      <c r="G801" s="13">
        <f>Table[[#This Row],[Return Value]]/Table[[#This Row],[Sell Value]]</f>
        <v>1.7585931254996003E-2</v>
      </c>
      <c r="H801" s="1" t="s">
        <v>3</v>
      </c>
      <c r="I801" s="1">
        <v>31</v>
      </c>
      <c r="J801" s="14">
        <f>Table[[#This Row],[Sell Value]]*Table[[#This Row],[Selling Price]]</f>
        <v>77562</v>
      </c>
      <c r="K801" s="1" t="s">
        <v>4</v>
      </c>
      <c r="L801" s="1" t="s">
        <v>51</v>
      </c>
      <c r="M801" s="1" t="s">
        <v>30</v>
      </c>
      <c r="N801" s="1">
        <v>0.2</v>
      </c>
      <c r="O801" s="1" t="s">
        <v>81</v>
      </c>
      <c r="P801" s="1" t="s">
        <v>31</v>
      </c>
    </row>
    <row r="802" spans="1:16" x14ac:dyDescent="0.25">
      <c r="A802" s="1">
        <v>282270759</v>
      </c>
      <c r="B802" s="1" t="s">
        <v>20</v>
      </c>
      <c r="C802" s="1" t="s">
        <v>17</v>
      </c>
      <c r="D802" s="1">
        <v>48345</v>
      </c>
      <c r="E802" s="1">
        <v>3537</v>
      </c>
      <c r="F802" s="1">
        <v>11</v>
      </c>
      <c r="G802" s="13">
        <f>Table[[#This Row],[Return Value]]/Table[[#This Row],[Sell Value]]</f>
        <v>3.1099802092168505E-3</v>
      </c>
      <c r="H802" s="1" t="s">
        <v>3</v>
      </c>
      <c r="I802" s="1">
        <v>30</v>
      </c>
      <c r="J802" s="14">
        <f>Table[[#This Row],[Sell Value]]*Table[[#This Row],[Selling Price]]</f>
        <v>106110</v>
      </c>
      <c r="K802" s="1" t="s">
        <v>4</v>
      </c>
      <c r="L802" s="1" t="s">
        <v>54</v>
      </c>
      <c r="M802" s="1" t="s">
        <v>6</v>
      </c>
      <c r="N802" s="1">
        <v>0.2</v>
      </c>
      <c r="O802" s="1" t="s">
        <v>82</v>
      </c>
      <c r="P802" s="1" t="s">
        <v>62</v>
      </c>
    </row>
    <row r="803" spans="1:16" x14ac:dyDescent="0.25">
      <c r="A803" s="1">
        <v>352676457</v>
      </c>
      <c r="B803" s="1" t="s">
        <v>24</v>
      </c>
      <c r="C803" s="1" t="s">
        <v>2</v>
      </c>
      <c r="D803" s="1">
        <v>48468</v>
      </c>
      <c r="E803" s="1">
        <v>2156</v>
      </c>
      <c r="F803" s="1">
        <v>11</v>
      </c>
      <c r="G803" s="13">
        <f>Table[[#This Row],[Return Value]]/Table[[#This Row],[Sell Value]]</f>
        <v>5.1020408163265302E-3</v>
      </c>
      <c r="H803" s="1" t="s">
        <v>3</v>
      </c>
      <c r="I803" s="1">
        <v>49</v>
      </c>
      <c r="J803" s="14">
        <f>Table[[#This Row],[Sell Value]]*Table[[#This Row],[Selling Price]]</f>
        <v>105644</v>
      </c>
      <c r="K803" s="1" t="s">
        <v>4</v>
      </c>
      <c r="L803" s="1" t="s">
        <v>57</v>
      </c>
      <c r="M803" s="1" t="s">
        <v>10</v>
      </c>
      <c r="N803" s="1">
        <v>0.2</v>
      </c>
      <c r="O803" s="1" t="s">
        <v>82</v>
      </c>
      <c r="P803" s="1" t="s">
        <v>15</v>
      </c>
    </row>
    <row r="804" spans="1:16" x14ac:dyDescent="0.25">
      <c r="A804" s="1">
        <v>80087218</v>
      </c>
      <c r="B804" s="1" t="s">
        <v>27</v>
      </c>
      <c r="C804" s="1" t="s">
        <v>2</v>
      </c>
      <c r="D804" s="1">
        <v>48338</v>
      </c>
      <c r="E804" s="1">
        <v>3814</v>
      </c>
      <c r="F804" s="1">
        <v>35</v>
      </c>
      <c r="G804" s="13">
        <f>Table[[#This Row],[Return Value]]/Table[[#This Row],[Sell Value]]</f>
        <v>9.1767173571054017E-3</v>
      </c>
      <c r="H804" s="1" t="s">
        <v>3</v>
      </c>
      <c r="I804" s="1">
        <v>25</v>
      </c>
      <c r="J804" s="14">
        <f>Table[[#This Row],[Sell Value]]*Table[[#This Row],[Selling Price]]</f>
        <v>95350</v>
      </c>
      <c r="K804" s="1" t="s">
        <v>4</v>
      </c>
      <c r="L804" s="1" t="s">
        <v>5</v>
      </c>
      <c r="M804" s="1" t="s">
        <v>59</v>
      </c>
      <c r="N804" s="1">
        <v>0.2</v>
      </c>
      <c r="O804" s="1" t="s">
        <v>81</v>
      </c>
      <c r="P804" s="1" t="s">
        <v>62</v>
      </c>
    </row>
    <row r="805" spans="1:16" x14ac:dyDescent="0.25">
      <c r="A805" s="1">
        <v>893296679</v>
      </c>
      <c r="B805" s="1" t="s">
        <v>32</v>
      </c>
      <c r="C805" s="1" t="s">
        <v>17</v>
      </c>
      <c r="D805" s="1">
        <v>48028</v>
      </c>
      <c r="E805" s="1">
        <v>1691</v>
      </c>
      <c r="F805" s="1">
        <v>43</v>
      </c>
      <c r="G805" s="13">
        <f>Table[[#This Row],[Return Value]]/Table[[#This Row],[Sell Value]]</f>
        <v>2.5428740390301598E-2</v>
      </c>
      <c r="H805" s="1" t="s">
        <v>3</v>
      </c>
      <c r="I805" s="1">
        <v>39</v>
      </c>
      <c r="J805" s="14">
        <f>Table[[#This Row],[Sell Value]]*Table[[#This Row],[Selling Price]]</f>
        <v>65949</v>
      </c>
      <c r="K805" s="1" t="s">
        <v>4</v>
      </c>
      <c r="L805" s="1" t="s">
        <v>9</v>
      </c>
      <c r="M805" s="1" t="s">
        <v>6</v>
      </c>
      <c r="N805" s="1">
        <v>0.2</v>
      </c>
      <c r="O805" s="1" t="s">
        <v>82</v>
      </c>
      <c r="P805" s="1" t="s">
        <v>67</v>
      </c>
    </row>
    <row r="806" spans="1:16" x14ac:dyDescent="0.25">
      <c r="A806" s="1">
        <v>517329539</v>
      </c>
      <c r="B806" s="1" t="s">
        <v>34</v>
      </c>
      <c r="C806" s="1" t="s">
        <v>2</v>
      </c>
      <c r="D806" s="1">
        <v>48436</v>
      </c>
      <c r="E806" s="1">
        <v>4435</v>
      </c>
      <c r="F806" s="1">
        <v>19</v>
      </c>
      <c r="G806" s="13">
        <f>Table[[#This Row],[Return Value]]/Table[[#This Row],[Sell Value]]</f>
        <v>4.2841037204058626E-3</v>
      </c>
      <c r="H806" s="1" t="s">
        <v>3</v>
      </c>
      <c r="I806" s="1">
        <v>38</v>
      </c>
      <c r="J806" s="14">
        <f>Table[[#This Row],[Sell Value]]*Table[[#This Row],[Selling Price]]</f>
        <v>168530</v>
      </c>
      <c r="K806" s="1" t="s">
        <v>4</v>
      </c>
      <c r="L806" s="1" t="s">
        <v>13</v>
      </c>
      <c r="M806" s="1" t="s">
        <v>44</v>
      </c>
      <c r="N806" s="1">
        <v>0.2</v>
      </c>
      <c r="O806" s="1" t="s">
        <v>81</v>
      </c>
      <c r="P806" s="1" t="s">
        <v>52</v>
      </c>
    </row>
    <row r="807" spans="1:16" x14ac:dyDescent="0.25">
      <c r="A807" s="1">
        <v>547379153</v>
      </c>
      <c r="B807" s="1" t="s">
        <v>37</v>
      </c>
      <c r="C807" s="1" t="s">
        <v>17</v>
      </c>
      <c r="D807" s="1">
        <v>48367</v>
      </c>
      <c r="E807" s="1">
        <v>3088</v>
      </c>
      <c r="F807" s="1">
        <v>19</v>
      </c>
      <c r="G807" s="13">
        <f>Table[[#This Row],[Return Value]]/Table[[#This Row],[Sell Value]]</f>
        <v>6.1528497409326427E-3</v>
      </c>
      <c r="H807" s="1" t="s">
        <v>3</v>
      </c>
      <c r="I807" s="1">
        <v>30</v>
      </c>
      <c r="J807" s="14">
        <f>Table[[#This Row],[Sell Value]]*Table[[#This Row],[Selling Price]]</f>
        <v>92640</v>
      </c>
      <c r="K807" s="1" t="s">
        <v>4</v>
      </c>
      <c r="L807" s="1" t="s">
        <v>18</v>
      </c>
      <c r="M807" s="1" t="s">
        <v>59</v>
      </c>
      <c r="N807" s="1">
        <v>0.2</v>
      </c>
      <c r="O807" s="1" t="s">
        <v>81</v>
      </c>
      <c r="P807" s="1" t="s">
        <v>67</v>
      </c>
    </row>
    <row r="808" spans="1:16" x14ac:dyDescent="0.25">
      <c r="A808" s="1">
        <v>780633625</v>
      </c>
      <c r="B808" s="1" t="s">
        <v>40</v>
      </c>
      <c r="C808" s="1" t="s">
        <v>17</v>
      </c>
      <c r="D808" s="1">
        <v>48553</v>
      </c>
      <c r="E808" s="1">
        <v>3554</v>
      </c>
      <c r="F808" s="1">
        <v>18</v>
      </c>
      <c r="G808" s="13">
        <f>Table[[#This Row],[Return Value]]/Table[[#This Row],[Sell Value]]</f>
        <v>5.064715813168261E-3</v>
      </c>
      <c r="H808" s="1" t="s">
        <v>3</v>
      </c>
      <c r="I808" s="1">
        <v>33</v>
      </c>
      <c r="J808" s="14">
        <f>Table[[#This Row],[Sell Value]]*Table[[#This Row],[Selling Price]]</f>
        <v>117282</v>
      </c>
      <c r="K808" s="1" t="s">
        <v>4</v>
      </c>
      <c r="L808" s="1" t="s">
        <v>21</v>
      </c>
      <c r="M808" s="1" t="s">
        <v>61</v>
      </c>
      <c r="N808" s="1">
        <v>0.2</v>
      </c>
      <c r="O808" s="1" t="s">
        <v>81</v>
      </c>
      <c r="P808" s="1" t="s">
        <v>49</v>
      </c>
    </row>
    <row r="809" spans="1:16" x14ac:dyDescent="0.25">
      <c r="A809" s="1">
        <v>882074937</v>
      </c>
      <c r="B809" s="1" t="s">
        <v>42</v>
      </c>
      <c r="C809" s="1" t="s">
        <v>2</v>
      </c>
      <c r="D809" s="1">
        <v>48025</v>
      </c>
      <c r="E809" s="1">
        <v>2764</v>
      </c>
      <c r="F809" s="1">
        <v>17</v>
      </c>
      <c r="G809" s="13">
        <f>Table[[#This Row],[Return Value]]/Table[[#This Row],[Sell Value]]</f>
        <v>6.1505065123010133E-3</v>
      </c>
      <c r="H809" s="1" t="s">
        <v>3</v>
      </c>
      <c r="I809" s="1">
        <v>21</v>
      </c>
      <c r="J809" s="14">
        <f>Table[[#This Row],[Sell Value]]*Table[[#This Row],[Selling Price]]</f>
        <v>58044</v>
      </c>
      <c r="K809" s="1" t="s">
        <v>4</v>
      </c>
      <c r="L809" s="1" t="s">
        <v>25</v>
      </c>
      <c r="M809" s="1" t="s">
        <v>44</v>
      </c>
      <c r="N809" s="1">
        <v>0.2</v>
      </c>
      <c r="O809" s="1" t="s">
        <v>81</v>
      </c>
      <c r="P809" s="1" t="s">
        <v>31</v>
      </c>
    </row>
    <row r="810" spans="1:16" x14ac:dyDescent="0.25">
      <c r="A810" s="1">
        <v>905254708</v>
      </c>
      <c r="B810" s="1" t="s">
        <v>46</v>
      </c>
      <c r="C810" s="1" t="s">
        <v>2</v>
      </c>
      <c r="D810" s="1">
        <v>47520</v>
      </c>
      <c r="E810" s="1">
        <v>3921</v>
      </c>
      <c r="F810" s="1">
        <v>14</v>
      </c>
      <c r="G810" s="13">
        <f>Table[[#This Row],[Return Value]]/Table[[#This Row],[Sell Value]]</f>
        <v>3.5705177250701351E-3</v>
      </c>
      <c r="H810" s="1" t="s">
        <v>3</v>
      </c>
      <c r="I810" s="1">
        <v>34</v>
      </c>
      <c r="J810" s="14">
        <f>Table[[#This Row],[Sell Value]]*Table[[#This Row],[Selling Price]]</f>
        <v>133314</v>
      </c>
      <c r="K810" s="1" t="s">
        <v>4</v>
      </c>
      <c r="L810" s="1" t="s">
        <v>29</v>
      </c>
      <c r="M810" s="1" t="s">
        <v>6</v>
      </c>
      <c r="N810" s="1">
        <v>0.2</v>
      </c>
      <c r="O810" s="1" t="s">
        <v>81</v>
      </c>
      <c r="P810" s="1" t="s">
        <v>31</v>
      </c>
    </row>
    <row r="811" spans="1:16" x14ac:dyDescent="0.25">
      <c r="A811" s="1">
        <v>663132136</v>
      </c>
      <c r="B811" s="1" t="s">
        <v>50</v>
      </c>
      <c r="C811" s="1" t="s">
        <v>2</v>
      </c>
      <c r="D811" s="1">
        <v>47760</v>
      </c>
      <c r="E811" s="1">
        <v>2558</v>
      </c>
      <c r="F811" s="1">
        <v>17</v>
      </c>
      <c r="G811" s="13">
        <f>Table[[#This Row],[Return Value]]/Table[[#This Row],[Sell Value]]</f>
        <v>6.645817044566067E-3</v>
      </c>
      <c r="H811" s="1" t="s">
        <v>3</v>
      </c>
      <c r="I811" s="1">
        <v>32</v>
      </c>
      <c r="J811" s="14">
        <f>Table[[#This Row],[Sell Value]]*Table[[#This Row],[Selling Price]]</f>
        <v>81856</v>
      </c>
      <c r="K811" s="1" t="s">
        <v>4</v>
      </c>
      <c r="L811" s="1" t="s">
        <v>29</v>
      </c>
      <c r="M811" s="1" t="s">
        <v>6</v>
      </c>
      <c r="N811" s="1">
        <v>0.2</v>
      </c>
      <c r="O811" s="1" t="s">
        <v>82</v>
      </c>
      <c r="P811" s="1" t="s">
        <v>67</v>
      </c>
    </row>
    <row r="812" spans="1:16" x14ac:dyDescent="0.25">
      <c r="A812" s="1">
        <v>899190758</v>
      </c>
      <c r="B812" s="1" t="s">
        <v>53</v>
      </c>
      <c r="C812" s="1" t="s">
        <v>2</v>
      </c>
      <c r="D812" s="1">
        <v>48577</v>
      </c>
      <c r="E812" s="1">
        <v>4088</v>
      </c>
      <c r="F812" s="1">
        <v>46</v>
      </c>
      <c r="G812" s="13">
        <f>Table[[#This Row],[Return Value]]/Table[[#This Row],[Sell Value]]</f>
        <v>1.1252446183953033E-2</v>
      </c>
      <c r="H812" s="1" t="s">
        <v>3</v>
      </c>
      <c r="I812" s="1">
        <v>42</v>
      </c>
      <c r="J812" s="14">
        <f>Table[[#This Row],[Sell Value]]*Table[[#This Row],[Selling Price]]</f>
        <v>171696</v>
      </c>
      <c r="K812" s="1" t="s">
        <v>4</v>
      </c>
      <c r="L812" s="1" t="s">
        <v>35</v>
      </c>
      <c r="M812" s="1" t="s">
        <v>44</v>
      </c>
      <c r="N812" s="1">
        <v>0.2</v>
      </c>
      <c r="O812" s="1" t="s">
        <v>81</v>
      </c>
      <c r="P812" s="1" t="s">
        <v>23</v>
      </c>
    </row>
    <row r="813" spans="1:16" x14ac:dyDescent="0.25">
      <c r="A813" s="1">
        <v>42193893</v>
      </c>
      <c r="B813" s="1" t="s">
        <v>56</v>
      </c>
      <c r="C813" s="1" t="s">
        <v>2</v>
      </c>
      <c r="D813" s="1">
        <v>47976</v>
      </c>
      <c r="E813" s="1">
        <v>4292</v>
      </c>
      <c r="F813" s="1">
        <v>20</v>
      </c>
      <c r="G813" s="13">
        <f>Table[[#This Row],[Return Value]]/Table[[#This Row],[Sell Value]]</f>
        <v>4.6598322460391422E-3</v>
      </c>
      <c r="H813" s="1" t="s">
        <v>3</v>
      </c>
      <c r="I813" s="1">
        <v>35</v>
      </c>
      <c r="J813" s="14">
        <f>Table[[#This Row],[Sell Value]]*Table[[#This Row],[Selling Price]]</f>
        <v>150220</v>
      </c>
      <c r="K813" s="1" t="s">
        <v>4</v>
      </c>
      <c r="L813" s="1" t="s">
        <v>38</v>
      </c>
      <c r="M813" s="1" t="s">
        <v>22</v>
      </c>
      <c r="N813" s="1">
        <v>0.2</v>
      </c>
      <c r="O813" s="1" t="s">
        <v>81</v>
      </c>
      <c r="P813" s="1" t="s">
        <v>66</v>
      </c>
    </row>
    <row r="814" spans="1:16" x14ac:dyDescent="0.25">
      <c r="A814" s="1">
        <v>192268277</v>
      </c>
      <c r="B814" s="1" t="s">
        <v>1</v>
      </c>
      <c r="C814" s="1" t="s">
        <v>2</v>
      </c>
      <c r="D814" s="1">
        <v>48283</v>
      </c>
      <c r="E814" s="1">
        <v>4691</v>
      </c>
      <c r="F814" s="1">
        <v>30</v>
      </c>
      <c r="G814" s="13">
        <f>Table[[#This Row],[Return Value]]/Table[[#This Row],[Sell Value]]</f>
        <v>6.3952248987422721E-3</v>
      </c>
      <c r="H814" s="1" t="s">
        <v>3</v>
      </c>
      <c r="I814" s="1">
        <v>32</v>
      </c>
      <c r="J814" s="14">
        <f>Table[[#This Row],[Sell Value]]*Table[[#This Row],[Selling Price]]</f>
        <v>150112</v>
      </c>
      <c r="K814" s="1" t="s">
        <v>4</v>
      </c>
      <c r="L814" s="1" t="s">
        <v>41</v>
      </c>
      <c r="M814" s="1" t="s">
        <v>59</v>
      </c>
      <c r="N814" s="1">
        <v>0.2</v>
      </c>
      <c r="O814" s="1" t="s">
        <v>81</v>
      </c>
      <c r="P814" s="1" t="s">
        <v>49</v>
      </c>
    </row>
    <row r="815" spans="1:16" x14ac:dyDescent="0.25">
      <c r="A815" s="1">
        <v>554636944</v>
      </c>
      <c r="B815" s="1" t="s">
        <v>8</v>
      </c>
      <c r="C815" s="1" t="s">
        <v>2</v>
      </c>
      <c r="D815" s="1">
        <v>47906</v>
      </c>
      <c r="E815" s="1">
        <v>4563</v>
      </c>
      <c r="F815" s="1">
        <v>36</v>
      </c>
      <c r="G815" s="13">
        <f>Table[[#This Row],[Return Value]]/Table[[#This Row],[Sell Value]]</f>
        <v>7.889546351084813E-3</v>
      </c>
      <c r="H815" s="1" t="s">
        <v>3</v>
      </c>
      <c r="I815" s="1">
        <v>37</v>
      </c>
      <c r="J815" s="14">
        <f>Table[[#This Row],[Sell Value]]*Table[[#This Row],[Selling Price]]</f>
        <v>168831</v>
      </c>
      <c r="K815" s="1" t="s">
        <v>4</v>
      </c>
      <c r="L815" s="1" t="s">
        <v>43</v>
      </c>
      <c r="M815" s="1" t="s">
        <v>61</v>
      </c>
      <c r="N815" s="1">
        <v>0.2</v>
      </c>
      <c r="O815" s="1" t="s">
        <v>82</v>
      </c>
      <c r="P815" s="1" t="s">
        <v>31</v>
      </c>
    </row>
    <row r="816" spans="1:16" x14ac:dyDescent="0.25">
      <c r="A816" s="1">
        <v>350065017</v>
      </c>
      <c r="B816" s="1" t="s">
        <v>12</v>
      </c>
      <c r="C816" s="1" t="s">
        <v>2</v>
      </c>
      <c r="D816" s="1">
        <v>48501</v>
      </c>
      <c r="E816" s="1">
        <v>1264</v>
      </c>
      <c r="F816" s="1">
        <v>48</v>
      </c>
      <c r="G816" s="13">
        <f>Table[[#This Row],[Return Value]]/Table[[#This Row],[Sell Value]]</f>
        <v>3.7974683544303799E-2</v>
      </c>
      <c r="H816" s="1" t="s">
        <v>3</v>
      </c>
      <c r="I816" s="1">
        <v>46</v>
      </c>
      <c r="J816" s="14">
        <f>Table[[#This Row],[Sell Value]]*Table[[#This Row],[Selling Price]]</f>
        <v>58144</v>
      </c>
      <c r="K816" s="1" t="s">
        <v>4</v>
      </c>
      <c r="L816" s="1" t="s">
        <v>47</v>
      </c>
      <c r="M816" s="1" t="s">
        <v>22</v>
      </c>
      <c r="N816" s="1">
        <v>0.2</v>
      </c>
      <c r="O816" s="1" t="s">
        <v>81</v>
      </c>
      <c r="P816" s="1" t="s">
        <v>62</v>
      </c>
    </row>
    <row r="817" spans="1:16" x14ac:dyDescent="0.25">
      <c r="A817" s="1">
        <v>397999137</v>
      </c>
      <c r="B817" s="1" t="s">
        <v>16</v>
      </c>
      <c r="C817" s="1" t="s">
        <v>17</v>
      </c>
      <c r="D817" s="1">
        <v>48037</v>
      </c>
      <c r="E817" s="1">
        <v>4691</v>
      </c>
      <c r="F817" s="1">
        <v>48</v>
      </c>
      <c r="G817" s="13">
        <f>Table[[#This Row],[Return Value]]/Table[[#This Row],[Sell Value]]</f>
        <v>1.0232359837987636E-2</v>
      </c>
      <c r="H817" s="1" t="s">
        <v>3</v>
      </c>
      <c r="I817" s="1">
        <v>30</v>
      </c>
      <c r="J817" s="14">
        <f>Table[[#This Row],[Sell Value]]*Table[[#This Row],[Selling Price]]</f>
        <v>140730</v>
      </c>
      <c r="K817" s="1" t="s">
        <v>4</v>
      </c>
      <c r="L817" s="1" t="s">
        <v>51</v>
      </c>
      <c r="M817" s="1" t="s">
        <v>59</v>
      </c>
      <c r="N817" s="1">
        <v>0.2</v>
      </c>
      <c r="O817" s="1" t="s">
        <v>81</v>
      </c>
      <c r="P817" s="1" t="s">
        <v>55</v>
      </c>
    </row>
    <row r="818" spans="1:16" x14ac:dyDescent="0.25">
      <c r="A818" s="1">
        <v>697113239</v>
      </c>
      <c r="B818" s="1" t="s">
        <v>20</v>
      </c>
      <c r="C818" s="1" t="s">
        <v>17</v>
      </c>
      <c r="D818" s="1">
        <v>47729</v>
      </c>
      <c r="E818" s="1">
        <v>1363</v>
      </c>
      <c r="F818" s="1">
        <v>49</v>
      </c>
      <c r="G818" s="13">
        <f>Table[[#This Row],[Return Value]]/Table[[#This Row],[Sell Value]]</f>
        <v>3.5950110051357301E-2</v>
      </c>
      <c r="H818" s="1" t="s">
        <v>3</v>
      </c>
      <c r="I818" s="1">
        <v>40</v>
      </c>
      <c r="J818" s="14">
        <f>Table[[#This Row],[Sell Value]]*Table[[#This Row],[Selling Price]]</f>
        <v>54520</v>
      </c>
      <c r="K818" s="1" t="s">
        <v>4</v>
      </c>
      <c r="L818" s="1" t="s">
        <v>54</v>
      </c>
      <c r="M818" s="1" t="s">
        <v>59</v>
      </c>
      <c r="N818" s="1">
        <v>0.2</v>
      </c>
      <c r="O818" s="1" t="s">
        <v>82</v>
      </c>
      <c r="P818" s="1" t="s">
        <v>67</v>
      </c>
    </row>
    <row r="819" spans="1:16" x14ac:dyDescent="0.25">
      <c r="A819" s="1">
        <v>655049559</v>
      </c>
      <c r="B819" s="1" t="s">
        <v>24</v>
      </c>
      <c r="C819" s="1" t="s">
        <v>2</v>
      </c>
      <c r="D819" s="1">
        <v>48012</v>
      </c>
      <c r="E819" s="1">
        <v>1696</v>
      </c>
      <c r="F819" s="1">
        <v>45</v>
      </c>
      <c r="G819" s="13">
        <f>Table[[#This Row],[Return Value]]/Table[[#This Row],[Sell Value]]</f>
        <v>2.6533018867924529E-2</v>
      </c>
      <c r="H819" s="1" t="s">
        <v>3</v>
      </c>
      <c r="I819" s="1">
        <v>34</v>
      </c>
      <c r="J819" s="14">
        <f>Table[[#This Row],[Sell Value]]*Table[[#This Row],[Selling Price]]</f>
        <v>57664</v>
      </c>
      <c r="K819" s="1" t="s">
        <v>4</v>
      </c>
      <c r="L819" s="1" t="s">
        <v>57</v>
      </c>
      <c r="M819" s="1" t="s">
        <v>59</v>
      </c>
      <c r="N819" s="1">
        <v>0.2</v>
      </c>
      <c r="O819" s="1" t="s">
        <v>82</v>
      </c>
      <c r="P819" s="1" t="s">
        <v>66</v>
      </c>
    </row>
    <row r="820" spans="1:16" x14ac:dyDescent="0.25">
      <c r="A820" s="1">
        <v>742467981</v>
      </c>
      <c r="B820" s="1" t="s">
        <v>27</v>
      </c>
      <c r="C820" s="1" t="s">
        <v>2</v>
      </c>
      <c r="D820" s="1">
        <v>48442</v>
      </c>
      <c r="E820" s="1">
        <v>3066</v>
      </c>
      <c r="F820" s="1">
        <v>40</v>
      </c>
      <c r="G820" s="13">
        <f>Table[[#This Row],[Return Value]]/Table[[#This Row],[Sell Value]]</f>
        <v>1.3046314416177429E-2</v>
      </c>
      <c r="H820" s="1" t="s">
        <v>3</v>
      </c>
      <c r="I820" s="1">
        <v>43</v>
      </c>
      <c r="J820" s="14">
        <f>Table[[#This Row],[Sell Value]]*Table[[#This Row],[Selling Price]]</f>
        <v>131838</v>
      </c>
      <c r="K820" s="1" t="s">
        <v>4</v>
      </c>
      <c r="L820" s="1" t="s">
        <v>5</v>
      </c>
      <c r="M820" s="1" t="s">
        <v>48</v>
      </c>
      <c r="N820" s="1">
        <v>0.2</v>
      </c>
      <c r="O820" s="1" t="s">
        <v>82</v>
      </c>
      <c r="P820" s="1" t="s">
        <v>52</v>
      </c>
    </row>
    <row r="821" spans="1:16" x14ac:dyDescent="0.25">
      <c r="A821" s="1">
        <v>793059344</v>
      </c>
      <c r="B821" s="1" t="s">
        <v>32</v>
      </c>
      <c r="C821" s="1" t="s">
        <v>17</v>
      </c>
      <c r="D821" s="1">
        <v>48406</v>
      </c>
      <c r="E821" s="1">
        <v>3383</v>
      </c>
      <c r="F821" s="1">
        <v>46</v>
      </c>
      <c r="G821" s="13">
        <f>Table[[#This Row],[Return Value]]/Table[[#This Row],[Sell Value]]</f>
        <v>1.3597398758498374E-2</v>
      </c>
      <c r="H821" s="1" t="s">
        <v>3</v>
      </c>
      <c r="I821" s="1">
        <v>32</v>
      </c>
      <c r="J821" s="14">
        <f>Table[[#This Row],[Sell Value]]*Table[[#This Row],[Selling Price]]</f>
        <v>108256</v>
      </c>
      <c r="K821" s="1" t="s">
        <v>4</v>
      </c>
      <c r="L821" s="1" t="s">
        <v>9</v>
      </c>
      <c r="M821" s="1" t="s">
        <v>22</v>
      </c>
      <c r="N821" s="1">
        <v>0.2</v>
      </c>
      <c r="O821" s="1" t="s">
        <v>82</v>
      </c>
      <c r="P821" s="1" t="s">
        <v>23</v>
      </c>
    </row>
    <row r="822" spans="1:16" x14ac:dyDescent="0.25">
      <c r="A822" s="1">
        <v>914887627</v>
      </c>
      <c r="B822" s="1" t="s">
        <v>34</v>
      </c>
      <c r="C822" s="1" t="s">
        <v>2</v>
      </c>
      <c r="D822" s="1">
        <v>47914</v>
      </c>
      <c r="E822" s="1">
        <v>3080</v>
      </c>
      <c r="F822" s="1">
        <v>11</v>
      </c>
      <c r="G822" s="13">
        <f>Table[[#This Row],[Return Value]]/Table[[#This Row],[Sell Value]]</f>
        <v>3.5714285714285713E-3</v>
      </c>
      <c r="H822" s="1" t="s">
        <v>3</v>
      </c>
      <c r="I822" s="1">
        <v>40</v>
      </c>
      <c r="J822" s="14">
        <f>Table[[#This Row],[Sell Value]]*Table[[#This Row],[Selling Price]]</f>
        <v>123200</v>
      </c>
      <c r="K822" s="1" t="s">
        <v>4</v>
      </c>
      <c r="L822" s="1" t="s">
        <v>13</v>
      </c>
      <c r="M822" s="1" t="s">
        <v>26</v>
      </c>
      <c r="N822" s="1">
        <v>0.2</v>
      </c>
      <c r="O822" s="1" t="s">
        <v>82</v>
      </c>
      <c r="P822" s="1" t="s">
        <v>49</v>
      </c>
    </row>
    <row r="823" spans="1:16" x14ac:dyDescent="0.25">
      <c r="A823" s="1">
        <v>681593791</v>
      </c>
      <c r="B823" s="1" t="s">
        <v>37</v>
      </c>
      <c r="C823" s="1" t="s">
        <v>17</v>
      </c>
      <c r="D823" s="1">
        <v>47858</v>
      </c>
      <c r="E823" s="1">
        <v>4514</v>
      </c>
      <c r="F823" s="1">
        <v>36</v>
      </c>
      <c r="G823" s="13">
        <f>Table[[#This Row],[Return Value]]/Table[[#This Row],[Sell Value]]</f>
        <v>7.9751883030571551E-3</v>
      </c>
      <c r="H823" s="1" t="s">
        <v>3</v>
      </c>
      <c r="I823" s="1">
        <v>23</v>
      </c>
      <c r="J823" s="14">
        <f>Table[[#This Row],[Sell Value]]*Table[[#This Row],[Selling Price]]</f>
        <v>103822</v>
      </c>
      <c r="K823" s="1" t="s">
        <v>4</v>
      </c>
      <c r="L823" s="1" t="s">
        <v>18</v>
      </c>
      <c r="M823" s="1" t="s">
        <v>6</v>
      </c>
      <c r="N823" s="1">
        <v>0.2</v>
      </c>
      <c r="O823" s="1" t="s">
        <v>82</v>
      </c>
      <c r="P823" s="1" t="s">
        <v>62</v>
      </c>
    </row>
    <row r="824" spans="1:16" x14ac:dyDescent="0.25">
      <c r="A824" s="1">
        <v>82011191</v>
      </c>
      <c r="B824" s="1" t="s">
        <v>40</v>
      </c>
      <c r="C824" s="1" t="s">
        <v>17</v>
      </c>
      <c r="D824" s="1">
        <v>47605</v>
      </c>
      <c r="E824" s="1">
        <v>2478</v>
      </c>
      <c r="F824" s="1">
        <v>22</v>
      </c>
      <c r="G824" s="13">
        <f>Table[[#This Row],[Return Value]]/Table[[#This Row],[Sell Value]]</f>
        <v>8.8781275221953195E-3</v>
      </c>
      <c r="H824" s="1" t="s">
        <v>3</v>
      </c>
      <c r="I824" s="1">
        <v>30</v>
      </c>
      <c r="J824" s="14">
        <f>Table[[#This Row],[Sell Value]]*Table[[#This Row],[Selling Price]]</f>
        <v>74340</v>
      </c>
      <c r="K824" s="1" t="s">
        <v>4</v>
      </c>
      <c r="L824" s="1" t="s">
        <v>21</v>
      </c>
      <c r="M824" s="1" t="s">
        <v>10</v>
      </c>
      <c r="N824" s="1">
        <v>0.2</v>
      </c>
      <c r="O824" s="1" t="s">
        <v>81</v>
      </c>
      <c r="P824" s="1" t="s">
        <v>7</v>
      </c>
    </row>
    <row r="825" spans="1:16" x14ac:dyDescent="0.25">
      <c r="A825" s="1">
        <v>787236854</v>
      </c>
      <c r="B825" s="1" t="s">
        <v>42</v>
      </c>
      <c r="C825" s="1" t="s">
        <v>2</v>
      </c>
      <c r="D825" s="1">
        <v>47665</v>
      </c>
      <c r="E825" s="1">
        <v>2953</v>
      </c>
      <c r="F825" s="1">
        <v>10</v>
      </c>
      <c r="G825" s="13">
        <f>Table[[#This Row],[Return Value]]/Table[[#This Row],[Sell Value]]</f>
        <v>3.3863867253640365E-3</v>
      </c>
      <c r="H825" s="1" t="s">
        <v>3</v>
      </c>
      <c r="I825" s="1">
        <v>21</v>
      </c>
      <c r="J825" s="14">
        <f>Table[[#This Row],[Sell Value]]*Table[[#This Row],[Selling Price]]</f>
        <v>62013</v>
      </c>
      <c r="K825" s="1" t="s">
        <v>4</v>
      </c>
      <c r="L825" s="1" t="s">
        <v>25</v>
      </c>
      <c r="M825" s="1" t="s">
        <v>44</v>
      </c>
      <c r="N825" s="1">
        <v>0.2</v>
      </c>
      <c r="O825" s="1" t="s">
        <v>81</v>
      </c>
      <c r="P825" s="1" t="s">
        <v>19</v>
      </c>
    </row>
    <row r="826" spans="1:16" x14ac:dyDescent="0.25">
      <c r="A826" s="1">
        <v>306538260</v>
      </c>
      <c r="B826" s="1" t="s">
        <v>46</v>
      </c>
      <c r="C826" s="1" t="s">
        <v>2</v>
      </c>
      <c r="D826" s="1">
        <v>48492</v>
      </c>
      <c r="E826" s="1">
        <v>3355</v>
      </c>
      <c r="F826" s="1">
        <v>35</v>
      </c>
      <c r="G826" s="13">
        <f>Table[[#This Row],[Return Value]]/Table[[#This Row],[Sell Value]]</f>
        <v>1.0432190760059613E-2</v>
      </c>
      <c r="H826" s="1" t="s">
        <v>3</v>
      </c>
      <c r="I826" s="1">
        <v>32</v>
      </c>
      <c r="J826" s="14">
        <f>Table[[#This Row],[Sell Value]]*Table[[#This Row],[Selling Price]]</f>
        <v>107360</v>
      </c>
      <c r="K826" s="1" t="s">
        <v>4</v>
      </c>
      <c r="L826" s="1" t="s">
        <v>29</v>
      </c>
      <c r="M826" s="1" t="s">
        <v>26</v>
      </c>
      <c r="N826" s="1">
        <v>0.2</v>
      </c>
      <c r="O826" s="1" t="s">
        <v>81</v>
      </c>
      <c r="P826" s="1" t="s">
        <v>19</v>
      </c>
    </row>
    <row r="827" spans="1:16" x14ac:dyDescent="0.25">
      <c r="A827" s="1">
        <v>269398085</v>
      </c>
      <c r="B827" s="1" t="s">
        <v>50</v>
      </c>
      <c r="C827" s="1" t="s">
        <v>2</v>
      </c>
      <c r="D827" s="1">
        <v>47994</v>
      </c>
      <c r="E827" s="1">
        <v>2331</v>
      </c>
      <c r="F827" s="1">
        <v>30</v>
      </c>
      <c r="G827" s="13">
        <f>Table[[#This Row],[Return Value]]/Table[[#This Row],[Sell Value]]</f>
        <v>1.2870012870012869E-2</v>
      </c>
      <c r="H827" s="1" t="s">
        <v>3</v>
      </c>
      <c r="I827" s="1">
        <v>31</v>
      </c>
      <c r="J827" s="14">
        <f>Table[[#This Row],[Sell Value]]*Table[[#This Row],[Selling Price]]</f>
        <v>72261</v>
      </c>
      <c r="K827" s="1" t="s">
        <v>4</v>
      </c>
      <c r="L827" s="1" t="s">
        <v>29</v>
      </c>
      <c r="M827" s="1" t="s">
        <v>48</v>
      </c>
      <c r="N827" s="1">
        <v>0.2</v>
      </c>
      <c r="O827" s="1" t="s">
        <v>81</v>
      </c>
      <c r="P827" s="1" t="s">
        <v>62</v>
      </c>
    </row>
    <row r="828" spans="1:16" x14ac:dyDescent="0.25">
      <c r="A828" s="1">
        <v>253910514</v>
      </c>
      <c r="B828" s="1" t="s">
        <v>53</v>
      </c>
      <c r="C828" s="1" t="s">
        <v>2</v>
      </c>
      <c r="D828" s="1">
        <v>47715</v>
      </c>
      <c r="E828" s="1">
        <v>4726</v>
      </c>
      <c r="F828" s="1">
        <v>19</v>
      </c>
      <c r="G828" s="13">
        <f>Table[[#This Row],[Return Value]]/Table[[#This Row],[Sell Value]]</f>
        <v>4.0203131612357177E-3</v>
      </c>
      <c r="H828" s="1" t="s">
        <v>3</v>
      </c>
      <c r="I828" s="1">
        <v>42</v>
      </c>
      <c r="J828" s="14">
        <f>Table[[#This Row],[Sell Value]]*Table[[#This Row],[Selling Price]]</f>
        <v>198492</v>
      </c>
      <c r="K828" s="1" t="s">
        <v>4</v>
      </c>
      <c r="L828" s="1" t="s">
        <v>35</v>
      </c>
      <c r="M828" s="1" t="s">
        <v>6</v>
      </c>
      <c r="N828" s="1">
        <v>0.2</v>
      </c>
      <c r="O828" s="1" t="s">
        <v>81</v>
      </c>
      <c r="P828" s="1" t="s">
        <v>19</v>
      </c>
    </row>
    <row r="829" spans="1:16" x14ac:dyDescent="0.25">
      <c r="A829" s="1">
        <v>596998914</v>
      </c>
      <c r="B829" s="1" t="s">
        <v>56</v>
      </c>
      <c r="C829" s="1" t="s">
        <v>2</v>
      </c>
      <c r="D829" s="1">
        <v>48135</v>
      </c>
      <c r="E829" s="1">
        <v>1355</v>
      </c>
      <c r="F829" s="1">
        <v>22</v>
      </c>
      <c r="G829" s="13">
        <f>Table[[#This Row],[Return Value]]/Table[[#This Row],[Sell Value]]</f>
        <v>1.6236162361623615E-2</v>
      </c>
      <c r="H829" s="1" t="s">
        <v>3</v>
      </c>
      <c r="I829" s="1">
        <v>34</v>
      </c>
      <c r="J829" s="14">
        <f>Table[[#This Row],[Sell Value]]*Table[[#This Row],[Selling Price]]</f>
        <v>46070</v>
      </c>
      <c r="K829" s="1" t="s">
        <v>4</v>
      </c>
      <c r="L829" s="1" t="s">
        <v>38</v>
      </c>
      <c r="M829" s="1" t="s">
        <v>48</v>
      </c>
      <c r="N829" s="1">
        <v>0.2</v>
      </c>
      <c r="O829" s="1" t="s">
        <v>82</v>
      </c>
      <c r="P829" s="1" t="s">
        <v>7</v>
      </c>
    </row>
    <row r="830" spans="1:16" x14ac:dyDescent="0.25">
      <c r="A830" s="1">
        <v>71685646</v>
      </c>
      <c r="B830" s="1" t="s">
        <v>1</v>
      </c>
      <c r="C830" s="1" t="s">
        <v>2</v>
      </c>
      <c r="D830" s="1">
        <v>48521</v>
      </c>
      <c r="E830" s="1">
        <v>3433</v>
      </c>
      <c r="F830" s="1">
        <v>30</v>
      </c>
      <c r="G830" s="13">
        <f>Table[[#This Row],[Return Value]]/Table[[#This Row],[Sell Value]]</f>
        <v>8.7387124963588698E-3</v>
      </c>
      <c r="H830" s="1" t="s">
        <v>3</v>
      </c>
      <c r="I830" s="1">
        <v>34</v>
      </c>
      <c r="J830" s="14">
        <f>Table[[#This Row],[Sell Value]]*Table[[#This Row],[Selling Price]]</f>
        <v>116722</v>
      </c>
      <c r="K830" s="1" t="s">
        <v>4</v>
      </c>
      <c r="L830" s="1" t="s">
        <v>41</v>
      </c>
      <c r="M830" s="1" t="s">
        <v>61</v>
      </c>
      <c r="N830" s="1">
        <v>0.2</v>
      </c>
      <c r="O830" s="1" t="s">
        <v>82</v>
      </c>
      <c r="P830" s="1" t="s">
        <v>55</v>
      </c>
    </row>
    <row r="831" spans="1:16" x14ac:dyDescent="0.25">
      <c r="A831" s="1">
        <v>408339503</v>
      </c>
      <c r="B831" s="1" t="s">
        <v>8</v>
      </c>
      <c r="C831" s="1" t="s">
        <v>2</v>
      </c>
      <c r="D831" s="1">
        <v>47716</v>
      </c>
      <c r="E831" s="1">
        <v>4069</v>
      </c>
      <c r="F831" s="1">
        <v>39</v>
      </c>
      <c r="G831" s="13">
        <f>Table[[#This Row],[Return Value]]/Table[[#This Row],[Sell Value]]</f>
        <v>9.5846645367412137E-3</v>
      </c>
      <c r="H831" s="1" t="s">
        <v>3</v>
      </c>
      <c r="I831" s="1">
        <v>50</v>
      </c>
      <c r="J831" s="14">
        <f>Table[[#This Row],[Sell Value]]*Table[[#This Row],[Selling Price]]</f>
        <v>203450</v>
      </c>
      <c r="K831" s="1" t="s">
        <v>4</v>
      </c>
      <c r="L831" s="1" t="s">
        <v>43</v>
      </c>
      <c r="M831" s="1" t="s">
        <v>33</v>
      </c>
      <c r="N831" s="1">
        <v>0.2</v>
      </c>
      <c r="O831" s="1" t="s">
        <v>82</v>
      </c>
      <c r="P831" s="1" t="s">
        <v>55</v>
      </c>
    </row>
    <row r="832" spans="1:16" x14ac:dyDescent="0.25">
      <c r="A832" s="1">
        <v>754532655</v>
      </c>
      <c r="B832" s="1" t="s">
        <v>12</v>
      </c>
      <c r="C832" s="1" t="s">
        <v>2</v>
      </c>
      <c r="D832" s="1">
        <v>48114</v>
      </c>
      <c r="E832" s="1">
        <v>4117</v>
      </c>
      <c r="F832" s="1">
        <v>46</v>
      </c>
      <c r="G832" s="13">
        <f>Table[[#This Row],[Return Value]]/Table[[#This Row],[Sell Value]]</f>
        <v>1.11731843575419E-2</v>
      </c>
      <c r="H832" s="1" t="s">
        <v>3</v>
      </c>
      <c r="I832" s="1">
        <v>41</v>
      </c>
      <c r="J832" s="14">
        <f>Table[[#This Row],[Sell Value]]*Table[[#This Row],[Selling Price]]</f>
        <v>168797</v>
      </c>
      <c r="K832" s="1" t="s">
        <v>4</v>
      </c>
      <c r="L832" s="1" t="s">
        <v>47</v>
      </c>
      <c r="M832" s="1" t="s">
        <v>30</v>
      </c>
      <c r="N832" s="1">
        <v>0.2</v>
      </c>
      <c r="O832" s="1" t="s">
        <v>82</v>
      </c>
      <c r="P832" s="1" t="s">
        <v>36</v>
      </c>
    </row>
    <row r="833" spans="1:16" x14ac:dyDescent="0.25">
      <c r="A833" s="1">
        <v>463381864</v>
      </c>
      <c r="B833" s="1" t="s">
        <v>16</v>
      </c>
      <c r="C833" s="1" t="s">
        <v>17</v>
      </c>
      <c r="D833" s="1">
        <v>47849</v>
      </c>
      <c r="E833" s="1">
        <v>4759</v>
      </c>
      <c r="F833" s="1">
        <v>34</v>
      </c>
      <c r="G833" s="13">
        <f>Table[[#This Row],[Return Value]]/Table[[#This Row],[Sell Value]]</f>
        <v>7.1443580584156334E-3</v>
      </c>
      <c r="H833" s="1" t="s">
        <v>3</v>
      </c>
      <c r="I833" s="1">
        <v>45</v>
      </c>
      <c r="J833" s="14">
        <f>Table[[#This Row],[Sell Value]]*Table[[#This Row],[Selling Price]]</f>
        <v>214155</v>
      </c>
      <c r="K833" s="1" t="s">
        <v>4</v>
      </c>
      <c r="L833" s="1" t="s">
        <v>51</v>
      </c>
      <c r="M833" s="1" t="s">
        <v>61</v>
      </c>
      <c r="N833" s="1">
        <v>0.2</v>
      </c>
      <c r="O833" s="1" t="s">
        <v>81</v>
      </c>
      <c r="P833" s="1" t="s">
        <v>39</v>
      </c>
    </row>
    <row r="834" spans="1:16" x14ac:dyDescent="0.25">
      <c r="A834" s="1">
        <v>781204404</v>
      </c>
      <c r="B834" s="1" t="s">
        <v>20</v>
      </c>
      <c r="C834" s="1" t="s">
        <v>17</v>
      </c>
      <c r="D834" s="1">
        <v>48432</v>
      </c>
      <c r="E834" s="1">
        <v>2213</v>
      </c>
      <c r="F834" s="1">
        <v>11</v>
      </c>
      <c r="G834" s="13">
        <f>Table[[#This Row],[Return Value]]/Table[[#This Row],[Sell Value]]</f>
        <v>4.9706281066425667E-3</v>
      </c>
      <c r="H834" s="1" t="s">
        <v>3</v>
      </c>
      <c r="I834" s="1">
        <v>34</v>
      </c>
      <c r="J834" s="14">
        <f>Table[[#This Row],[Sell Value]]*Table[[#This Row],[Selling Price]]</f>
        <v>75242</v>
      </c>
      <c r="K834" s="1" t="s">
        <v>4</v>
      </c>
      <c r="L834" s="1" t="s">
        <v>54</v>
      </c>
      <c r="M834" s="1" t="s">
        <v>14</v>
      </c>
      <c r="N834" s="1">
        <v>0.2</v>
      </c>
      <c r="O834" s="1" t="s">
        <v>81</v>
      </c>
      <c r="P834" s="1" t="s">
        <v>66</v>
      </c>
    </row>
    <row r="835" spans="1:16" x14ac:dyDescent="0.25">
      <c r="A835" s="1">
        <v>332222128</v>
      </c>
      <c r="B835" s="1" t="s">
        <v>24</v>
      </c>
      <c r="C835" s="1" t="s">
        <v>2</v>
      </c>
      <c r="D835" s="1">
        <v>48391</v>
      </c>
      <c r="E835" s="1">
        <v>1913</v>
      </c>
      <c r="F835" s="1">
        <v>39</v>
      </c>
      <c r="G835" s="13">
        <f>Table[[#This Row],[Return Value]]/Table[[#This Row],[Sell Value]]</f>
        <v>2.0386826973340304E-2</v>
      </c>
      <c r="H835" s="1" t="s">
        <v>28</v>
      </c>
      <c r="I835" s="1">
        <v>27</v>
      </c>
      <c r="J835" s="14">
        <f>Table[[#This Row],[Sell Value]]*Table[[#This Row],[Selling Price]]</f>
        <v>51651</v>
      </c>
      <c r="K835" s="1" t="s">
        <v>4</v>
      </c>
      <c r="L835" s="1" t="s">
        <v>57</v>
      </c>
      <c r="M835" s="1" t="s">
        <v>6</v>
      </c>
      <c r="N835" s="1">
        <v>0.2</v>
      </c>
      <c r="O835" s="1" t="s">
        <v>81</v>
      </c>
      <c r="P835" s="1" t="s">
        <v>11</v>
      </c>
    </row>
    <row r="836" spans="1:16" x14ac:dyDescent="0.25">
      <c r="A836" s="1">
        <v>811539784</v>
      </c>
      <c r="B836" s="1" t="s">
        <v>27</v>
      </c>
      <c r="C836" s="1" t="s">
        <v>2</v>
      </c>
      <c r="D836" s="1">
        <v>47495</v>
      </c>
      <c r="E836" s="1">
        <v>3736</v>
      </c>
      <c r="F836" s="1">
        <v>44</v>
      </c>
      <c r="G836" s="13">
        <f>Table[[#This Row],[Return Value]]/Table[[#This Row],[Sell Value]]</f>
        <v>1.1777301927194861E-2</v>
      </c>
      <c r="H836" s="1" t="s">
        <v>3</v>
      </c>
      <c r="I836" s="1">
        <v>34</v>
      </c>
      <c r="J836" s="14">
        <f>Table[[#This Row],[Sell Value]]*Table[[#This Row],[Selling Price]]</f>
        <v>127024</v>
      </c>
      <c r="K836" s="1" t="s">
        <v>4</v>
      </c>
      <c r="L836" s="1" t="s">
        <v>5</v>
      </c>
      <c r="M836" s="1" t="s">
        <v>48</v>
      </c>
      <c r="N836" s="1">
        <v>0.2</v>
      </c>
      <c r="O836" s="1" t="s">
        <v>82</v>
      </c>
      <c r="P836" s="1" t="s">
        <v>67</v>
      </c>
    </row>
    <row r="837" spans="1:16" x14ac:dyDescent="0.25">
      <c r="A837" s="1">
        <v>129955813</v>
      </c>
      <c r="B837" s="1" t="s">
        <v>32</v>
      </c>
      <c r="C837" s="1" t="s">
        <v>17</v>
      </c>
      <c r="D837" s="1">
        <v>48416</v>
      </c>
      <c r="E837" s="1">
        <v>1000</v>
      </c>
      <c r="F837" s="1">
        <v>25</v>
      </c>
      <c r="G837" s="13">
        <f>Table[[#This Row],[Return Value]]/Table[[#This Row],[Sell Value]]</f>
        <v>2.5000000000000001E-2</v>
      </c>
      <c r="H837" s="1" t="s">
        <v>3</v>
      </c>
      <c r="I837" s="1">
        <v>37</v>
      </c>
      <c r="J837" s="14">
        <f>Table[[#This Row],[Sell Value]]*Table[[#This Row],[Selling Price]]</f>
        <v>37000</v>
      </c>
      <c r="K837" s="1" t="s">
        <v>4</v>
      </c>
      <c r="L837" s="1" t="s">
        <v>9</v>
      </c>
      <c r="M837" s="1" t="s">
        <v>22</v>
      </c>
      <c r="N837" s="1">
        <v>0.2</v>
      </c>
      <c r="O837" s="1" t="s">
        <v>82</v>
      </c>
      <c r="P837" s="1" t="s">
        <v>49</v>
      </c>
    </row>
    <row r="838" spans="1:16" x14ac:dyDescent="0.25">
      <c r="A838" s="1">
        <v>761978961</v>
      </c>
      <c r="B838" s="1" t="s">
        <v>34</v>
      </c>
      <c r="C838" s="1" t="s">
        <v>2</v>
      </c>
      <c r="D838" s="1">
        <v>47982</v>
      </c>
      <c r="E838" s="1">
        <v>1365</v>
      </c>
      <c r="F838" s="1">
        <v>27</v>
      </c>
      <c r="G838" s="13">
        <f>Table[[#This Row],[Return Value]]/Table[[#This Row],[Sell Value]]</f>
        <v>1.9780219780219779E-2</v>
      </c>
      <c r="H838" s="1" t="s">
        <v>3</v>
      </c>
      <c r="I838" s="1">
        <v>47</v>
      </c>
      <c r="J838" s="14">
        <f>Table[[#This Row],[Sell Value]]*Table[[#This Row],[Selling Price]]</f>
        <v>64155</v>
      </c>
      <c r="K838" s="1" t="s">
        <v>4</v>
      </c>
      <c r="L838" s="1" t="s">
        <v>13</v>
      </c>
      <c r="M838" s="1" t="s">
        <v>59</v>
      </c>
      <c r="N838" s="1">
        <v>0.2</v>
      </c>
      <c r="O838" s="1" t="s">
        <v>82</v>
      </c>
      <c r="P838" s="1" t="s">
        <v>11</v>
      </c>
    </row>
    <row r="839" spans="1:16" x14ac:dyDescent="0.25">
      <c r="A839" s="1">
        <v>75064051</v>
      </c>
      <c r="B839" s="1" t="s">
        <v>37</v>
      </c>
      <c r="C839" s="1" t="s">
        <v>17</v>
      </c>
      <c r="D839" s="1">
        <v>47682</v>
      </c>
      <c r="E839" s="1">
        <v>3965</v>
      </c>
      <c r="F839" s="1">
        <v>19</v>
      </c>
      <c r="G839" s="13">
        <f>Table[[#This Row],[Return Value]]/Table[[#This Row],[Sell Value]]</f>
        <v>4.7919293820933165E-3</v>
      </c>
      <c r="H839" s="1" t="s">
        <v>3</v>
      </c>
      <c r="I839" s="1">
        <v>49</v>
      </c>
      <c r="J839" s="14">
        <f>Table[[#This Row],[Sell Value]]*Table[[#This Row],[Selling Price]]</f>
        <v>194285</v>
      </c>
      <c r="K839" s="1" t="s">
        <v>4</v>
      </c>
      <c r="L839" s="1" t="s">
        <v>18</v>
      </c>
      <c r="M839" s="1" t="s">
        <v>14</v>
      </c>
      <c r="N839" s="1">
        <v>0.2</v>
      </c>
      <c r="O839" s="1" t="s">
        <v>81</v>
      </c>
      <c r="P839" s="1" t="s">
        <v>62</v>
      </c>
    </row>
    <row r="840" spans="1:16" x14ac:dyDescent="0.25">
      <c r="A840" s="1">
        <v>967105045</v>
      </c>
      <c r="B840" s="1" t="s">
        <v>40</v>
      </c>
      <c r="C840" s="1" t="s">
        <v>17</v>
      </c>
      <c r="D840" s="1">
        <v>48307</v>
      </c>
      <c r="E840" s="1">
        <v>3570</v>
      </c>
      <c r="F840" s="1">
        <v>18</v>
      </c>
      <c r="G840" s="13">
        <f>Table[[#This Row],[Return Value]]/Table[[#This Row],[Sell Value]]</f>
        <v>5.0420168067226894E-3</v>
      </c>
      <c r="H840" s="1" t="s">
        <v>3</v>
      </c>
      <c r="I840" s="1">
        <v>23</v>
      </c>
      <c r="J840" s="14">
        <f>Table[[#This Row],[Sell Value]]*Table[[#This Row],[Selling Price]]</f>
        <v>82110</v>
      </c>
      <c r="K840" s="1" t="s">
        <v>4</v>
      </c>
      <c r="L840" s="1" t="s">
        <v>21</v>
      </c>
      <c r="M840" s="1" t="s">
        <v>48</v>
      </c>
      <c r="N840" s="1">
        <v>0.2</v>
      </c>
      <c r="O840" s="1" t="s">
        <v>82</v>
      </c>
      <c r="P840" s="1" t="s">
        <v>67</v>
      </c>
    </row>
    <row r="841" spans="1:16" x14ac:dyDescent="0.25">
      <c r="A841" s="1">
        <v>204326200</v>
      </c>
      <c r="B841" s="1" t="s">
        <v>42</v>
      </c>
      <c r="C841" s="1" t="s">
        <v>2</v>
      </c>
      <c r="D841" s="1">
        <v>47765</v>
      </c>
      <c r="E841" s="1">
        <v>2744</v>
      </c>
      <c r="F841" s="1">
        <v>37</v>
      </c>
      <c r="G841" s="13">
        <f>Table[[#This Row],[Return Value]]/Table[[#This Row],[Sell Value]]</f>
        <v>1.348396501457726E-2</v>
      </c>
      <c r="H841" s="1" t="s">
        <v>3</v>
      </c>
      <c r="I841" s="1">
        <v>31</v>
      </c>
      <c r="J841" s="14">
        <f>Table[[#This Row],[Sell Value]]*Table[[#This Row],[Selling Price]]</f>
        <v>85064</v>
      </c>
      <c r="K841" s="1" t="s">
        <v>4</v>
      </c>
      <c r="L841" s="1" t="s">
        <v>25</v>
      </c>
      <c r="M841" s="1" t="s">
        <v>30</v>
      </c>
      <c r="N841" s="1">
        <v>0.2</v>
      </c>
      <c r="O841" s="1" t="s">
        <v>81</v>
      </c>
      <c r="P841" s="1" t="s">
        <v>65</v>
      </c>
    </row>
    <row r="842" spans="1:16" x14ac:dyDescent="0.25">
      <c r="A842" s="1">
        <v>753235748</v>
      </c>
      <c r="B842" s="1" t="s">
        <v>46</v>
      </c>
      <c r="C842" s="1" t="s">
        <v>2</v>
      </c>
      <c r="D842" s="1">
        <v>47768</v>
      </c>
      <c r="E842" s="1">
        <v>2851</v>
      </c>
      <c r="F842" s="1">
        <v>13</v>
      </c>
      <c r="G842" s="13">
        <f>Table[[#This Row],[Return Value]]/Table[[#This Row],[Sell Value]]</f>
        <v>4.5598035776920377E-3</v>
      </c>
      <c r="H842" s="1" t="s">
        <v>3</v>
      </c>
      <c r="I842" s="1">
        <v>29</v>
      </c>
      <c r="J842" s="14">
        <f>Table[[#This Row],[Sell Value]]*Table[[#This Row],[Selling Price]]</f>
        <v>82679</v>
      </c>
      <c r="K842" s="1" t="s">
        <v>4</v>
      </c>
      <c r="L842" s="1" t="s">
        <v>29</v>
      </c>
      <c r="M842" s="1" t="s">
        <v>48</v>
      </c>
      <c r="N842" s="1">
        <v>0.2</v>
      </c>
      <c r="O842" s="1" t="s">
        <v>82</v>
      </c>
      <c r="P842" s="1" t="s">
        <v>55</v>
      </c>
    </row>
    <row r="843" spans="1:16" x14ac:dyDescent="0.25">
      <c r="A843" s="1">
        <v>391435971</v>
      </c>
      <c r="B843" s="1" t="s">
        <v>12</v>
      </c>
      <c r="C843" s="1" t="s">
        <v>2</v>
      </c>
      <c r="D843" s="1">
        <v>48345</v>
      </c>
      <c r="E843" s="1">
        <v>2320</v>
      </c>
      <c r="F843" s="1">
        <v>14</v>
      </c>
      <c r="G843" s="13">
        <f>Table[[#This Row],[Return Value]]/Table[[#This Row],[Sell Value]]</f>
        <v>6.0344827586206896E-3</v>
      </c>
      <c r="H843" s="1" t="s">
        <v>3</v>
      </c>
      <c r="I843" s="1">
        <v>34</v>
      </c>
      <c r="J843" s="14">
        <f>Table[[#This Row],[Sell Value]]*Table[[#This Row],[Selling Price]]</f>
        <v>78880</v>
      </c>
      <c r="K843" s="1" t="s">
        <v>4</v>
      </c>
      <c r="L843" s="1" t="s">
        <v>29</v>
      </c>
      <c r="M843" s="1" t="s">
        <v>26</v>
      </c>
      <c r="N843" s="1">
        <v>0.2</v>
      </c>
      <c r="O843" s="1" t="s">
        <v>81</v>
      </c>
      <c r="P843" s="1" t="s">
        <v>23</v>
      </c>
    </row>
    <row r="844" spans="1:16" x14ac:dyDescent="0.25">
      <c r="A844" s="1">
        <v>617629244</v>
      </c>
      <c r="B844" s="1" t="s">
        <v>16</v>
      </c>
      <c r="C844" s="1" t="s">
        <v>17</v>
      </c>
      <c r="D844" s="1">
        <v>47541</v>
      </c>
      <c r="E844" s="1">
        <v>3197</v>
      </c>
      <c r="F844" s="1">
        <v>20</v>
      </c>
      <c r="G844" s="13">
        <f>Table[[#This Row],[Return Value]]/Table[[#This Row],[Sell Value]]</f>
        <v>6.2558648733187366E-3</v>
      </c>
      <c r="H844" s="1" t="s">
        <v>3</v>
      </c>
      <c r="I844" s="1">
        <v>49</v>
      </c>
      <c r="J844" s="14">
        <f>Table[[#This Row],[Sell Value]]*Table[[#This Row],[Selling Price]]</f>
        <v>156653</v>
      </c>
      <c r="K844" s="1" t="s">
        <v>4</v>
      </c>
      <c r="L844" s="1" t="s">
        <v>35</v>
      </c>
      <c r="M844" s="1" t="s">
        <v>61</v>
      </c>
      <c r="N844" s="1">
        <v>0.2</v>
      </c>
      <c r="O844" s="1" t="s">
        <v>82</v>
      </c>
      <c r="P844" s="1" t="s">
        <v>45</v>
      </c>
    </row>
    <row r="845" spans="1:16" x14ac:dyDescent="0.25">
      <c r="A845" s="1">
        <v>67322305</v>
      </c>
      <c r="B845" s="1" t="s">
        <v>20</v>
      </c>
      <c r="C845" s="1" t="s">
        <v>17</v>
      </c>
      <c r="D845" s="1">
        <v>47580</v>
      </c>
      <c r="E845" s="1">
        <v>3664</v>
      </c>
      <c r="F845" s="1">
        <v>37</v>
      </c>
      <c r="G845" s="13">
        <f>Table[[#This Row],[Return Value]]/Table[[#This Row],[Sell Value]]</f>
        <v>1.009825327510917E-2</v>
      </c>
      <c r="H845" s="1" t="s">
        <v>28</v>
      </c>
      <c r="I845" s="1">
        <v>22</v>
      </c>
      <c r="J845" s="14">
        <f>Table[[#This Row],[Sell Value]]*Table[[#This Row],[Selling Price]]</f>
        <v>80608</v>
      </c>
      <c r="K845" s="1" t="s">
        <v>4</v>
      </c>
      <c r="L845" s="1" t="s">
        <v>38</v>
      </c>
      <c r="M845" s="1" t="s">
        <v>26</v>
      </c>
      <c r="N845" s="1">
        <v>0.2</v>
      </c>
      <c r="O845" s="1" t="s">
        <v>81</v>
      </c>
      <c r="P845" s="1" t="s">
        <v>65</v>
      </c>
    </row>
    <row r="846" spans="1:16" x14ac:dyDescent="0.25">
      <c r="A846" s="1">
        <v>103233668</v>
      </c>
      <c r="B846" s="1" t="s">
        <v>24</v>
      </c>
      <c r="C846" s="1" t="s">
        <v>2</v>
      </c>
      <c r="D846" s="1">
        <v>47851</v>
      </c>
      <c r="E846" s="1">
        <v>2404</v>
      </c>
      <c r="F846" s="1">
        <v>34</v>
      </c>
      <c r="G846" s="13">
        <f>Table[[#This Row],[Return Value]]/Table[[#This Row],[Sell Value]]</f>
        <v>1.4143094841930116E-2</v>
      </c>
      <c r="H846" s="1" t="s">
        <v>3</v>
      </c>
      <c r="I846" s="1">
        <v>35</v>
      </c>
      <c r="J846" s="14">
        <f>Table[[#This Row],[Sell Value]]*Table[[#This Row],[Selling Price]]</f>
        <v>84140</v>
      </c>
      <c r="K846" s="1" t="s">
        <v>4</v>
      </c>
      <c r="L846" s="1" t="s">
        <v>41</v>
      </c>
      <c r="M846" s="1" t="s">
        <v>30</v>
      </c>
      <c r="N846" s="1">
        <v>0.2</v>
      </c>
      <c r="O846" s="1" t="s">
        <v>81</v>
      </c>
      <c r="P846" s="1" t="s">
        <v>45</v>
      </c>
    </row>
    <row r="847" spans="1:16" x14ac:dyDescent="0.25">
      <c r="A847" s="1">
        <v>374674994</v>
      </c>
      <c r="B847" s="1" t="s">
        <v>27</v>
      </c>
      <c r="C847" s="1" t="s">
        <v>2</v>
      </c>
      <c r="D847" s="1">
        <v>48290</v>
      </c>
      <c r="E847" s="1">
        <v>1460</v>
      </c>
      <c r="F847" s="1">
        <v>15</v>
      </c>
      <c r="G847" s="13">
        <f>Table[[#This Row],[Return Value]]/Table[[#This Row],[Sell Value]]</f>
        <v>1.0273972602739725E-2</v>
      </c>
      <c r="H847" s="1" t="s">
        <v>3</v>
      </c>
      <c r="I847" s="1">
        <v>41</v>
      </c>
      <c r="J847" s="14">
        <f>Table[[#This Row],[Sell Value]]*Table[[#This Row],[Selling Price]]</f>
        <v>59860</v>
      </c>
      <c r="K847" s="1" t="s">
        <v>4</v>
      </c>
      <c r="L847" s="1" t="s">
        <v>43</v>
      </c>
      <c r="M847" s="1" t="s">
        <v>59</v>
      </c>
      <c r="N847" s="1">
        <v>0.2</v>
      </c>
      <c r="O847" s="1" t="s">
        <v>82</v>
      </c>
      <c r="P847" s="1" t="s">
        <v>31</v>
      </c>
    </row>
    <row r="848" spans="1:16" x14ac:dyDescent="0.25">
      <c r="A848" s="1">
        <v>289965246</v>
      </c>
      <c r="B848" s="1" t="s">
        <v>32</v>
      </c>
      <c r="C848" s="1" t="s">
        <v>17</v>
      </c>
      <c r="D848" s="1">
        <v>48336</v>
      </c>
      <c r="E848" s="1">
        <v>3211</v>
      </c>
      <c r="F848" s="1">
        <v>17</v>
      </c>
      <c r="G848" s="13">
        <f>Table[[#This Row],[Return Value]]/Table[[#This Row],[Sell Value]]</f>
        <v>5.2943008408595452E-3</v>
      </c>
      <c r="H848" s="1" t="s">
        <v>3</v>
      </c>
      <c r="I848" s="1">
        <v>48</v>
      </c>
      <c r="J848" s="14">
        <f>Table[[#This Row],[Sell Value]]*Table[[#This Row],[Selling Price]]</f>
        <v>154128</v>
      </c>
      <c r="K848" s="1" t="s">
        <v>4</v>
      </c>
      <c r="L848" s="1" t="s">
        <v>47</v>
      </c>
      <c r="M848" s="1" t="s">
        <v>61</v>
      </c>
      <c r="N848" s="1">
        <v>0.2</v>
      </c>
      <c r="O848" s="1" t="s">
        <v>81</v>
      </c>
      <c r="P848" s="1" t="s">
        <v>7</v>
      </c>
    </row>
    <row r="849" spans="1:16" x14ac:dyDescent="0.25">
      <c r="A849" s="1">
        <v>394172590</v>
      </c>
      <c r="B849" s="1" t="s">
        <v>34</v>
      </c>
      <c r="C849" s="1" t="s">
        <v>2</v>
      </c>
      <c r="D849" s="1">
        <v>48540</v>
      </c>
      <c r="E849" s="1">
        <v>4303</v>
      </c>
      <c r="F849" s="1">
        <v>20</v>
      </c>
      <c r="G849" s="13">
        <f>Table[[#This Row],[Return Value]]/Table[[#This Row],[Sell Value]]</f>
        <v>4.6479200557750407E-3</v>
      </c>
      <c r="H849" s="1" t="s">
        <v>3</v>
      </c>
      <c r="I849" s="1">
        <v>28</v>
      </c>
      <c r="J849" s="14">
        <f>Table[[#This Row],[Sell Value]]*Table[[#This Row],[Selling Price]]</f>
        <v>120484</v>
      </c>
      <c r="K849" s="1" t="s">
        <v>4</v>
      </c>
      <c r="L849" s="1" t="s">
        <v>51</v>
      </c>
      <c r="M849" s="1" t="s">
        <v>30</v>
      </c>
      <c r="N849" s="1">
        <v>0.2</v>
      </c>
      <c r="O849" s="1" t="s">
        <v>82</v>
      </c>
      <c r="P849" s="1" t="s">
        <v>58</v>
      </c>
    </row>
    <row r="850" spans="1:16" x14ac:dyDescent="0.25">
      <c r="A850" s="1">
        <v>395699330</v>
      </c>
      <c r="B850" s="1" t="s">
        <v>37</v>
      </c>
      <c r="C850" s="1" t="s">
        <v>17</v>
      </c>
      <c r="D850" s="1">
        <v>47962</v>
      </c>
      <c r="E850" s="1">
        <v>3760</v>
      </c>
      <c r="F850" s="1">
        <v>15</v>
      </c>
      <c r="G850" s="13">
        <f>Table[[#This Row],[Return Value]]/Table[[#This Row],[Sell Value]]</f>
        <v>3.9893617021276593E-3</v>
      </c>
      <c r="H850" s="1" t="s">
        <v>3</v>
      </c>
      <c r="I850" s="1">
        <v>20</v>
      </c>
      <c r="J850" s="14">
        <f>Table[[#This Row],[Sell Value]]*Table[[#This Row],[Selling Price]]</f>
        <v>75200</v>
      </c>
      <c r="K850" s="1" t="s">
        <v>4</v>
      </c>
      <c r="L850" s="1" t="s">
        <v>54</v>
      </c>
      <c r="M850" s="1" t="s">
        <v>44</v>
      </c>
      <c r="N850" s="1">
        <v>0.2</v>
      </c>
      <c r="O850" s="1" t="s">
        <v>81</v>
      </c>
      <c r="P850" s="1" t="s">
        <v>39</v>
      </c>
    </row>
    <row r="851" spans="1:16" x14ac:dyDescent="0.25">
      <c r="A851" s="1">
        <v>774726043</v>
      </c>
      <c r="B851" s="1" t="s">
        <v>40</v>
      </c>
      <c r="C851" s="1" t="s">
        <v>17</v>
      </c>
      <c r="D851" s="1">
        <v>48203</v>
      </c>
      <c r="E851" s="1">
        <v>3021</v>
      </c>
      <c r="F851" s="1">
        <v>37</v>
      </c>
      <c r="G851" s="13">
        <f>Table[[#This Row],[Return Value]]/Table[[#This Row],[Sell Value]]</f>
        <v>1.2247600132406488E-2</v>
      </c>
      <c r="H851" s="1" t="s">
        <v>3</v>
      </c>
      <c r="I851" s="1">
        <v>32</v>
      </c>
      <c r="J851" s="14">
        <f>Table[[#This Row],[Sell Value]]*Table[[#This Row],[Selling Price]]</f>
        <v>96672</v>
      </c>
      <c r="K851" s="1" t="s">
        <v>4</v>
      </c>
      <c r="L851" s="1" t="s">
        <v>57</v>
      </c>
      <c r="M851" s="1" t="s">
        <v>10</v>
      </c>
      <c r="N851" s="1">
        <v>0.2</v>
      </c>
      <c r="O851" s="1" t="s">
        <v>82</v>
      </c>
      <c r="P851" s="1" t="s">
        <v>36</v>
      </c>
    </row>
    <row r="852" spans="1:16" x14ac:dyDescent="0.25">
      <c r="A852" s="1">
        <v>717196501</v>
      </c>
      <c r="B852" s="1" t="s">
        <v>42</v>
      </c>
      <c r="C852" s="1" t="s">
        <v>2</v>
      </c>
      <c r="D852" s="1">
        <v>48551</v>
      </c>
      <c r="E852" s="1">
        <v>4471</v>
      </c>
      <c r="F852" s="1">
        <v>17</v>
      </c>
      <c r="G852" s="13">
        <f>Table[[#This Row],[Return Value]]/Table[[#This Row],[Sell Value]]</f>
        <v>3.8022813688212928E-3</v>
      </c>
      <c r="H852" s="1" t="s">
        <v>3</v>
      </c>
      <c r="I852" s="1">
        <v>41</v>
      </c>
      <c r="J852" s="14">
        <f>Table[[#This Row],[Sell Value]]*Table[[#This Row],[Selling Price]]</f>
        <v>183311</v>
      </c>
      <c r="K852" s="1" t="s">
        <v>4</v>
      </c>
      <c r="L852" s="1" t="s">
        <v>5</v>
      </c>
      <c r="M852" s="1" t="s">
        <v>48</v>
      </c>
      <c r="N852" s="1">
        <v>0.2</v>
      </c>
      <c r="O852" s="1" t="s">
        <v>81</v>
      </c>
      <c r="P852" s="1" t="s">
        <v>11</v>
      </c>
    </row>
    <row r="853" spans="1:16" x14ac:dyDescent="0.25">
      <c r="A853" s="1">
        <v>964689606</v>
      </c>
      <c r="B853" s="1" t="s">
        <v>46</v>
      </c>
      <c r="C853" s="1" t="s">
        <v>2</v>
      </c>
      <c r="D853" s="1">
        <v>48082</v>
      </c>
      <c r="E853" s="1">
        <v>1803</v>
      </c>
      <c r="F853" s="1">
        <v>31</v>
      </c>
      <c r="G853" s="13">
        <f>Table[[#This Row],[Return Value]]/Table[[#This Row],[Sell Value]]</f>
        <v>1.7193566278424846E-2</v>
      </c>
      <c r="H853" s="1" t="s">
        <v>3</v>
      </c>
      <c r="I853" s="1">
        <v>40</v>
      </c>
      <c r="J853" s="14">
        <f>Table[[#This Row],[Sell Value]]*Table[[#This Row],[Selling Price]]</f>
        <v>72120</v>
      </c>
      <c r="K853" s="1" t="s">
        <v>4</v>
      </c>
      <c r="L853" s="1" t="s">
        <v>9</v>
      </c>
      <c r="M853" s="1" t="s">
        <v>33</v>
      </c>
      <c r="N853" s="1">
        <v>0.2</v>
      </c>
      <c r="O853" s="1" t="s">
        <v>81</v>
      </c>
      <c r="P853" s="1" t="s">
        <v>11</v>
      </c>
    </row>
    <row r="854" spans="1:16" x14ac:dyDescent="0.25">
      <c r="A854" s="1">
        <v>648283534</v>
      </c>
      <c r="B854" s="1" t="s">
        <v>50</v>
      </c>
      <c r="C854" s="1" t="s">
        <v>2</v>
      </c>
      <c r="D854" s="1">
        <v>48515</v>
      </c>
      <c r="E854" s="1">
        <v>2799</v>
      </c>
      <c r="F854" s="1">
        <v>20</v>
      </c>
      <c r="G854" s="13">
        <f>Table[[#This Row],[Return Value]]/Table[[#This Row],[Sell Value]]</f>
        <v>7.145409074669525E-3</v>
      </c>
      <c r="H854" s="1" t="s">
        <v>64</v>
      </c>
      <c r="I854" s="1">
        <v>41</v>
      </c>
      <c r="J854" s="14">
        <f>Table[[#This Row],[Sell Value]]*Table[[#This Row],[Selling Price]]</f>
        <v>114759</v>
      </c>
      <c r="K854" s="1" t="s">
        <v>4</v>
      </c>
      <c r="L854" s="1" t="s">
        <v>13</v>
      </c>
      <c r="M854" s="1" t="s">
        <v>44</v>
      </c>
      <c r="N854" s="1">
        <v>0.2</v>
      </c>
      <c r="O854" s="1" t="s">
        <v>82</v>
      </c>
      <c r="P854" s="1" t="s">
        <v>49</v>
      </c>
    </row>
    <row r="855" spans="1:16" x14ac:dyDescent="0.25">
      <c r="A855" s="1">
        <v>732750601</v>
      </c>
      <c r="B855" s="1" t="s">
        <v>53</v>
      </c>
      <c r="C855" s="1" t="s">
        <v>2</v>
      </c>
      <c r="D855" s="1">
        <v>48137</v>
      </c>
      <c r="E855" s="1">
        <v>1366</v>
      </c>
      <c r="F855" s="1">
        <v>44</v>
      </c>
      <c r="G855" s="13">
        <f>Table[[#This Row],[Return Value]]/Table[[#This Row],[Sell Value]]</f>
        <v>3.2210834553440704E-2</v>
      </c>
      <c r="H855" s="1" t="s">
        <v>3</v>
      </c>
      <c r="I855" s="1">
        <v>44</v>
      </c>
      <c r="J855" s="14">
        <f>Table[[#This Row],[Sell Value]]*Table[[#This Row],[Selling Price]]</f>
        <v>60104</v>
      </c>
      <c r="K855" s="1" t="s">
        <v>4</v>
      </c>
      <c r="L855" s="1" t="s">
        <v>18</v>
      </c>
      <c r="M855" s="1" t="s">
        <v>22</v>
      </c>
      <c r="N855" s="1">
        <v>0.2</v>
      </c>
      <c r="O855" s="1" t="s">
        <v>81</v>
      </c>
      <c r="P855" s="1" t="s">
        <v>15</v>
      </c>
    </row>
    <row r="856" spans="1:16" x14ac:dyDescent="0.25">
      <c r="A856" s="1">
        <v>15713937</v>
      </c>
      <c r="B856" s="1" t="s">
        <v>56</v>
      </c>
      <c r="C856" s="1" t="s">
        <v>2</v>
      </c>
      <c r="D856" s="1">
        <v>47674</v>
      </c>
      <c r="E856" s="1">
        <v>4180</v>
      </c>
      <c r="F856" s="1">
        <v>22</v>
      </c>
      <c r="G856" s="13">
        <f>Table[[#This Row],[Return Value]]/Table[[#This Row],[Sell Value]]</f>
        <v>5.263157894736842E-3</v>
      </c>
      <c r="H856" s="1" t="s">
        <v>3</v>
      </c>
      <c r="I856" s="1">
        <v>44</v>
      </c>
      <c r="J856" s="14">
        <f>Table[[#This Row],[Sell Value]]*Table[[#This Row],[Selling Price]]</f>
        <v>183920</v>
      </c>
      <c r="K856" s="1" t="s">
        <v>4</v>
      </c>
      <c r="L856" s="1" t="s">
        <v>21</v>
      </c>
      <c r="M856" s="1" t="s">
        <v>26</v>
      </c>
      <c r="N856" s="1">
        <v>0.2</v>
      </c>
      <c r="O856" s="1" t="s">
        <v>82</v>
      </c>
      <c r="P856" s="1" t="s">
        <v>63</v>
      </c>
    </row>
    <row r="857" spans="1:16" x14ac:dyDescent="0.25">
      <c r="A857" s="1">
        <v>607018526</v>
      </c>
      <c r="B857" s="1" t="s">
        <v>1</v>
      </c>
      <c r="C857" s="1" t="s">
        <v>2</v>
      </c>
      <c r="D857" s="1">
        <v>48039</v>
      </c>
      <c r="E857" s="1">
        <v>1872</v>
      </c>
      <c r="F857" s="1">
        <v>47</v>
      </c>
      <c r="G857" s="13">
        <f>Table[[#This Row],[Return Value]]/Table[[#This Row],[Sell Value]]</f>
        <v>2.5106837606837608E-2</v>
      </c>
      <c r="H857" s="1" t="s">
        <v>3</v>
      </c>
      <c r="I857" s="1">
        <v>27</v>
      </c>
      <c r="J857" s="14">
        <f>Table[[#This Row],[Sell Value]]*Table[[#This Row],[Selling Price]]</f>
        <v>50544</v>
      </c>
      <c r="K857" s="1" t="s">
        <v>4</v>
      </c>
      <c r="L857" s="1" t="s">
        <v>25</v>
      </c>
      <c r="M857" s="1" t="s">
        <v>22</v>
      </c>
      <c r="N857" s="1">
        <v>0.2</v>
      </c>
      <c r="O857" s="1" t="s">
        <v>81</v>
      </c>
      <c r="P857" s="1" t="s">
        <v>39</v>
      </c>
    </row>
    <row r="858" spans="1:16" x14ac:dyDescent="0.25">
      <c r="A858" s="1">
        <v>178576433</v>
      </c>
      <c r="B858" s="1" t="s">
        <v>8</v>
      </c>
      <c r="C858" s="1" t="s">
        <v>2</v>
      </c>
      <c r="D858" s="1">
        <v>48313</v>
      </c>
      <c r="E858" s="1">
        <v>1282</v>
      </c>
      <c r="F858" s="1">
        <v>16</v>
      </c>
      <c r="G858" s="13">
        <f>Table[[#This Row],[Return Value]]/Table[[#This Row],[Sell Value]]</f>
        <v>1.2480499219968799E-2</v>
      </c>
      <c r="H858" s="1" t="s">
        <v>3</v>
      </c>
      <c r="I858" s="1">
        <v>36</v>
      </c>
      <c r="J858" s="14">
        <f>Table[[#This Row],[Sell Value]]*Table[[#This Row],[Selling Price]]</f>
        <v>46152</v>
      </c>
      <c r="K858" s="1" t="s">
        <v>4</v>
      </c>
      <c r="L858" s="1" t="s">
        <v>29</v>
      </c>
      <c r="M858" s="1" t="s">
        <v>26</v>
      </c>
      <c r="N858" s="1">
        <v>0.2</v>
      </c>
      <c r="O858" s="1" t="s">
        <v>82</v>
      </c>
      <c r="P858" s="1" t="s">
        <v>52</v>
      </c>
    </row>
    <row r="859" spans="1:16" x14ac:dyDescent="0.25">
      <c r="A859" s="1">
        <v>617022116</v>
      </c>
      <c r="B859" s="1" t="s">
        <v>12</v>
      </c>
      <c r="C859" s="1" t="s">
        <v>2</v>
      </c>
      <c r="D859" s="1">
        <v>48345</v>
      </c>
      <c r="E859" s="1">
        <v>2993</v>
      </c>
      <c r="F859" s="1">
        <v>25</v>
      </c>
      <c r="G859" s="13">
        <f>Table[[#This Row],[Return Value]]/Table[[#This Row],[Sell Value]]</f>
        <v>8.35282325425994E-3</v>
      </c>
      <c r="H859" s="1" t="s">
        <v>3</v>
      </c>
      <c r="I859" s="1">
        <v>20</v>
      </c>
      <c r="J859" s="14">
        <f>Table[[#This Row],[Sell Value]]*Table[[#This Row],[Selling Price]]</f>
        <v>59860</v>
      </c>
      <c r="K859" s="1" t="s">
        <v>4</v>
      </c>
      <c r="L859" s="1" t="s">
        <v>29</v>
      </c>
      <c r="M859" s="1" t="s">
        <v>14</v>
      </c>
      <c r="N859" s="1">
        <v>0.2</v>
      </c>
      <c r="O859" s="1" t="s">
        <v>82</v>
      </c>
      <c r="P859" s="1" t="s">
        <v>15</v>
      </c>
    </row>
    <row r="860" spans="1:16" x14ac:dyDescent="0.25">
      <c r="A860" s="1">
        <v>985091899</v>
      </c>
      <c r="B860" s="1" t="s">
        <v>16</v>
      </c>
      <c r="C860" s="1" t="s">
        <v>17</v>
      </c>
      <c r="D860" s="1">
        <v>48053</v>
      </c>
      <c r="E860" s="1">
        <v>4968</v>
      </c>
      <c r="F860" s="1">
        <v>40</v>
      </c>
      <c r="G860" s="13">
        <f>Table[[#This Row],[Return Value]]/Table[[#This Row],[Sell Value]]</f>
        <v>8.0515297906602248E-3</v>
      </c>
      <c r="H860" s="1" t="s">
        <v>3</v>
      </c>
      <c r="I860" s="1">
        <v>25</v>
      </c>
      <c r="J860" s="14">
        <f>Table[[#This Row],[Sell Value]]*Table[[#This Row],[Selling Price]]</f>
        <v>124200</v>
      </c>
      <c r="K860" s="1" t="s">
        <v>4</v>
      </c>
      <c r="L860" s="1" t="s">
        <v>35</v>
      </c>
      <c r="M860" s="1" t="s">
        <v>14</v>
      </c>
      <c r="N860" s="1">
        <v>0.2</v>
      </c>
      <c r="O860" s="1" t="s">
        <v>81</v>
      </c>
      <c r="P860" s="1" t="s">
        <v>11</v>
      </c>
    </row>
    <row r="861" spans="1:16" x14ac:dyDescent="0.25">
      <c r="A861" s="1">
        <v>585307791</v>
      </c>
      <c r="B861" s="1" t="s">
        <v>20</v>
      </c>
      <c r="C861" s="1" t="s">
        <v>17</v>
      </c>
      <c r="D861" s="1">
        <v>48232</v>
      </c>
      <c r="E861" s="1">
        <v>4190</v>
      </c>
      <c r="F861" s="1">
        <v>30</v>
      </c>
      <c r="G861" s="13">
        <f>Table[[#This Row],[Return Value]]/Table[[#This Row],[Sell Value]]</f>
        <v>7.1599045346062056E-3</v>
      </c>
      <c r="H861" s="1" t="s">
        <v>3</v>
      </c>
      <c r="I861" s="1">
        <v>47</v>
      </c>
      <c r="J861" s="14">
        <f>Table[[#This Row],[Sell Value]]*Table[[#This Row],[Selling Price]]</f>
        <v>196930</v>
      </c>
      <c r="K861" s="1" t="s">
        <v>4</v>
      </c>
      <c r="L861" s="1" t="s">
        <v>38</v>
      </c>
      <c r="M861" s="1" t="s">
        <v>48</v>
      </c>
      <c r="N861" s="1">
        <v>0.2</v>
      </c>
      <c r="O861" s="1" t="s">
        <v>81</v>
      </c>
      <c r="P861" s="1" t="s">
        <v>15</v>
      </c>
    </row>
    <row r="862" spans="1:16" x14ac:dyDescent="0.25">
      <c r="A862" s="1">
        <v>500927265</v>
      </c>
      <c r="B862" s="1" t="s">
        <v>24</v>
      </c>
      <c r="C862" s="1" t="s">
        <v>2</v>
      </c>
      <c r="D862" s="1">
        <v>47733</v>
      </c>
      <c r="E862" s="1">
        <v>2854</v>
      </c>
      <c r="F862" s="1">
        <v>42</v>
      </c>
      <c r="G862" s="13">
        <f>Table[[#This Row],[Return Value]]/Table[[#This Row],[Sell Value]]</f>
        <v>1.4716187806587245E-2</v>
      </c>
      <c r="H862" s="1" t="s">
        <v>3</v>
      </c>
      <c r="I862" s="1">
        <v>47</v>
      </c>
      <c r="J862" s="14">
        <f>Table[[#This Row],[Sell Value]]*Table[[#This Row],[Selling Price]]</f>
        <v>134138</v>
      </c>
      <c r="K862" s="1" t="s">
        <v>4</v>
      </c>
      <c r="L862" s="1" t="s">
        <v>41</v>
      </c>
      <c r="M862" s="1" t="s">
        <v>6</v>
      </c>
      <c r="N862" s="1">
        <v>0.2</v>
      </c>
      <c r="O862" s="1" t="s">
        <v>82</v>
      </c>
      <c r="P862" s="1" t="s">
        <v>65</v>
      </c>
    </row>
    <row r="863" spans="1:16" x14ac:dyDescent="0.25">
      <c r="A863" s="1">
        <v>399209814</v>
      </c>
      <c r="B863" s="1" t="s">
        <v>27</v>
      </c>
      <c r="C863" s="1" t="s">
        <v>2</v>
      </c>
      <c r="D863" s="1">
        <v>48526</v>
      </c>
      <c r="E863" s="1">
        <v>3460</v>
      </c>
      <c r="F863" s="1">
        <v>45</v>
      </c>
      <c r="G863" s="13">
        <f>Table[[#This Row],[Return Value]]/Table[[#This Row],[Sell Value]]</f>
        <v>1.300578034682081E-2</v>
      </c>
      <c r="H863" s="1" t="s">
        <v>3</v>
      </c>
      <c r="I863" s="1">
        <v>40</v>
      </c>
      <c r="J863" s="14">
        <f>Table[[#This Row],[Sell Value]]*Table[[#This Row],[Selling Price]]</f>
        <v>138400</v>
      </c>
      <c r="K863" s="1" t="s">
        <v>4</v>
      </c>
      <c r="L863" s="1" t="s">
        <v>43</v>
      </c>
      <c r="M863" s="1" t="s">
        <v>22</v>
      </c>
      <c r="N863" s="1">
        <v>0.2</v>
      </c>
      <c r="O863" s="1" t="s">
        <v>82</v>
      </c>
      <c r="P863" s="1" t="s">
        <v>60</v>
      </c>
    </row>
    <row r="864" spans="1:16" x14ac:dyDescent="0.25">
      <c r="A864" s="1">
        <v>711702752</v>
      </c>
      <c r="B864" s="1" t="s">
        <v>32</v>
      </c>
      <c r="C864" s="1" t="s">
        <v>17</v>
      </c>
      <c r="D864" s="1">
        <v>48092</v>
      </c>
      <c r="E864" s="1">
        <v>1059</v>
      </c>
      <c r="F864" s="1">
        <v>15</v>
      </c>
      <c r="G864" s="13">
        <f>Table[[#This Row],[Return Value]]/Table[[#This Row],[Sell Value]]</f>
        <v>1.4164305949008499E-2</v>
      </c>
      <c r="H864" s="1" t="s">
        <v>3</v>
      </c>
      <c r="I864" s="1">
        <v>38</v>
      </c>
      <c r="J864" s="14">
        <f>Table[[#This Row],[Sell Value]]*Table[[#This Row],[Selling Price]]</f>
        <v>40242</v>
      </c>
      <c r="K864" s="1" t="s">
        <v>4</v>
      </c>
      <c r="L864" s="1" t="s">
        <v>47</v>
      </c>
      <c r="M864" s="1" t="s">
        <v>30</v>
      </c>
      <c r="N864" s="1">
        <v>0.2</v>
      </c>
      <c r="O864" s="1" t="s">
        <v>81</v>
      </c>
      <c r="P864" s="1" t="s">
        <v>11</v>
      </c>
    </row>
    <row r="865" spans="1:16" x14ac:dyDescent="0.25">
      <c r="A865" s="1">
        <v>956036698</v>
      </c>
      <c r="B865" s="1" t="s">
        <v>34</v>
      </c>
      <c r="C865" s="1" t="s">
        <v>2</v>
      </c>
      <c r="D865" s="1">
        <v>47960</v>
      </c>
      <c r="E865" s="1">
        <v>4644</v>
      </c>
      <c r="F865" s="1">
        <v>48</v>
      </c>
      <c r="G865" s="13">
        <f>Table[[#This Row],[Return Value]]/Table[[#This Row],[Sell Value]]</f>
        <v>1.0335917312661499E-2</v>
      </c>
      <c r="H865" s="1" t="s">
        <v>28</v>
      </c>
      <c r="I865" s="1">
        <v>45</v>
      </c>
      <c r="J865" s="14">
        <f>Table[[#This Row],[Sell Value]]*Table[[#This Row],[Selling Price]]</f>
        <v>208980</v>
      </c>
      <c r="K865" s="1" t="s">
        <v>4</v>
      </c>
      <c r="L865" s="1" t="s">
        <v>51</v>
      </c>
      <c r="M865" s="1" t="s">
        <v>48</v>
      </c>
      <c r="N865" s="1">
        <v>0.2</v>
      </c>
      <c r="O865" s="1" t="s">
        <v>82</v>
      </c>
      <c r="P865" s="1" t="s">
        <v>63</v>
      </c>
    </row>
    <row r="866" spans="1:16" x14ac:dyDescent="0.25">
      <c r="A866" s="1">
        <v>113413555</v>
      </c>
      <c r="B866" s="1" t="s">
        <v>37</v>
      </c>
      <c r="C866" s="1" t="s">
        <v>17</v>
      </c>
      <c r="D866" s="1">
        <v>47510</v>
      </c>
      <c r="E866" s="1">
        <v>1134</v>
      </c>
      <c r="F866" s="1">
        <v>32</v>
      </c>
      <c r="G866" s="13">
        <f>Table[[#This Row],[Return Value]]/Table[[#This Row],[Sell Value]]</f>
        <v>2.821869488536155E-2</v>
      </c>
      <c r="H866" s="1" t="s">
        <v>3</v>
      </c>
      <c r="I866" s="1">
        <v>34</v>
      </c>
      <c r="J866" s="14">
        <f>Table[[#This Row],[Sell Value]]*Table[[#This Row],[Selling Price]]</f>
        <v>38556</v>
      </c>
      <c r="K866" s="1" t="s">
        <v>4</v>
      </c>
      <c r="L866" s="1" t="s">
        <v>54</v>
      </c>
      <c r="M866" s="1" t="s">
        <v>14</v>
      </c>
      <c r="N866" s="1">
        <v>0.2</v>
      </c>
      <c r="O866" s="1" t="s">
        <v>81</v>
      </c>
      <c r="P866" s="1" t="s">
        <v>19</v>
      </c>
    </row>
    <row r="867" spans="1:16" x14ac:dyDescent="0.25">
      <c r="A867" s="1">
        <v>545660809</v>
      </c>
      <c r="B867" s="1" t="s">
        <v>40</v>
      </c>
      <c r="C867" s="1" t="s">
        <v>17</v>
      </c>
      <c r="D867" s="1">
        <v>48151</v>
      </c>
      <c r="E867" s="1">
        <v>2175</v>
      </c>
      <c r="F867" s="1">
        <v>24</v>
      </c>
      <c r="G867" s="13">
        <f>Table[[#This Row],[Return Value]]/Table[[#This Row],[Sell Value]]</f>
        <v>1.1034482758620689E-2</v>
      </c>
      <c r="H867" s="1" t="s">
        <v>3</v>
      </c>
      <c r="I867" s="1">
        <v>29</v>
      </c>
      <c r="J867" s="14">
        <f>Table[[#This Row],[Sell Value]]*Table[[#This Row],[Selling Price]]</f>
        <v>63075</v>
      </c>
      <c r="K867" s="1" t="s">
        <v>4</v>
      </c>
      <c r="L867" s="1" t="s">
        <v>57</v>
      </c>
      <c r="M867" s="1" t="s">
        <v>59</v>
      </c>
      <c r="N867" s="1">
        <v>0.2</v>
      </c>
      <c r="O867" s="1" t="s">
        <v>81</v>
      </c>
      <c r="P867" s="1" t="s">
        <v>23</v>
      </c>
    </row>
    <row r="868" spans="1:16" x14ac:dyDescent="0.25">
      <c r="A868" s="1">
        <v>114640473</v>
      </c>
      <c r="B868" s="1" t="s">
        <v>42</v>
      </c>
      <c r="C868" s="1" t="s">
        <v>2</v>
      </c>
      <c r="D868" s="1">
        <v>48506</v>
      </c>
      <c r="E868" s="1">
        <v>4274</v>
      </c>
      <c r="F868" s="1">
        <v>14</v>
      </c>
      <c r="G868" s="13">
        <f>Table[[#This Row],[Return Value]]/Table[[#This Row],[Sell Value]]</f>
        <v>3.2756200280767431E-3</v>
      </c>
      <c r="H868" s="1" t="s">
        <v>3</v>
      </c>
      <c r="I868" s="1">
        <v>24</v>
      </c>
      <c r="J868" s="14">
        <f>Table[[#This Row],[Sell Value]]*Table[[#This Row],[Selling Price]]</f>
        <v>102576</v>
      </c>
      <c r="K868" s="1" t="s">
        <v>4</v>
      </c>
      <c r="L868" s="1" t="s">
        <v>5</v>
      </c>
      <c r="M868" s="1" t="s">
        <v>33</v>
      </c>
      <c r="N868" s="1">
        <v>0.2</v>
      </c>
      <c r="O868" s="1" t="s">
        <v>81</v>
      </c>
      <c r="P868" s="1" t="s">
        <v>23</v>
      </c>
    </row>
    <row r="869" spans="1:16" x14ac:dyDescent="0.25">
      <c r="A869" s="1">
        <v>987222221</v>
      </c>
      <c r="B869" s="1" t="s">
        <v>46</v>
      </c>
      <c r="C869" s="1" t="s">
        <v>2</v>
      </c>
      <c r="D869" s="1">
        <v>48270</v>
      </c>
      <c r="E869" s="1">
        <v>1192</v>
      </c>
      <c r="F869" s="1">
        <v>50</v>
      </c>
      <c r="G869" s="13">
        <f>Table[[#This Row],[Return Value]]/Table[[#This Row],[Sell Value]]</f>
        <v>4.1946308724832217E-2</v>
      </c>
      <c r="H869" s="1" t="s">
        <v>3</v>
      </c>
      <c r="I869" s="1">
        <v>23</v>
      </c>
      <c r="J869" s="14">
        <f>Table[[#This Row],[Sell Value]]*Table[[#This Row],[Selling Price]]</f>
        <v>27416</v>
      </c>
      <c r="K869" s="1" t="s">
        <v>4</v>
      </c>
      <c r="L869" s="1" t="s">
        <v>9</v>
      </c>
      <c r="M869" s="1" t="s">
        <v>44</v>
      </c>
      <c r="N869" s="1">
        <v>0.2</v>
      </c>
      <c r="O869" s="1" t="s">
        <v>81</v>
      </c>
      <c r="P869" s="1" t="s">
        <v>23</v>
      </c>
    </row>
    <row r="870" spans="1:16" x14ac:dyDescent="0.25">
      <c r="A870" s="1">
        <v>896188908</v>
      </c>
      <c r="B870" s="1" t="s">
        <v>50</v>
      </c>
      <c r="C870" s="1" t="s">
        <v>2</v>
      </c>
      <c r="D870" s="1">
        <v>48112</v>
      </c>
      <c r="E870" s="1">
        <v>2365</v>
      </c>
      <c r="F870" s="1">
        <v>24</v>
      </c>
      <c r="G870" s="13">
        <f>Table[[#This Row],[Return Value]]/Table[[#This Row],[Sell Value]]</f>
        <v>1.014799154334038E-2</v>
      </c>
      <c r="H870" s="1" t="s">
        <v>28</v>
      </c>
      <c r="I870" s="1">
        <v>31</v>
      </c>
      <c r="J870" s="14">
        <f>Table[[#This Row],[Sell Value]]*Table[[#This Row],[Selling Price]]</f>
        <v>73315</v>
      </c>
      <c r="K870" s="1" t="s">
        <v>4</v>
      </c>
      <c r="L870" s="1" t="s">
        <v>13</v>
      </c>
      <c r="M870" s="1" t="s">
        <v>59</v>
      </c>
      <c r="N870" s="1">
        <v>0.2</v>
      </c>
      <c r="O870" s="1" t="s">
        <v>82</v>
      </c>
      <c r="P870" s="1" t="s">
        <v>23</v>
      </c>
    </row>
    <row r="871" spans="1:16" x14ac:dyDescent="0.25">
      <c r="A871" s="1">
        <v>667175629</v>
      </c>
      <c r="B871" s="1" t="s">
        <v>53</v>
      </c>
      <c r="C871" s="1" t="s">
        <v>2</v>
      </c>
      <c r="D871" s="1">
        <v>47852</v>
      </c>
      <c r="E871" s="1">
        <v>4700</v>
      </c>
      <c r="F871" s="1">
        <v>19</v>
      </c>
      <c r="G871" s="13">
        <f>Table[[#This Row],[Return Value]]/Table[[#This Row],[Sell Value]]</f>
        <v>4.0425531914893616E-3</v>
      </c>
      <c r="H871" s="1" t="s">
        <v>3</v>
      </c>
      <c r="I871" s="1">
        <v>31</v>
      </c>
      <c r="J871" s="14">
        <f>Table[[#This Row],[Sell Value]]*Table[[#This Row],[Selling Price]]</f>
        <v>145700</v>
      </c>
      <c r="K871" s="1" t="s">
        <v>4</v>
      </c>
      <c r="L871" s="1" t="s">
        <v>18</v>
      </c>
      <c r="M871" s="1" t="s">
        <v>33</v>
      </c>
      <c r="N871" s="1">
        <v>0.2</v>
      </c>
      <c r="O871" s="1" t="s">
        <v>81</v>
      </c>
      <c r="P871" s="1" t="s">
        <v>62</v>
      </c>
    </row>
    <row r="872" spans="1:16" x14ac:dyDescent="0.25">
      <c r="A872" s="1">
        <v>455362927</v>
      </c>
      <c r="B872" s="1" t="s">
        <v>56</v>
      </c>
      <c r="C872" s="1" t="s">
        <v>2</v>
      </c>
      <c r="D872" s="1">
        <v>48335</v>
      </c>
      <c r="E872" s="1">
        <v>2695</v>
      </c>
      <c r="F872" s="1">
        <v>34</v>
      </c>
      <c r="G872" s="13">
        <f>Table[[#This Row],[Return Value]]/Table[[#This Row],[Sell Value]]</f>
        <v>1.2615955473098329E-2</v>
      </c>
      <c r="H872" s="1" t="s">
        <v>3</v>
      </c>
      <c r="I872" s="1">
        <v>43</v>
      </c>
      <c r="J872" s="14">
        <f>Table[[#This Row],[Sell Value]]*Table[[#This Row],[Selling Price]]</f>
        <v>115885</v>
      </c>
      <c r="K872" s="1" t="s">
        <v>4</v>
      </c>
      <c r="L872" s="1" t="s">
        <v>21</v>
      </c>
      <c r="M872" s="1" t="s">
        <v>33</v>
      </c>
      <c r="N872" s="1">
        <v>0.2</v>
      </c>
      <c r="O872" s="1" t="s">
        <v>81</v>
      </c>
      <c r="P872" s="1" t="s">
        <v>36</v>
      </c>
    </row>
    <row r="873" spans="1:16" x14ac:dyDescent="0.25">
      <c r="A873" s="1">
        <v>731502970</v>
      </c>
      <c r="B873" s="1" t="s">
        <v>1</v>
      </c>
      <c r="C873" s="1" t="s">
        <v>2</v>
      </c>
      <c r="D873" s="1">
        <v>47658</v>
      </c>
      <c r="E873" s="1">
        <v>1307</v>
      </c>
      <c r="F873" s="1">
        <v>35</v>
      </c>
      <c r="G873" s="13">
        <f>Table[[#This Row],[Return Value]]/Table[[#This Row],[Sell Value]]</f>
        <v>2.6778882938026015E-2</v>
      </c>
      <c r="H873" s="1" t="s">
        <v>3</v>
      </c>
      <c r="I873" s="1">
        <v>31</v>
      </c>
      <c r="J873" s="14">
        <f>Table[[#This Row],[Sell Value]]*Table[[#This Row],[Selling Price]]</f>
        <v>40517</v>
      </c>
      <c r="K873" s="1" t="s">
        <v>4</v>
      </c>
      <c r="L873" s="1" t="s">
        <v>25</v>
      </c>
      <c r="M873" s="1" t="s">
        <v>10</v>
      </c>
      <c r="N873" s="1">
        <v>0.2</v>
      </c>
      <c r="O873" s="1" t="s">
        <v>81</v>
      </c>
      <c r="P873" s="1" t="s">
        <v>23</v>
      </c>
    </row>
    <row r="874" spans="1:16" x14ac:dyDescent="0.25">
      <c r="A874" s="1">
        <v>537945165</v>
      </c>
      <c r="B874" s="1" t="s">
        <v>8</v>
      </c>
      <c r="C874" s="1" t="s">
        <v>2</v>
      </c>
      <c r="D874" s="1">
        <v>48017</v>
      </c>
      <c r="E874" s="1">
        <v>2686</v>
      </c>
      <c r="F874" s="1">
        <v>11</v>
      </c>
      <c r="G874" s="13">
        <f>Table[[#This Row],[Return Value]]/Table[[#This Row],[Sell Value]]</f>
        <v>4.0953090096798213E-3</v>
      </c>
      <c r="H874" s="1" t="s">
        <v>3</v>
      </c>
      <c r="I874" s="1">
        <v>47</v>
      </c>
      <c r="J874" s="14">
        <f>Table[[#This Row],[Sell Value]]*Table[[#This Row],[Selling Price]]</f>
        <v>126242</v>
      </c>
      <c r="K874" s="1" t="s">
        <v>4</v>
      </c>
      <c r="L874" s="1" t="s">
        <v>29</v>
      </c>
      <c r="M874" s="1" t="s">
        <v>59</v>
      </c>
      <c r="N874" s="1">
        <v>0.2</v>
      </c>
      <c r="O874" s="1" t="s">
        <v>81</v>
      </c>
      <c r="P874" s="1" t="s">
        <v>66</v>
      </c>
    </row>
    <row r="875" spans="1:16" x14ac:dyDescent="0.25">
      <c r="A875" s="1">
        <v>63857446</v>
      </c>
      <c r="B875" s="1" t="s">
        <v>12</v>
      </c>
      <c r="C875" s="1" t="s">
        <v>2</v>
      </c>
      <c r="D875" s="1">
        <v>47820</v>
      </c>
      <c r="E875" s="1">
        <v>1912</v>
      </c>
      <c r="F875" s="1">
        <v>24</v>
      </c>
      <c r="G875" s="13">
        <f>Table[[#This Row],[Return Value]]/Table[[#This Row],[Sell Value]]</f>
        <v>1.2552301255230125E-2</v>
      </c>
      <c r="H875" s="1" t="s">
        <v>3</v>
      </c>
      <c r="I875" s="1">
        <v>27</v>
      </c>
      <c r="J875" s="14">
        <f>Table[[#This Row],[Sell Value]]*Table[[#This Row],[Selling Price]]</f>
        <v>51624</v>
      </c>
      <c r="K875" s="1" t="s">
        <v>4</v>
      </c>
      <c r="L875" s="1" t="s">
        <v>29</v>
      </c>
      <c r="M875" s="1" t="s">
        <v>14</v>
      </c>
      <c r="N875" s="1">
        <v>0.2</v>
      </c>
      <c r="O875" s="1" t="s">
        <v>81</v>
      </c>
      <c r="P875" s="1" t="s">
        <v>66</v>
      </c>
    </row>
    <row r="876" spans="1:16" x14ac:dyDescent="0.25">
      <c r="A876" s="1">
        <v>979398711</v>
      </c>
      <c r="B876" s="1" t="s">
        <v>16</v>
      </c>
      <c r="C876" s="1" t="s">
        <v>17</v>
      </c>
      <c r="D876" s="1">
        <v>47828</v>
      </c>
      <c r="E876" s="1">
        <v>1774</v>
      </c>
      <c r="F876" s="1">
        <v>36</v>
      </c>
      <c r="G876" s="13">
        <f>Table[[#This Row],[Return Value]]/Table[[#This Row],[Sell Value]]</f>
        <v>2.0293122886133032E-2</v>
      </c>
      <c r="H876" s="1" t="s">
        <v>3</v>
      </c>
      <c r="I876" s="1">
        <v>44</v>
      </c>
      <c r="J876" s="14">
        <f>Table[[#This Row],[Sell Value]]*Table[[#This Row],[Selling Price]]</f>
        <v>78056</v>
      </c>
      <c r="K876" s="1" t="s">
        <v>4</v>
      </c>
      <c r="L876" s="1" t="s">
        <v>35</v>
      </c>
      <c r="M876" s="1" t="s">
        <v>14</v>
      </c>
      <c r="N876" s="1">
        <v>0.2</v>
      </c>
      <c r="O876" s="1" t="s">
        <v>82</v>
      </c>
      <c r="P876" s="1" t="s">
        <v>65</v>
      </c>
    </row>
    <row r="877" spans="1:16" x14ac:dyDescent="0.25">
      <c r="A877" s="1">
        <v>609574065</v>
      </c>
      <c r="B877" s="1" t="s">
        <v>20</v>
      </c>
      <c r="C877" s="1" t="s">
        <v>17</v>
      </c>
      <c r="D877" s="1">
        <v>47648</v>
      </c>
      <c r="E877" s="1">
        <v>1924</v>
      </c>
      <c r="F877" s="1">
        <v>10</v>
      </c>
      <c r="G877" s="13">
        <f>Table[[#This Row],[Return Value]]/Table[[#This Row],[Sell Value]]</f>
        <v>5.1975051975051978E-3</v>
      </c>
      <c r="H877" s="1" t="s">
        <v>3</v>
      </c>
      <c r="I877" s="1">
        <v>50</v>
      </c>
      <c r="J877" s="14">
        <f>Table[[#This Row],[Sell Value]]*Table[[#This Row],[Selling Price]]</f>
        <v>96200</v>
      </c>
      <c r="K877" s="1" t="s">
        <v>4</v>
      </c>
      <c r="L877" s="1" t="s">
        <v>38</v>
      </c>
      <c r="M877" s="1" t="s">
        <v>6</v>
      </c>
      <c r="N877" s="1">
        <v>0.2</v>
      </c>
      <c r="O877" s="1" t="s">
        <v>82</v>
      </c>
      <c r="P877" s="1" t="s">
        <v>67</v>
      </c>
    </row>
    <row r="878" spans="1:16" x14ac:dyDescent="0.25">
      <c r="A878" s="1">
        <v>819420546</v>
      </c>
      <c r="B878" s="1" t="s">
        <v>24</v>
      </c>
      <c r="C878" s="1" t="s">
        <v>2</v>
      </c>
      <c r="D878" s="1">
        <v>47980</v>
      </c>
      <c r="E878" s="1">
        <v>1242</v>
      </c>
      <c r="F878" s="1">
        <v>36</v>
      </c>
      <c r="G878" s="13">
        <f>Table[[#This Row],[Return Value]]/Table[[#This Row],[Sell Value]]</f>
        <v>2.8985507246376812E-2</v>
      </c>
      <c r="H878" s="1" t="s">
        <v>3</v>
      </c>
      <c r="I878" s="1">
        <v>44</v>
      </c>
      <c r="J878" s="14">
        <f>Table[[#This Row],[Sell Value]]*Table[[#This Row],[Selling Price]]</f>
        <v>54648</v>
      </c>
      <c r="K878" s="1" t="s">
        <v>4</v>
      </c>
      <c r="L878" s="1" t="s">
        <v>41</v>
      </c>
      <c r="M878" s="1" t="s">
        <v>59</v>
      </c>
      <c r="N878" s="1">
        <v>0.2</v>
      </c>
      <c r="O878" s="1" t="s">
        <v>82</v>
      </c>
      <c r="P878" s="1" t="s">
        <v>7</v>
      </c>
    </row>
    <row r="879" spans="1:16" x14ac:dyDescent="0.25">
      <c r="A879" s="1">
        <v>503748016</v>
      </c>
      <c r="B879" s="1" t="s">
        <v>27</v>
      </c>
      <c r="C879" s="1" t="s">
        <v>2</v>
      </c>
      <c r="D879" s="1">
        <v>48241</v>
      </c>
      <c r="E879" s="1">
        <v>1885</v>
      </c>
      <c r="F879" s="1">
        <v>49</v>
      </c>
      <c r="G879" s="13">
        <f>Table[[#This Row],[Return Value]]/Table[[#This Row],[Sell Value]]</f>
        <v>2.59946949602122E-2</v>
      </c>
      <c r="H879" s="1" t="s">
        <v>3</v>
      </c>
      <c r="I879" s="1">
        <v>21</v>
      </c>
      <c r="J879" s="14">
        <f>Table[[#This Row],[Sell Value]]*Table[[#This Row],[Selling Price]]</f>
        <v>39585</v>
      </c>
      <c r="K879" s="1" t="s">
        <v>4</v>
      </c>
      <c r="L879" s="1" t="s">
        <v>43</v>
      </c>
      <c r="M879" s="1" t="s">
        <v>6</v>
      </c>
      <c r="N879" s="1">
        <v>0.2</v>
      </c>
      <c r="O879" s="1" t="s">
        <v>81</v>
      </c>
      <c r="P879" s="1" t="s">
        <v>36</v>
      </c>
    </row>
    <row r="880" spans="1:16" x14ac:dyDescent="0.25">
      <c r="A880" s="1">
        <v>644796507</v>
      </c>
      <c r="B880" s="1" t="s">
        <v>32</v>
      </c>
      <c r="C880" s="1" t="s">
        <v>17</v>
      </c>
      <c r="D880" s="1">
        <v>48497</v>
      </c>
      <c r="E880" s="1">
        <v>2510</v>
      </c>
      <c r="F880" s="1">
        <v>44</v>
      </c>
      <c r="G880" s="13">
        <f>Table[[#This Row],[Return Value]]/Table[[#This Row],[Sell Value]]</f>
        <v>1.752988047808765E-2</v>
      </c>
      <c r="H880" s="1" t="s">
        <v>3</v>
      </c>
      <c r="I880" s="1">
        <v>26</v>
      </c>
      <c r="J880" s="14">
        <f>Table[[#This Row],[Sell Value]]*Table[[#This Row],[Selling Price]]</f>
        <v>65260</v>
      </c>
      <c r="K880" s="1" t="s">
        <v>4</v>
      </c>
      <c r="L880" s="1" t="s">
        <v>47</v>
      </c>
      <c r="M880" s="1" t="s">
        <v>6</v>
      </c>
      <c r="N880" s="1">
        <v>0.2</v>
      </c>
      <c r="O880" s="1" t="s">
        <v>82</v>
      </c>
      <c r="P880" s="1" t="s">
        <v>63</v>
      </c>
    </row>
    <row r="881" spans="1:16" x14ac:dyDescent="0.25">
      <c r="A881" s="1">
        <v>923785387</v>
      </c>
      <c r="B881" s="1" t="s">
        <v>34</v>
      </c>
      <c r="C881" s="1" t="s">
        <v>2</v>
      </c>
      <c r="D881" s="1">
        <v>47521</v>
      </c>
      <c r="E881" s="1">
        <v>3234</v>
      </c>
      <c r="F881" s="1">
        <v>45</v>
      </c>
      <c r="G881" s="13">
        <f>Table[[#This Row],[Return Value]]/Table[[#This Row],[Sell Value]]</f>
        <v>1.3914656771799629E-2</v>
      </c>
      <c r="H881" s="1" t="s">
        <v>70</v>
      </c>
      <c r="I881" s="1">
        <v>46</v>
      </c>
      <c r="J881" s="14">
        <f>Table[[#This Row],[Sell Value]]*Table[[#This Row],[Selling Price]]</f>
        <v>148764</v>
      </c>
      <c r="K881" s="1" t="s">
        <v>71</v>
      </c>
      <c r="L881" s="1" t="s">
        <v>51</v>
      </c>
      <c r="M881" s="1" t="s">
        <v>61</v>
      </c>
      <c r="N881" s="1">
        <v>0.2</v>
      </c>
      <c r="O881" s="1" t="s">
        <v>81</v>
      </c>
      <c r="P881" s="1" t="s">
        <v>31</v>
      </c>
    </row>
    <row r="882" spans="1:16" x14ac:dyDescent="0.25">
      <c r="A882" s="1">
        <v>684137324</v>
      </c>
      <c r="B882" s="1" t="s">
        <v>37</v>
      </c>
      <c r="C882" s="1" t="s">
        <v>17</v>
      </c>
      <c r="D882" s="1">
        <v>47500</v>
      </c>
      <c r="E882" s="1">
        <v>1434</v>
      </c>
      <c r="F882" s="1">
        <v>32</v>
      </c>
      <c r="G882" s="13">
        <f>Table[[#This Row],[Return Value]]/Table[[#This Row],[Sell Value]]</f>
        <v>2.2315202231520222E-2</v>
      </c>
      <c r="H882" s="1" t="s">
        <v>3</v>
      </c>
      <c r="I882" s="1">
        <v>34</v>
      </c>
      <c r="J882" s="14">
        <f>Table[[#This Row],[Sell Value]]*Table[[#This Row],[Selling Price]]</f>
        <v>48756</v>
      </c>
      <c r="K882" s="1" t="s">
        <v>4</v>
      </c>
      <c r="L882" s="1" t="s">
        <v>54</v>
      </c>
      <c r="M882" s="1" t="s">
        <v>10</v>
      </c>
      <c r="N882" s="1">
        <v>0.2</v>
      </c>
      <c r="O882" s="1" t="s">
        <v>82</v>
      </c>
      <c r="P882" s="1" t="s">
        <v>45</v>
      </c>
    </row>
    <row r="883" spans="1:16" x14ac:dyDescent="0.25">
      <c r="A883" s="1">
        <v>857669741</v>
      </c>
      <c r="B883" s="1" t="s">
        <v>40</v>
      </c>
      <c r="C883" s="1" t="s">
        <v>17</v>
      </c>
      <c r="D883" s="1">
        <v>47599</v>
      </c>
      <c r="E883" s="1">
        <v>1336</v>
      </c>
      <c r="F883" s="1">
        <v>24</v>
      </c>
      <c r="G883" s="13">
        <f>Table[[#This Row],[Return Value]]/Table[[#This Row],[Sell Value]]</f>
        <v>1.7964071856287425E-2</v>
      </c>
      <c r="H883" s="1" t="s">
        <v>64</v>
      </c>
      <c r="I883" s="1">
        <v>24</v>
      </c>
      <c r="J883" s="14">
        <f>Table[[#This Row],[Sell Value]]*Table[[#This Row],[Selling Price]]</f>
        <v>32064</v>
      </c>
      <c r="K883" s="1" t="s">
        <v>4</v>
      </c>
      <c r="L883" s="1" t="s">
        <v>57</v>
      </c>
      <c r="M883" s="1" t="s">
        <v>26</v>
      </c>
      <c r="N883" s="1">
        <v>0.2</v>
      </c>
      <c r="O883" s="1" t="s">
        <v>82</v>
      </c>
      <c r="P883" s="1" t="s">
        <v>36</v>
      </c>
    </row>
    <row r="884" spans="1:16" x14ac:dyDescent="0.25">
      <c r="A884" s="1">
        <v>368170608</v>
      </c>
      <c r="B884" s="1" t="s">
        <v>42</v>
      </c>
      <c r="C884" s="1" t="s">
        <v>2</v>
      </c>
      <c r="D884" s="1">
        <v>47801</v>
      </c>
      <c r="E884" s="1">
        <v>1162</v>
      </c>
      <c r="F884" s="1">
        <v>37</v>
      </c>
      <c r="G884" s="13">
        <f>Table[[#This Row],[Return Value]]/Table[[#This Row],[Sell Value]]</f>
        <v>3.1841652323580036E-2</v>
      </c>
      <c r="H884" s="1" t="s">
        <v>3</v>
      </c>
      <c r="I884" s="1">
        <v>29</v>
      </c>
      <c r="J884" s="14">
        <f>Table[[#This Row],[Sell Value]]*Table[[#This Row],[Selling Price]]</f>
        <v>33698</v>
      </c>
      <c r="K884" s="1" t="s">
        <v>4</v>
      </c>
      <c r="L884" s="1" t="s">
        <v>5</v>
      </c>
      <c r="M884" s="1" t="s">
        <v>61</v>
      </c>
      <c r="N884" s="1">
        <v>0.2</v>
      </c>
      <c r="O884" s="1" t="s">
        <v>81</v>
      </c>
      <c r="P884" s="1" t="s">
        <v>7</v>
      </c>
    </row>
    <row r="885" spans="1:16" x14ac:dyDescent="0.25">
      <c r="A885" s="1">
        <v>471883708</v>
      </c>
      <c r="B885" s="1" t="s">
        <v>46</v>
      </c>
      <c r="C885" s="1" t="s">
        <v>2</v>
      </c>
      <c r="D885" s="1">
        <v>48544</v>
      </c>
      <c r="E885" s="1">
        <v>4479</v>
      </c>
      <c r="F885" s="1">
        <v>33</v>
      </c>
      <c r="G885" s="13">
        <f>Table[[#This Row],[Return Value]]/Table[[#This Row],[Sell Value]]</f>
        <v>7.367716008037508E-3</v>
      </c>
      <c r="H885" s="1" t="s">
        <v>3</v>
      </c>
      <c r="I885" s="1">
        <v>28</v>
      </c>
      <c r="J885" s="14">
        <f>Table[[#This Row],[Sell Value]]*Table[[#This Row],[Selling Price]]</f>
        <v>125412</v>
      </c>
      <c r="K885" s="1" t="s">
        <v>4</v>
      </c>
      <c r="L885" s="1" t="s">
        <v>9</v>
      </c>
      <c r="M885" s="1" t="s">
        <v>26</v>
      </c>
      <c r="N885" s="1">
        <v>0.2</v>
      </c>
      <c r="O885" s="1" t="s">
        <v>82</v>
      </c>
      <c r="P885" s="1" t="s">
        <v>49</v>
      </c>
    </row>
    <row r="886" spans="1:16" x14ac:dyDescent="0.25">
      <c r="A886" s="1">
        <v>181548781</v>
      </c>
      <c r="B886" s="1" t="s">
        <v>12</v>
      </c>
      <c r="C886" s="1" t="s">
        <v>2</v>
      </c>
      <c r="D886" s="1">
        <v>47977</v>
      </c>
      <c r="E886" s="1">
        <v>1871</v>
      </c>
      <c r="F886" s="1">
        <v>46</v>
      </c>
      <c r="G886" s="13">
        <f>Table[[#This Row],[Return Value]]/Table[[#This Row],[Sell Value]]</f>
        <v>2.4585783003741316E-2</v>
      </c>
      <c r="H886" s="1" t="s">
        <v>3</v>
      </c>
      <c r="I886" s="1">
        <v>36</v>
      </c>
      <c r="J886" s="14">
        <f>Table[[#This Row],[Sell Value]]*Table[[#This Row],[Selling Price]]</f>
        <v>67356</v>
      </c>
      <c r="K886" s="1" t="s">
        <v>4</v>
      </c>
      <c r="L886" s="1" t="s">
        <v>13</v>
      </c>
      <c r="M886" s="1" t="s">
        <v>48</v>
      </c>
      <c r="N886" s="1">
        <v>0.2</v>
      </c>
      <c r="O886" s="1" t="s">
        <v>82</v>
      </c>
      <c r="P886" s="1" t="s">
        <v>52</v>
      </c>
    </row>
    <row r="887" spans="1:16" x14ac:dyDescent="0.25">
      <c r="A887" s="1">
        <v>912076876</v>
      </c>
      <c r="B887" s="1" t="s">
        <v>16</v>
      </c>
      <c r="C887" s="1" t="s">
        <v>17</v>
      </c>
      <c r="D887" s="1">
        <v>47911</v>
      </c>
      <c r="E887" s="1">
        <v>1774</v>
      </c>
      <c r="F887" s="1">
        <v>20</v>
      </c>
      <c r="G887" s="13">
        <f>Table[[#This Row],[Return Value]]/Table[[#This Row],[Sell Value]]</f>
        <v>1.1273957158962795E-2</v>
      </c>
      <c r="H887" s="1" t="s">
        <v>3</v>
      </c>
      <c r="I887" s="1">
        <v>50</v>
      </c>
      <c r="J887" s="14">
        <f>Table[[#This Row],[Sell Value]]*Table[[#This Row],[Selling Price]]</f>
        <v>88700</v>
      </c>
      <c r="K887" s="1" t="s">
        <v>4</v>
      </c>
      <c r="L887" s="1" t="s">
        <v>18</v>
      </c>
      <c r="M887" s="1" t="s">
        <v>10</v>
      </c>
      <c r="N887" s="1">
        <v>0.2</v>
      </c>
      <c r="O887" s="1" t="s">
        <v>81</v>
      </c>
      <c r="P887" s="1" t="s">
        <v>62</v>
      </c>
    </row>
    <row r="888" spans="1:16" x14ac:dyDescent="0.25">
      <c r="A888" s="1">
        <v>303160500</v>
      </c>
      <c r="B888" s="1" t="s">
        <v>20</v>
      </c>
      <c r="C888" s="1" t="s">
        <v>17</v>
      </c>
      <c r="D888" s="1">
        <v>48251</v>
      </c>
      <c r="E888" s="1">
        <v>4391</v>
      </c>
      <c r="F888" s="1">
        <v>21</v>
      </c>
      <c r="G888" s="13">
        <f>Table[[#This Row],[Return Value]]/Table[[#This Row],[Sell Value]]</f>
        <v>4.7825096788886362E-3</v>
      </c>
      <c r="H888" s="1" t="s">
        <v>3</v>
      </c>
      <c r="I888" s="1">
        <v>33</v>
      </c>
      <c r="J888" s="14">
        <f>Table[[#This Row],[Sell Value]]*Table[[#This Row],[Selling Price]]</f>
        <v>144903</v>
      </c>
      <c r="K888" s="1" t="s">
        <v>4</v>
      </c>
      <c r="L888" s="1" t="s">
        <v>21</v>
      </c>
      <c r="M888" s="1" t="s">
        <v>30</v>
      </c>
      <c r="N888" s="1">
        <v>0.2</v>
      </c>
      <c r="O888" s="1" t="s">
        <v>81</v>
      </c>
      <c r="P888" s="1" t="s">
        <v>60</v>
      </c>
    </row>
    <row r="889" spans="1:16" x14ac:dyDescent="0.25">
      <c r="A889" s="1">
        <v>427396008</v>
      </c>
      <c r="B889" s="1" t="s">
        <v>24</v>
      </c>
      <c r="C889" s="1" t="s">
        <v>2</v>
      </c>
      <c r="D889" s="1">
        <v>47761</v>
      </c>
      <c r="E889" s="1">
        <v>4800</v>
      </c>
      <c r="F889" s="1">
        <v>17</v>
      </c>
      <c r="G889" s="13">
        <f>Table[[#This Row],[Return Value]]/Table[[#This Row],[Sell Value]]</f>
        <v>3.5416666666666665E-3</v>
      </c>
      <c r="H889" s="1" t="s">
        <v>3</v>
      </c>
      <c r="I889" s="1">
        <v>49</v>
      </c>
      <c r="J889" s="14">
        <f>Table[[#This Row],[Sell Value]]*Table[[#This Row],[Selling Price]]</f>
        <v>235200</v>
      </c>
      <c r="K889" s="1" t="s">
        <v>4</v>
      </c>
      <c r="L889" s="1" t="s">
        <v>25</v>
      </c>
      <c r="M889" s="1" t="s">
        <v>14</v>
      </c>
      <c r="N889" s="1">
        <v>0.2</v>
      </c>
      <c r="O889" s="1" t="s">
        <v>81</v>
      </c>
      <c r="P889" s="1" t="s">
        <v>55</v>
      </c>
    </row>
    <row r="890" spans="1:16" x14ac:dyDescent="0.25">
      <c r="A890" s="1">
        <v>342992261</v>
      </c>
      <c r="B890" s="1" t="s">
        <v>27</v>
      </c>
      <c r="C890" s="1" t="s">
        <v>2</v>
      </c>
      <c r="D890" s="1">
        <v>47946</v>
      </c>
      <c r="E890" s="1">
        <v>4914</v>
      </c>
      <c r="F890" s="1">
        <v>37</v>
      </c>
      <c r="G890" s="13">
        <f>Table[[#This Row],[Return Value]]/Table[[#This Row],[Sell Value]]</f>
        <v>7.5295075295075294E-3</v>
      </c>
      <c r="H890" s="1" t="s">
        <v>3</v>
      </c>
      <c r="I890" s="1">
        <v>44</v>
      </c>
      <c r="J890" s="14">
        <f>Table[[#This Row],[Sell Value]]*Table[[#This Row],[Selling Price]]</f>
        <v>216216</v>
      </c>
      <c r="K890" s="1" t="s">
        <v>4</v>
      </c>
      <c r="L890" s="1" t="s">
        <v>29</v>
      </c>
      <c r="M890" s="1" t="s">
        <v>10</v>
      </c>
      <c r="N890" s="1">
        <v>0.2</v>
      </c>
      <c r="O890" s="1" t="s">
        <v>82</v>
      </c>
      <c r="P890" s="1" t="s">
        <v>65</v>
      </c>
    </row>
    <row r="891" spans="1:16" x14ac:dyDescent="0.25">
      <c r="A891" s="1">
        <v>28069075</v>
      </c>
      <c r="B891" s="1" t="s">
        <v>32</v>
      </c>
      <c r="C891" s="1" t="s">
        <v>17</v>
      </c>
      <c r="D891" s="1">
        <v>48170</v>
      </c>
      <c r="E891" s="1">
        <v>3329</v>
      </c>
      <c r="F891" s="1">
        <v>40</v>
      </c>
      <c r="G891" s="13">
        <f>Table[[#This Row],[Return Value]]/Table[[#This Row],[Sell Value]]</f>
        <v>1.2015620306398318E-2</v>
      </c>
      <c r="H891" s="1" t="s">
        <v>3</v>
      </c>
      <c r="I891" s="1">
        <v>36</v>
      </c>
      <c r="J891" s="14">
        <f>Table[[#This Row],[Sell Value]]*Table[[#This Row],[Selling Price]]</f>
        <v>119844</v>
      </c>
      <c r="K891" s="1" t="s">
        <v>4</v>
      </c>
      <c r="L891" s="1" t="s">
        <v>29</v>
      </c>
      <c r="M891" s="1" t="s">
        <v>6</v>
      </c>
      <c r="N891" s="1">
        <v>0.2</v>
      </c>
      <c r="O891" s="1" t="s">
        <v>81</v>
      </c>
      <c r="P891" s="1" t="s">
        <v>19</v>
      </c>
    </row>
    <row r="892" spans="1:16" x14ac:dyDescent="0.25">
      <c r="A892" s="1">
        <v>295597233</v>
      </c>
      <c r="B892" s="1" t="s">
        <v>34</v>
      </c>
      <c r="C892" s="1" t="s">
        <v>2</v>
      </c>
      <c r="D892" s="1">
        <v>48182</v>
      </c>
      <c r="E892" s="1">
        <v>1632</v>
      </c>
      <c r="F892" s="1">
        <v>31</v>
      </c>
      <c r="G892" s="13">
        <f>Table[[#This Row],[Return Value]]/Table[[#This Row],[Sell Value]]</f>
        <v>1.8995098039215685E-2</v>
      </c>
      <c r="H892" s="1" t="s">
        <v>3</v>
      </c>
      <c r="I892" s="1">
        <v>30</v>
      </c>
      <c r="J892" s="14">
        <f>Table[[#This Row],[Sell Value]]*Table[[#This Row],[Selling Price]]</f>
        <v>48960</v>
      </c>
      <c r="K892" s="1" t="s">
        <v>4</v>
      </c>
      <c r="L892" s="1" t="s">
        <v>35</v>
      </c>
      <c r="M892" s="1" t="s">
        <v>30</v>
      </c>
      <c r="N892" s="1">
        <v>0.2</v>
      </c>
      <c r="O892" s="1" t="s">
        <v>81</v>
      </c>
      <c r="P892" s="1" t="s">
        <v>55</v>
      </c>
    </row>
    <row r="893" spans="1:16" x14ac:dyDescent="0.25">
      <c r="A893" s="1">
        <v>543346843</v>
      </c>
      <c r="B893" s="1" t="s">
        <v>37</v>
      </c>
      <c r="C893" s="1" t="s">
        <v>17</v>
      </c>
      <c r="D893" s="1">
        <v>48156</v>
      </c>
      <c r="E893" s="1">
        <v>3580</v>
      </c>
      <c r="F893" s="1">
        <v>42</v>
      </c>
      <c r="G893" s="13">
        <f>Table[[#This Row],[Return Value]]/Table[[#This Row],[Sell Value]]</f>
        <v>1.1731843575418994E-2</v>
      </c>
      <c r="H893" s="1" t="s">
        <v>3</v>
      </c>
      <c r="I893" s="1">
        <v>23</v>
      </c>
      <c r="J893" s="14">
        <f>Table[[#This Row],[Sell Value]]*Table[[#This Row],[Selling Price]]</f>
        <v>82340</v>
      </c>
      <c r="K893" s="1" t="s">
        <v>4</v>
      </c>
      <c r="L893" s="1" t="s">
        <v>38</v>
      </c>
      <c r="M893" s="1" t="s">
        <v>44</v>
      </c>
      <c r="N893" s="1">
        <v>0.2</v>
      </c>
      <c r="O893" s="1" t="s">
        <v>82</v>
      </c>
      <c r="P893" s="1" t="s">
        <v>39</v>
      </c>
    </row>
    <row r="894" spans="1:16" x14ac:dyDescent="0.25">
      <c r="A894" s="1">
        <v>963686162</v>
      </c>
      <c r="B894" s="1" t="s">
        <v>40</v>
      </c>
      <c r="C894" s="1" t="s">
        <v>17</v>
      </c>
      <c r="D894" s="1">
        <v>47682</v>
      </c>
      <c r="E894" s="1">
        <v>4538</v>
      </c>
      <c r="F894" s="1">
        <v>42</v>
      </c>
      <c r="G894" s="13">
        <f>Table[[#This Row],[Return Value]]/Table[[#This Row],[Sell Value]]</f>
        <v>9.2551784927280747E-3</v>
      </c>
      <c r="H894" s="1" t="s">
        <v>3</v>
      </c>
      <c r="I894" s="1">
        <v>23</v>
      </c>
      <c r="J894" s="14">
        <f>Table[[#This Row],[Sell Value]]*Table[[#This Row],[Selling Price]]</f>
        <v>104374</v>
      </c>
      <c r="K894" s="1" t="s">
        <v>4</v>
      </c>
      <c r="L894" s="1" t="s">
        <v>41</v>
      </c>
      <c r="M894" s="1" t="s">
        <v>59</v>
      </c>
      <c r="N894" s="1">
        <v>0.2</v>
      </c>
      <c r="O894" s="1" t="s">
        <v>82</v>
      </c>
      <c r="P894" s="1" t="s">
        <v>49</v>
      </c>
    </row>
    <row r="895" spans="1:16" x14ac:dyDescent="0.25">
      <c r="A895" s="1">
        <v>919391215</v>
      </c>
      <c r="B895" s="1" t="s">
        <v>42</v>
      </c>
      <c r="C895" s="1" t="s">
        <v>2</v>
      </c>
      <c r="D895" s="1">
        <v>48459</v>
      </c>
      <c r="E895" s="1">
        <v>2181</v>
      </c>
      <c r="F895" s="1">
        <v>18</v>
      </c>
      <c r="G895" s="13">
        <f>Table[[#This Row],[Return Value]]/Table[[#This Row],[Sell Value]]</f>
        <v>8.253094910591471E-3</v>
      </c>
      <c r="H895" s="1" t="s">
        <v>3</v>
      </c>
      <c r="I895" s="1">
        <v>21</v>
      </c>
      <c r="J895" s="14">
        <f>Table[[#This Row],[Sell Value]]*Table[[#This Row],[Selling Price]]</f>
        <v>45801</v>
      </c>
      <c r="K895" s="1" t="s">
        <v>4</v>
      </c>
      <c r="L895" s="1" t="s">
        <v>43</v>
      </c>
      <c r="M895" s="1" t="s">
        <v>33</v>
      </c>
      <c r="N895" s="1">
        <v>0.2</v>
      </c>
      <c r="O895" s="1" t="s">
        <v>82</v>
      </c>
      <c r="P895" s="1" t="s">
        <v>62</v>
      </c>
    </row>
    <row r="896" spans="1:16" x14ac:dyDescent="0.25">
      <c r="A896" s="1">
        <v>996976592</v>
      </c>
      <c r="B896" s="1" t="s">
        <v>46</v>
      </c>
      <c r="C896" s="1" t="s">
        <v>2</v>
      </c>
      <c r="D896" s="1">
        <v>48285</v>
      </c>
      <c r="E896" s="1">
        <v>4100</v>
      </c>
      <c r="F896" s="1">
        <v>41</v>
      </c>
      <c r="G896" s="13">
        <f>Table[[#This Row],[Return Value]]/Table[[#This Row],[Sell Value]]</f>
        <v>0.01</v>
      </c>
      <c r="H896" s="1" t="s">
        <v>3</v>
      </c>
      <c r="I896" s="1">
        <v>30</v>
      </c>
      <c r="J896" s="14">
        <f>Table[[#This Row],[Sell Value]]*Table[[#This Row],[Selling Price]]</f>
        <v>123000</v>
      </c>
      <c r="K896" s="1" t="s">
        <v>4</v>
      </c>
      <c r="L896" s="1" t="s">
        <v>47</v>
      </c>
      <c r="M896" s="1" t="s">
        <v>59</v>
      </c>
      <c r="N896" s="1">
        <v>0.2</v>
      </c>
      <c r="O896" s="1" t="s">
        <v>82</v>
      </c>
      <c r="P896" s="1" t="s">
        <v>67</v>
      </c>
    </row>
    <row r="897" spans="1:16" x14ac:dyDescent="0.25">
      <c r="A897" s="1">
        <v>612505838</v>
      </c>
      <c r="B897" s="1" t="s">
        <v>50</v>
      </c>
      <c r="C897" s="1" t="s">
        <v>2</v>
      </c>
      <c r="D897" s="1">
        <v>48423</v>
      </c>
      <c r="E897" s="1">
        <v>2379</v>
      </c>
      <c r="F897" s="1">
        <v>10</v>
      </c>
      <c r="G897" s="13">
        <f>Table[[#This Row],[Return Value]]/Table[[#This Row],[Sell Value]]</f>
        <v>4.2034468263976461E-3</v>
      </c>
      <c r="H897" s="1" t="s">
        <v>70</v>
      </c>
      <c r="I897" s="1">
        <v>44</v>
      </c>
      <c r="J897" s="14">
        <f>Table[[#This Row],[Sell Value]]*Table[[#This Row],[Selling Price]]</f>
        <v>104676</v>
      </c>
      <c r="K897" s="1" t="s">
        <v>71</v>
      </c>
      <c r="L897" s="1" t="s">
        <v>51</v>
      </c>
      <c r="M897" s="1" t="s">
        <v>48</v>
      </c>
      <c r="N897" s="1">
        <v>0.2</v>
      </c>
      <c r="O897" s="1" t="s">
        <v>81</v>
      </c>
      <c r="P897" s="1" t="s">
        <v>49</v>
      </c>
    </row>
    <row r="898" spans="1:16" x14ac:dyDescent="0.25">
      <c r="A898" s="1">
        <v>438933559</v>
      </c>
      <c r="B898" s="1" t="s">
        <v>53</v>
      </c>
      <c r="C898" s="1" t="s">
        <v>2</v>
      </c>
      <c r="D898" s="1">
        <v>48171</v>
      </c>
      <c r="E898" s="1">
        <v>1650</v>
      </c>
      <c r="F898" s="1">
        <v>36</v>
      </c>
      <c r="G898" s="13">
        <f>Table[[#This Row],[Return Value]]/Table[[#This Row],[Sell Value]]</f>
        <v>2.181818181818182E-2</v>
      </c>
      <c r="H898" s="1" t="s">
        <v>3</v>
      </c>
      <c r="I898" s="1">
        <v>38</v>
      </c>
      <c r="J898" s="14">
        <f>Table[[#This Row],[Sell Value]]*Table[[#This Row],[Selling Price]]</f>
        <v>62700</v>
      </c>
      <c r="K898" s="1" t="s">
        <v>4</v>
      </c>
      <c r="L898" s="1" t="s">
        <v>54</v>
      </c>
      <c r="M898" s="1" t="s">
        <v>22</v>
      </c>
      <c r="N898" s="1">
        <v>0.2</v>
      </c>
      <c r="O898" s="1" t="s">
        <v>82</v>
      </c>
      <c r="P898" s="1" t="s">
        <v>36</v>
      </c>
    </row>
    <row r="899" spans="1:16" x14ac:dyDescent="0.25">
      <c r="A899" s="1">
        <v>362712532</v>
      </c>
      <c r="B899" s="1" t="s">
        <v>56</v>
      </c>
      <c r="C899" s="1" t="s">
        <v>2</v>
      </c>
      <c r="D899" s="1">
        <v>48011</v>
      </c>
      <c r="E899" s="1">
        <v>2053</v>
      </c>
      <c r="F899" s="1">
        <v>30</v>
      </c>
      <c r="G899" s="13">
        <f>Table[[#This Row],[Return Value]]/Table[[#This Row],[Sell Value]]</f>
        <v>1.4612761811982464E-2</v>
      </c>
      <c r="H899" s="1" t="s">
        <v>3</v>
      </c>
      <c r="I899" s="1">
        <v>47</v>
      </c>
      <c r="J899" s="14">
        <f>Table[[#This Row],[Sell Value]]*Table[[#This Row],[Selling Price]]</f>
        <v>96491</v>
      </c>
      <c r="K899" s="1" t="s">
        <v>4</v>
      </c>
      <c r="L899" s="1" t="s">
        <v>57</v>
      </c>
      <c r="M899" s="1" t="s">
        <v>33</v>
      </c>
      <c r="N899" s="1">
        <v>0.2</v>
      </c>
      <c r="O899" s="1" t="s">
        <v>82</v>
      </c>
      <c r="P899" s="1" t="s">
        <v>15</v>
      </c>
    </row>
    <row r="900" spans="1:16" x14ac:dyDescent="0.25">
      <c r="A900" s="1">
        <v>395378695</v>
      </c>
      <c r="B900" s="1" t="s">
        <v>1</v>
      </c>
      <c r="C900" s="1" t="s">
        <v>2</v>
      </c>
      <c r="D900" s="1">
        <v>47484</v>
      </c>
      <c r="E900" s="1">
        <v>1995</v>
      </c>
      <c r="F900" s="1">
        <v>47</v>
      </c>
      <c r="G900" s="13">
        <f>Table[[#This Row],[Return Value]]/Table[[#This Row],[Sell Value]]</f>
        <v>2.3558897243107769E-2</v>
      </c>
      <c r="H900" s="1" t="s">
        <v>3</v>
      </c>
      <c r="I900" s="1">
        <v>20</v>
      </c>
      <c r="J900" s="14">
        <f>Table[[#This Row],[Sell Value]]*Table[[#This Row],[Selling Price]]</f>
        <v>39900</v>
      </c>
      <c r="K900" s="1" t="s">
        <v>4</v>
      </c>
      <c r="L900" s="1" t="s">
        <v>5</v>
      </c>
      <c r="M900" s="1" t="s">
        <v>6</v>
      </c>
      <c r="N900" s="1">
        <v>0.2</v>
      </c>
      <c r="O900" s="1" t="s">
        <v>82</v>
      </c>
      <c r="P900" s="1" t="s">
        <v>45</v>
      </c>
    </row>
    <row r="901" spans="1:16" x14ac:dyDescent="0.25">
      <c r="A901" s="1">
        <v>581798529</v>
      </c>
      <c r="B901" s="1" t="s">
        <v>8</v>
      </c>
      <c r="C901" s="1" t="s">
        <v>2</v>
      </c>
      <c r="D901" s="1">
        <v>48086</v>
      </c>
      <c r="E901" s="1">
        <v>1456</v>
      </c>
      <c r="F901" s="1">
        <v>19</v>
      </c>
      <c r="G901" s="13">
        <f>Table[[#This Row],[Return Value]]/Table[[#This Row],[Sell Value]]</f>
        <v>1.304945054945055E-2</v>
      </c>
      <c r="H901" s="1" t="s">
        <v>3</v>
      </c>
      <c r="I901" s="1">
        <v>32</v>
      </c>
      <c r="J901" s="14">
        <f>Table[[#This Row],[Sell Value]]*Table[[#This Row],[Selling Price]]</f>
        <v>46592</v>
      </c>
      <c r="K901" s="1" t="s">
        <v>4</v>
      </c>
      <c r="L901" s="1" t="s">
        <v>9</v>
      </c>
      <c r="M901" s="1" t="s">
        <v>10</v>
      </c>
      <c r="N901" s="1">
        <v>0.2</v>
      </c>
      <c r="O901" s="1" t="s">
        <v>81</v>
      </c>
      <c r="P901" s="1" t="s">
        <v>11</v>
      </c>
    </row>
    <row r="902" spans="1:16" x14ac:dyDescent="0.25">
      <c r="A902" s="1">
        <v>98473024</v>
      </c>
      <c r="B902" s="1" t="s">
        <v>12</v>
      </c>
      <c r="C902" s="1" t="s">
        <v>2</v>
      </c>
      <c r="D902" s="1">
        <v>48264</v>
      </c>
      <c r="E902" s="1">
        <v>1234</v>
      </c>
      <c r="F902" s="1">
        <v>22</v>
      </c>
      <c r="G902" s="13">
        <f>Table[[#This Row],[Return Value]]/Table[[#This Row],[Sell Value]]</f>
        <v>1.7828200972447326E-2</v>
      </c>
      <c r="H902" s="1" t="s">
        <v>3</v>
      </c>
      <c r="I902" s="1">
        <v>48</v>
      </c>
      <c r="J902" s="14">
        <f>Table[[#This Row],[Sell Value]]*Table[[#This Row],[Selling Price]]</f>
        <v>59232</v>
      </c>
      <c r="K902" s="1" t="s">
        <v>4</v>
      </c>
      <c r="L902" s="1" t="s">
        <v>13</v>
      </c>
      <c r="M902" s="1" t="s">
        <v>26</v>
      </c>
      <c r="N902" s="1">
        <v>0.2</v>
      </c>
      <c r="O902" s="1" t="s">
        <v>81</v>
      </c>
      <c r="P902" s="1" t="s">
        <v>60</v>
      </c>
    </row>
    <row r="903" spans="1:16" x14ac:dyDescent="0.25">
      <c r="A903" s="1">
        <v>920152379</v>
      </c>
      <c r="B903" s="1" t="s">
        <v>16</v>
      </c>
      <c r="C903" s="1" t="s">
        <v>17</v>
      </c>
      <c r="D903" s="1">
        <v>47883</v>
      </c>
      <c r="E903" s="1">
        <v>2571</v>
      </c>
      <c r="F903" s="1">
        <v>13</v>
      </c>
      <c r="G903" s="13">
        <f>Table[[#This Row],[Return Value]]/Table[[#This Row],[Sell Value]]</f>
        <v>5.0563982886036559E-3</v>
      </c>
      <c r="H903" s="1" t="s">
        <v>3</v>
      </c>
      <c r="I903" s="1">
        <v>50</v>
      </c>
      <c r="J903" s="14">
        <f>Table[[#This Row],[Sell Value]]*Table[[#This Row],[Selling Price]]</f>
        <v>128550</v>
      </c>
      <c r="K903" s="1" t="s">
        <v>4</v>
      </c>
      <c r="L903" s="1" t="s">
        <v>18</v>
      </c>
      <c r="M903" s="1" t="s">
        <v>6</v>
      </c>
      <c r="N903" s="1">
        <v>0.2</v>
      </c>
      <c r="O903" s="1" t="s">
        <v>81</v>
      </c>
      <c r="P903" s="1" t="s">
        <v>67</v>
      </c>
    </row>
    <row r="904" spans="1:16" x14ac:dyDescent="0.25">
      <c r="A904" s="1">
        <v>535286219</v>
      </c>
      <c r="B904" s="1" t="s">
        <v>20</v>
      </c>
      <c r="C904" s="1" t="s">
        <v>17</v>
      </c>
      <c r="D904" s="1">
        <v>47807</v>
      </c>
      <c r="E904" s="1">
        <v>1909</v>
      </c>
      <c r="F904" s="1">
        <v>28</v>
      </c>
      <c r="G904" s="13">
        <f>Table[[#This Row],[Return Value]]/Table[[#This Row],[Sell Value]]</f>
        <v>1.4667365112624411E-2</v>
      </c>
      <c r="H904" s="1" t="s">
        <v>3</v>
      </c>
      <c r="I904" s="1">
        <v>43</v>
      </c>
      <c r="J904" s="14">
        <f>Table[[#This Row],[Sell Value]]*Table[[#This Row],[Selling Price]]</f>
        <v>82087</v>
      </c>
      <c r="K904" s="1" t="s">
        <v>4</v>
      </c>
      <c r="L904" s="1" t="s">
        <v>21</v>
      </c>
      <c r="M904" s="1" t="s">
        <v>33</v>
      </c>
      <c r="N904" s="1">
        <v>0.2</v>
      </c>
      <c r="O904" s="1" t="s">
        <v>82</v>
      </c>
      <c r="P904" s="1" t="s">
        <v>19</v>
      </c>
    </row>
    <row r="905" spans="1:16" x14ac:dyDescent="0.25">
      <c r="A905" s="1">
        <v>399029670</v>
      </c>
      <c r="B905" s="1" t="s">
        <v>24</v>
      </c>
      <c r="C905" s="1" t="s">
        <v>2</v>
      </c>
      <c r="D905" s="1">
        <v>47751</v>
      </c>
      <c r="E905" s="1">
        <v>2957</v>
      </c>
      <c r="F905" s="1">
        <v>30</v>
      </c>
      <c r="G905" s="13">
        <f>Table[[#This Row],[Return Value]]/Table[[#This Row],[Sell Value]]</f>
        <v>1.0145417653026716E-2</v>
      </c>
      <c r="H905" s="1" t="s">
        <v>28</v>
      </c>
      <c r="I905" s="1">
        <v>27</v>
      </c>
      <c r="J905" s="14">
        <f>Table[[#This Row],[Sell Value]]*Table[[#This Row],[Selling Price]]</f>
        <v>79839</v>
      </c>
      <c r="K905" s="1" t="s">
        <v>4</v>
      </c>
      <c r="L905" s="1" t="s">
        <v>25</v>
      </c>
      <c r="M905" s="1" t="s">
        <v>6</v>
      </c>
      <c r="N905" s="1">
        <v>0.2</v>
      </c>
      <c r="O905" s="1" t="s">
        <v>81</v>
      </c>
      <c r="P905" s="1" t="s">
        <v>66</v>
      </c>
    </row>
    <row r="906" spans="1:16" x14ac:dyDescent="0.25">
      <c r="A906" s="1">
        <v>534771778</v>
      </c>
      <c r="B906" s="1" t="s">
        <v>27</v>
      </c>
      <c r="C906" s="1" t="s">
        <v>2</v>
      </c>
      <c r="D906" s="1">
        <v>47797</v>
      </c>
      <c r="E906" s="1">
        <v>2483</v>
      </c>
      <c r="F906" s="1">
        <v>34</v>
      </c>
      <c r="G906" s="13">
        <f>Table[[#This Row],[Return Value]]/Table[[#This Row],[Sell Value]]</f>
        <v>1.369311316955296E-2</v>
      </c>
      <c r="H906" s="1" t="s">
        <v>3</v>
      </c>
      <c r="I906" s="1">
        <v>25</v>
      </c>
      <c r="J906" s="14">
        <f>Table[[#This Row],[Sell Value]]*Table[[#This Row],[Selling Price]]</f>
        <v>62075</v>
      </c>
      <c r="K906" s="1" t="s">
        <v>4</v>
      </c>
      <c r="L906" s="1" t="s">
        <v>29</v>
      </c>
      <c r="M906" s="1" t="s">
        <v>44</v>
      </c>
      <c r="N906" s="1">
        <v>0.2</v>
      </c>
      <c r="O906" s="1" t="s">
        <v>82</v>
      </c>
      <c r="P906" s="1" t="s">
        <v>62</v>
      </c>
    </row>
    <row r="907" spans="1:16" x14ac:dyDescent="0.25">
      <c r="A907" s="1">
        <v>632357981</v>
      </c>
      <c r="B907" s="1" t="s">
        <v>32</v>
      </c>
      <c r="C907" s="1" t="s">
        <v>17</v>
      </c>
      <c r="D907" s="1">
        <v>47671</v>
      </c>
      <c r="E907" s="1">
        <v>4693</v>
      </c>
      <c r="F907" s="1">
        <v>30</v>
      </c>
      <c r="G907" s="13">
        <f>Table[[#This Row],[Return Value]]/Table[[#This Row],[Sell Value]]</f>
        <v>6.3924994672917108E-3</v>
      </c>
      <c r="H907" s="1" t="s">
        <v>3</v>
      </c>
      <c r="I907" s="1">
        <v>23</v>
      </c>
      <c r="J907" s="14">
        <f>Table[[#This Row],[Sell Value]]*Table[[#This Row],[Selling Price]]</f>
        <v>107939</v>
      </c>
      <c r="K907" s="1" t="s">
        <v>4</v>
      </c>
      <c r="L907" s="1" t="s">
        <v>29</v>
      </c>
      <c r="M907" s="1" t="s">
        <v>48</v>
      </c>
      <c r="N907" s="1">
        <v>0.2</v>
      </c>
      <c r="O907" s="1" t="s">
        <v>82</v>
      </c>
      <c r="P907" s="1" t="s">
        <v>55</v>
      </c>
    </row>
    <row r="908" spans="1:16" x14ac:dyDescent="0.25">
      <c r="A908" s="1">
        <v>422928386</v>
      </c>
      <c r="B908" s="1" t="s">
        <v>34</v>
      </c>
      <c r="C908" s="1" t="s">
        <v>2</v>
      </c>
      <c r="D908" s="1">
        <v>47835</v>
      </c>
      <c r="E908" s="1">
        <v>3733</v>
      </c>
      <c r="F908" s="1">
        <v>48</v>
      </c>
      <c r="G908" s="13">
        <f>Table[[#This Row],[Return Value]]/Table[[#This Row],[Sell Value]]</f>
        <v>1.2858290918832038E-2</v>
      </c>
      <c r="H908" s="1" t="s">
        <v>3</v>
      </c>
      <c r="I908" s="1">
        <v>42</v>
      </c>
      <c r="J908" s="14">
        <f>Table[[#This Row],[Sell Value]]*Table[[#This Row],[Selling Price]]</f>
        <v>156786</v>
      </c>
      <c r="K908" s="1" t="s">
        <v>4</v>
      </c>
      <c r="L908" s="1" t="s">
        <v>35</v>
      </c>
      <c r="M908" s="1" t="s">
        <v>33</v>
      </c>
      <c r="N908" s="1">
        <v>0.2</v>
      </c>
      <c r="O908" s="1" t="s">
        <v>82</v>
      </c>
      <c r="P908" s="1" t="s">
        <v>15</v>
      </c>
    </row>
    <row r="909" spans="1:16" x14ac:dyDescent="0.25">
      <c r="A909" s="1">
        <v>555759879</v>
      </c>
      <c r="B909" s="1" t="s">
        <v>37</v>
      </c>
      <c r="C909" s="1" t="s">
        <v>17</v>
      </c>
      <c r="D909" s="1">
        <v>48248</v>
      </c>
      <c r="E909" s="1">
        <v>1881</v>
      </c>
      <c r="F909" s="1">
        <v>43</v>
      </c>
      <c r="G909" s="13">
        <f>Table[[#This Row],[Return Value]]/Table[[#This Row],[Sell Value]]</f>
        <v>2.2860180754917598E-2</v>
      </c>
      <c r="H909" s="1" t="s">
        <v>3</v>
      </c>
      <c r="I909" s="1">
        <v>27</v>
      </c>
      <c r="J909" s="14">
        <f>Table[[#This Row],[Sell Value]]*Table[[#This Row],[Selling Price]]</f>
        <v>50787</v>
      </c>
      <c r="K909" s="1" t="s">
        <v>4</v>
      </c>
      <c r="L909" s="1" t="s">
        <v>38</v>
      </c>
      <c r="M909" s="1" t="s">
        <v>33</v>
      </c>
      <c r="N909" s="1">
        <v>0.2</v>
      </c>
      <c r="O909" s="1" t="s">
        <v>82</v>
      </c>
      <c r="P909" s="1" t="s">
        <v>65</v>
      </c>
    </row>
    <row r="910" spans="1:16" x14ac:dyDescent="0.25">
      <c r="A910" s="1">
        <v>932651065</v>
      </c>
      <c r="B910" s="1" t="s">
        <v>40</v>
      </c>
      <c r="C910" s="1" t="s">
        <v>17</v>
      </c>
      <c r="D910" s="1">
        <v>47600</v>
      </c>
      <c r="E910" s="1">
        <v>4159</v>
      </c>
      <c r="F910" s="1">
        <v>12</v>
      </c>
      <c r="G910" s="13">
        <f>Table[[#This Row],[Return Value]]/Table[[#This Row],[Sell Value]]</f>
        <v>2.8853089685020438E-3</v>
      </c>
      <c r="H910" s="1" t="s">
        <v>3</v>
      </c>
      <c r="I910" s="1">
        <v>43</v>
      </c>
      <c r="J910" s="14">
        <f>Table[[#This Row],[Sell Value]]*Table[[#This Row],[Selling Price]]</f>
        <v>178837</v>
      </c>
      <c r="K910" s="1" t="s">
        <v>4</v>
      </c>
      <c r="L910" s="1" t="s">
        <v>41</v>
      </c>
      <c r="M910" s="1" t="s">
        <v>30</v>
      </c>
      <c r="N910" s="1">
        <v>0.2</v>
      </c>
      <c r="O910" s="1" t="s">
        <v>82</v>
      </c>
      <c r="P910" s="1" t="s">
        <v>31</v>
      </c>
    </row>
    <row r="911" spans="1:16" x14ac:dyDescent="0.25">
      <c r="A911" s="1">
        <v>44262572</v>
      </c>
      <c r="B911" s="1" t="s">
        <v>42</v>
      </c>
      <c r="C911" s="1" t="s">
        <v>2</v>
      </c>
      <c r="D911" s="1">
        <v>47990</v>
      </c>
      <c r="E911" s="1">
        <v>2950</v>
      </c>
      <c r="F911" s="1">
        <v>37</v>
      </c>
      <c r="G911" s="13">
        <f>Table[[#This Row],[Return Value]]/Table[[#This Row],[Sell Value]]</f>
        <v>1.2542372881355932E-2</v>
      </c>
      <c r="H911" s="1" t="s">
        <v>3</v>
      </c>
      <c r="I911" s="1">
        <v>46</v>
      </c>
      <c r="J911" s="14">
        <f>Table[[#This Row],[Sell Value]]*Table[[#This Row],[Selling Price]]</f>
        <v>135700</v>
      </c>
      <c r="K911" s="1" t="s">
        <v>4</v>
      </c>
      <c r="L911" s="1" t="s">
        <v>43</v>
      </c>
      <c r="M911" s="1" t="s">
        <v>6</v>
      </c>
      <c r="N911" s="1">
        <v>0.2</v>
      </c>
      <c r="O911" s="1" t="s">
        <v>82</v>
      </c>
      <c r="P911" s="1" t="s">
        <v>19</v>
      </c>
    </row>
    <row r="912" spans="1:16" x14ac:dyDescent="0.25">
      <c r="A912" s="1">
        <v>895483051</v>
      </c>
      <c r="B912" s="1" t="s">
        <v>46</v>
      </c>
      <c r="C912" s="1" t="s">
        <v>2</v>
      </c>
      <c r="D912" s="1">
        <v>47530</v>
      </c>
      <c r="E912" s="1">
        <v>4533</v>
      </c>
      <c r="F912" s="1">
        <v>18</v>
      </c>
      <c r="G912" s="13">
        <f>Table[[#This Row],[Return Value]]/Table[[#This Row],[Sell Value]]</f>
        <v>3.9708802117802778E-3</v>
      </c>
      <c r="H912" s="1" t="s">
        <v>3</v>
      </c>
      <c r="I912" s="1">
        <v>47</v>
      </c>
      <c r="J912" s="14">
        <f>Table[[#This Row],[Sell Value]]*Table[[#This Row],[Selling Price]]</f>
        <v>213051</v>
      </c>
      <c r="K912" s="1" t="s">
        <v>4</v>
      </c>
      <c r="L912" s="1" t="s">
        <v>47</v>
      </c>
      <c r="M912" s="1" t="s">
        <v>61</v>
      </c>
      <c r="N912" s="1">
        <v>0.2</v>
      </c>
      <c r="O912" s="1" t="s">
        <v>81</v>
      </c>
      <c r="P912" s="1" t="s">
        <v>67</v>
      </c>
    </row>
    <row r="913" spans="1:16" x14ac:dyDescent="0.25">
      <c r="A913" s="1">
        <v>810685694</v>
      </c>
      <c r="B913" s="1" t="s">
        <v>50</v>
      </c>
      <c r="C913" s="1" t="s">
        <v>2</v>
      </c>
      <c r="D913" s="1">
        <v>47642</v>
      </c>
      <c r="E913" s="1">
        <v>2718</v>
      </c>
      <c r="F913" s="1">
        <v>42</v>
      </c>
      <c r="G913" s="13">
        <f>Table[[#This Row],[Return Value]]/Table[[#This Row],[Sell Value]]</f>
        <v>1.5452538631346579E-2</v>
      </c>
      <c r="H913" s="1" t="s">
        <v>3</v>
      </c>
      <c r="I913" s="1">
        <v>21</v>
      </c>
      <c r="J913" s="14">
        <f>Table[[#This Row],[Sell Value]]*Table[[#This Row],[Selling Price]]</f>
        <v>57078</v>
      </c>
      <c r="K913" s="1" t="s">
        <v>4</v>
      </c>
      <c r="L913" s="1" t="s">
        <v>51</v>
      </c>
      <c r="M913" s="1" t="s">
        <v>6</v>
      </c>
      <c r="N913" s="1">
        <v>0.2</v>
      </c>
      <c r="O913" s="1" t="s">
        <v>81</v>
      </c>
      <c r="P913" s="1" t="s">
        <v>23</v>
      </c>
    </row>
    <row r="914" spans="1:16" x14ac:dyDescent="0.25">
      <c r="A914" s="1">
        <v>850158395</v>
      </c>
      <c r="B914" s="1" t="s">
        <v>53</v>
      </c>
      <c r="C914" s="1" t="s">
        <v>2</v>
      </c>
      <c r="D914" s="1">
        <v>48397</v>
      </c>
      <c r="E914" s="1">
        <v>2743</v>
      </c>
      <c r="F914" s="1">
        <v>44</v>
      </c>
      <c r="G914" s="13">
        <f>Table[[#This Row],[Return Value]]/Table[[#This Row],[Sell Value]]</f>
        <v>1.6040831206707983E-2</v>
      </c>
      <c r="H914" s="1" t="s">
        <v>3</v>
      </c>
      <c r="I914" s="1">
        <v>25</v>
      </c>
      <c r="J914" s="14">
        <f>Table[[#This Row],[Sell Value]]*Table[[#This Row],[Selling Price]]</f>
        <v>68575</v>
      </c>
      <c r="K914" s="1" t="s">
        <v>4</v>
      </c>
      <c r="L914" s="1" t="s">
        <v>54</v>
      </c>
      <c r="M914" s="1" t="s">
        <v>14</v>
      </c>
      <c r="N914" s="1">
        <v>0.2</v>
      </c>
      <c r="O914" s="1" t="s">
        <v>81</v>
      </c>
      <c r="P914" s="1" t="s">
        <v>36</v>
      </c>
    </row>
    <row r="915" spans="1:16" x14ac:dyDescent="0.25">
      <c r="A915" s="1">
        <v>242737187</v>
      </c>
      <c r="B915" s="1" t="s">
        <v>56</v>
      </c>
      <c r="C915" s="1" t="s">
        <v>2</v>
      </c>
      <c r="D915" s="1">
        <v>47519</v>
      </c>
      <c r="E915" s="1">
        <v>2740</v>
      </c>
      <c r="F915" s="1">
        <v>36</v>
      </c>
      <c r="G915" s="13">
        <f>Table[[#This Row],[Return Value]]/Table[[#This Row],[Sell Value]]</f>
        <v>1.3138686131386862E-2</v>
      </c>
      <c r="H915" s="1" t="s">
        <v>3</v>
      </c>
      <c r="I915" s="1">
        <v>34</v>
      </c>
      <c r="J915" s="14">
        <f>Table[[#This Row],[Sell Value]]*Table[[#This Row],[Selling Price]]</f>
        <v>93160</v>
      </c>
      <c r="K915" s="1" t="s">
        <v>4</v>
      </c>
      <c r="L915" s="1" t="s">
        <v>57</v>
      </c>
      <c r="M915" s="1" t="s">
        <v>59</v>
      </c>
      <c r="N915" s="1">
        <v>0.2</v>
      </c>
      <c r="O915" s="1" t="s">
        <v>82</v>
      </c>
      <c r="P915" s="1" t="s">
        <v>65</v>
      </c>
    </row>
    <row r="916" spans="1:16" x14ac:dyDescent="0.25">
      <c r="A916" s="1">
        <v>789712520</v>
      </c>
      <c r="B916" s="1" t="s">
        <v>1</v>
      </c>
      <c r="C916" s="1" t="s">
        <v>2</v>
      </c>
      <c r="D916" s="1">
        <v>47557</v>
      </c>
      <c r="E916" s="1">
        <v>4756</v>
      </c>
      <c r="F916" s="1">
        <v>44</v>
      </c>
      <c r="G916" s="13">
        <f>Table[[#This Row],[Return Value]]/Table[[#This Row],[Sell Value]]</f>
        <v>9.2514718250630776E-3</v>
      </c>
      <c r="H916" s="1" t="s">
        <v>3</v>
      </c>
      <c r="I916" s="1">
        <v>42</v>
      </c>
      <c r="J916" s="14">
        <f>Table[[#This Row],[Sell Value]]*Table[[#This Row],[Selling Price]]</f>
        <v>199752</v>
      </c>
      <c r="K916" s="1" t="s">
        <v>4</v>
      </c>
      <c r="L916" s="1" t="s">
        <v>5</v>
      </c>
      <c r="M916" s="1" t="s">
        <v>33</v>
      </c>
      <c r="N916" s="1">
        <v>0.2</v>
      </c>
      <c r="O916" s="1" t="s">
        <v>82</v>
      </c>
      <c r="P916" s="1" t="s">
        <v>11</v>
      </c>
    </row>
    <row r="917" spans="1:16" x14ac:dyDescent="0.25">
      <c r="A917" s="1">
        <v>274736779</v>
      </c>
      <c r="B917" s="1" t="s">
        <v>8</v>
      </c>
      <c r="C917" s="1" t="s">
        <v>2</v>
      </c>
      <c r="D917" s="1">
        <v>47912</v>
      </c>
      <c r="E917" s="1">
        <v>2311</v>
      </c>
      <c r="F917" s="1">
        <v>31</v>
      </c>
      <c r="G917" s="13">
        <f>Table[[#This Row],[Return Value]]/Table[[#This Row],[Sell Value]]</f>
        <v>1.3414106447425357E-2</v>
      </c>
      <c r="H917" s="1" t="s">
        <v>3</v>
      </c>
      <c r="I917" s="1">
        <v>32</v>
      </c>
      <c r="J917" s="14">
        <f>Table[[#This Row],[Sell Value]]*Table[[#This Row],[Selling Price]]</f>
        <v>73952</v>
      </c>
      <c r="K917" s="1" t="s">
        <v>4</v>
      </c>
      <c r="L917" s="1" t="s">
        <v>9</v>
      </c>
      <c r="M917" s="1" t="s">
        <v>26</v>
      </c>
      <c r="N917" s="1">
        <v>0.2</v>
      </c>
      <c r="O917" s="1" t="s">
        <v>82</v>
      </c>
      <c r="P917" s="1" t="s">
        <v>66</v>
      </c>
    </row>
    <row r="918" spans="1:16" x14ac:dyDescent="0.25">
      <c r="A918" s="1">
        <v>892878884</v>
      </c>
      <c r="B918" s="1" t="s">
        <v>12</v>
      </c>
      <c r="C918" s="1" t="s">
        <v>2</v>
      </c>
      <c r="D918" s="1">
        <v>48021</v>
      </c>
      <c r="E918" s="1">
        <v>1928</v>
      </c>
      <c r="F918" s="1">
        <v>47</v>
      </c>
      <c r="G918" s="13">
        <f>Table[[#This Row],[Return Value]]/Table[[#This Row],[Sell Value]]</f>
        <v>2.4377593360995851E-2</v>
      </c>
      <c r="H918" s="1" t="s">
        <v>3</v>
      </c>
      <c r="I918" s="1">
        <v>22</v>
      </c>
      <c r="J918" s="14">
        <f>Table[[#This Row],[Sell Value]]*Table[[#This Row],[Selling Price]]</f>
        <v>42416</v>
      </c>
      <c r="K918" s="1" t="s">
        <v>4</v>
      </c>
      <c r="L918" s="1" t="s">
        <v>13</v>
      </c>
      <c r="M918" s="1" t="s">
        <v>26</v>
      </c>
      <c r="N918" s="1">
        <v>0.2</v>
      </c>
      <c r="O918" s="1" t="s">
        <v>82</v>
      </c>
      <c r="P918" s="1" t="s">
        <v>31</v>
      </c>
    </row>
    <row r="919" spans="1:16" x14ac:dyDescent="0.25">
      <c r="A919" s="1">
        <v>875475958</v>
      </c>
      <c r="B919" s="1" t="s">
        <v>16</v>
      </c>
      <c r="C919" s="1" t="s">
        <v>17</v>
      </c>
      <c r="D919" s="1">
        <v>48568</v>
      </c>
      <c r="E919" s="1">
        <v>2245</v>
      </c>
      <c r="F919" s="1">
        <v>12</v>
      </c>
      <c r="G919" s="13">
        <f>Table[[#This Row],[Return Value]]/Table[[#This Row],[Sell Value]]</f>
        <v>5.3452115812917594E-3</v>
      </c>
      <c r="H919" s="1" t="s">
        <v>3</v>
      </c>
      <c r="I919" s="1">
        <v>25</v>
      </c>
      <c r="J919" s="14">
        <f>Table[[#This Row],[Sell Value]]*Table[[#This Row],[Selling Price]]</f>
        <v>56125</v>
      </c>
      <c r="K919" s="1" t="s">
        <v>4</v>
      </c>
      <c r="L919" s="1" t="s">
        <v>18</v>
      </c>
      <c r="M919" s="1" t="s">
        <v>14</v>
      </c>
      <c r="N919" s="1">
        <v>0.2</v>
      </c>
      <c r="O919" s="1" t="s">
        <v>81</v>
      </c>
      <c r="P919" s="1" t="s">
        <v>7</v>
      </c>
    </row>
    <row r="920" spans="1:16" x14ac:dyDescent="0.25">
      <c r="A920" s="1">
        <v>840840587</v>
      </c>
      <c r="B920" s="1" t="s">
        <v>20</v>
      </c>
      <c r="C920" s="1" t="s">
        <v>17</v>
      </c>
      <c r="D920" s="1">
        <v>47989</v>
      </c>
      <c r="E920" s="1">
        <v>1982</v>
      </c>
      <c r="F920" s="1">
        <v>16</v>
      </c>
      <c r="G920" s="13">
        <f>Table[[#This Row],[Return Value]]/Table[[#This Row],[Sell Value]]</f>
        <v>8.0726538849646822E-3</v>
      </c>
      <c r="H920" s="1" t="s">
        <v>3</v>
      </c>
      <c r="I920" s="1">
        <v>27</v>
      </c>
      <c r="J920" s="14">
        <f>Table[[#This Row],[Sell Value]]*Table[[#This Row],[Selling Price]]</f>
        <v>53514</v>
      </c>
      <c r="K920" s="1" t="s">
        <v>4</v>
      </c>
      <c r="L920" s="1" t="s">
        <v>21</v>
      </c>
      <c r="M920" s="1" t="s">
        <v>6</v>
      </c>
      <c r="N920" s="1">
        <v>0.2</v>
      </c>
      <c r="O920" s="1" t="s">
        <v>81</v>
      </c>
      <c r="P920" s="1" t="s">
        <v>31</v>
      </c>
    </row>
    <row r="921" spans="1:16" x14ac:dyDescent="0.25">
      <c r="A921" s="1">
        <v>849818593</v>
      </c>
      <c r="B921" s="1" t="s">
        <v>24</v>
      </c>
      <c r="C921" s="1" t="s">
        <v>2</v>
      </c>
      <c r="D921" s="1">
        <v>48321</v>
      </c>
      <c r="E921" s="1">
        <v>2696</v>
      </c>
      <c r="F921" s="1">
        <v>26</v>
      </c>
      <c r="G921" s="13">
        <f>Table[[#This Row],[Return Value]]/Table[[#This Row],[Sell Value]]</f>
        <v>9.6439169139465875E-3</v>
      </c>
      <c r="H921" s="1" t="s">
        <v>3</v>
      </c>
      <c r="I921" s="1">
        <v>24</v>
      </c>
      <c r="J921" s="14">
        <f>Table[[#This Row],[Sell Value]]*Table[[#This Row],[Selling Price]]</f>
        <v>64704</v>
      </c>
      <c r="K921" s="1" t="s">
        <v>4</v>
      </c>
      <c r="L921" s="1" t="s">
        <v>25</v>
      </c>
      <c r="M921" s="1" t="s">
        <v>59</v>
      </c>
      <c r="N921" s="1">
        <v>0.2</v>
      </c>
      <c r="O921" s="1" t="s">
        <v>82</v>
      </c>
      <c r="P921" s="1" t="s">
        <v>19</v>
      </c>
    </row>
    <row r="922" spans="1:16" x14ac:dyDescent="0.25">
      <c r="A922" s="1">
        <v>412753417</v>
      </c>
      <c r="B922" s="1" t="s">
        <v>27</v>
      </c>
      <c r="C922" s="1" t="s">
        <v>2</v>
      </c>
      <c r="D922" s="1">
        <v>47615</v>
      </c>
      <c r="E922" s="1">
        <v>1535</v>
      </c>
      <c r="F922" s="1">
        <v>28</v>
      </c>
      <c r="G922" s="13">
        <f>Table[[#This Row],[Return Value]]/Table[[#This Row],[Sell Value]]</f>
        <v>1.8241042345276872E-2</v>
      </c>
      <c r="H922" s="1" t="s">
        <v>3</v>
      </c>
      <c r="I922" s="1">
        <v>22</v>
      </c>
      <c r="J922" s="14">
        <f>Table[[#This Row],[Sell Value]]*Table[[#This Row],[Selling Price]]</f>
        <v>33770</v>
      </c>
      <c r="K922" s="1" t="s">
        <v>4</v>
      </c>
      <c r="L922" s="1" t="s">
        <v>29</v>
      </c>
      <c r="M922" s="1" t="s">
        <v>10</v>
      </c>
      <c r="N922" s="1">
        <v>0.2</v>
      </c>
      <c r="O922" s="1" t="s">
        <v>81</v>
      </c>
      <c r="P922" s="1" t="s">
        <v>15</v>
      </c>
    </row>
    <row r="923" spans="1:16" x14ac:dyDescent="0.25">
      <c r="A923" s="1">
        <v>194968897</v>
      </c>
      <c r="B923" s="1" t="s">
        <v>32</v>
      </c>
      <c r="C923" s="1" t="s">
        <v>17</v>
      </c>
      <c r="D923" s="1">
        <v>48439</v>
      </c>
      <c r="E923" s="1">
        <v>3261</v>
      </c>
      <c r="F923" s="1">
        <v>28</v>
      </c>
      <c r="G923" s="13">
        <f>Table[[#This Row],[Return Value]]/Table[[#This Row],[Sell Value]]</f>
        <v>8.5863232137381174E-3</v>
      </c>
      <c r="H923" s="1" t="s">
        <v>3</v>
      </c>
      <c r="I923" s="1">
        <v>32</v>
      </c>
      <c r="J923" s="14">
        <f>Table[[#This Row],[Sell Value]]*Table[[#This Row],[Selling Price]]</f>
        <v>104352</v>
      </c>
      <c r="K923" s="1" t="s">
        <v>4</v>
      </c>
      <c r="L923" s="1" t="s">
        <v>29</v>
      </c>
      <c r="M923" s="1" t="s">
        <v>26</v>
      </c>
      <c r="N923" s="1">
        <v>0.2</v>
      </c>
      <c r="O923" s="1" t="s">
        <v>81</v>
      </c>
      <c r="P923" s="1" t="s">
        <v>58</v>
      </c>
    </row>
    <row r="924" spans="1:16" x14ac:dyDescent="0.25">
      <c r="A924" s="1">
        <v>554675361</v>
      </c>
      <c r="B924" s="1" t="s">
        <v>34</v>
      </c>
      <c r="C924" s="1" t="s">
        <v>2</v>
      </c>
      <c r="D924" s="1">
        <v>48222</v>
      </c>
      <c r="E924" s="1">
        <v>1849</v>
      </c>
      <c r="F924" s="1">
        <v>13</v>
      </c>
      <c r="G924" s="13">
        <f>Table[[#This Row],[Return Value]]/Table[[#This Row],[Sell Value]]</f>
        <v>7.0308274743104381E-3</v>
      </c>
      <c r="H924" s="1" t="s">
        <v>3</v>
      </c>
      <c r="I924" s="1">
        <v>42</v>
      </c>
      <c r="J924" s="14">
        <f>Table[[#This Row],[Sell Value]]*Table[[#This Row],[Selling Price]]</f>
        <v>77658</v>
      </c>
      <c r="K924" s="1" t="s">
        <v>4</v>
      </c>
      <c r="L924" s="1" t="s">
        <v>35</v>
      </c>
      <c r="M924" s="1" t="s">
        <v>61</v>
      </c>
      <c r="N924" s="1">
        <v>0.2</v>
      </c>
      <c r="O924" s="1" t="s">
        <v>81</v>
      </c>
      <c r="P924" s="1" t="s">
        <v>36</v>
      </c>
    </row>
    <row r="925" spans="1:16" x14ac:dyDescent="0.25">
      <c r="A925" s="1">
        <v>405210737</v>
      </c>
      <c r="B925" s="1" t="s">
        <v>37</v>
      </c>
      <c r="C925" s="1" t="s">
        <v>17</v>
      </c>
      <c r="D925" s="1">
        <v>48145</v>
      </c>
      <c r="E925" s="1">
        <v>2540</v>
      </c>
      <c r="F925" s="1">
        <v>44</v>
      </c>
      <c r="G925" s="13">
        <f>Table[[#This Row],[Return Value]]/Table[[#This Row],[Sell Value]]</f>
        <v>1.7322834645669291E-2</v>
      </c>
      <c r="H925" s="1" t="s">
        <v>3</v>
      </c>
      <c r="I925" s="1">
        <v>30</v>
      </c>
      <c r="J925" s="14">
        <f>Table[[#This Row],[Sell Value]]*Table[[#This Row],[Selling Price]]</f>
        <v>76200</v>
      </c>
      <c r="K925" s="1" t="s">
        <v>4</v>
      </c>
      <c r="L925" s="1" t="s">
        <v>38</v>
      </c>
      <c r="M925" s="1" t="s">
        <v>59</v>
      </c>
      <c r="N925" s="1">
        <v>0.2</v>
      </c>
      <c r="O925" s="1" t="s">
        <v>82</v>
      </c>
      <c r="P925" s="1" t="s">
        <v>60</v>
      </c>
    </row>
    <row r="926" spans="1:16" x14ac:dyDescent="0.25">
      <c r="A926" s="1">
        <v>247014845</v>
      </c>
      <c r="B926" s="1" t="s">
        <v>40</v>
      </c>
      <c r="C926" s="1" t="s">
        <v>17</v>
      </c>
      <c r="D926" s="1">
        <v>47808</v>
      </c>
      <c r="E926" s="1">
        <v>3214</v>
      </c>
      <c r="F926" s="1">
        <v>45</v>
      </c>
      <c r="G926" s="13">
        <f>Table[[#This Row],[Return Value]]/Table[[#This Row],[Sell Value]]</f>
        <v>1.4001244555071561E-2</v>
      </c>
      <c r="H926" s="1" t="s">
        <v>3</v>
      </c>
      <c r="I926" s="1">
        <v>34</v>
      </c>
      <c r="J926" s="14">
        <f>Table[[#This Row],[Sell Value]]*Table[[#This Row],[Selling Price]]</f>
        <v>109276</v>
      </c>
      <c r="K926" s="1" t="s">
        <v>4</v>
      </c>
      <c r="L926" s="1" t="s">
        <v>41</v>
      </c>
      <c r="M926" s="1" t="s">
        <v>26</v>
      </c>
      <c r="N926" s="1">
        <v>0.2</v>
      </c>
      <c r="O926" s="1" t="s">
        <v>82</v>
      </c>
      <c r="P926" s="1" t="s">
        <v>36</v>
      </c>
    </row>
    <row r="927" spans="1:16" x14ac:dyDescent="0.25">
      <c r="A927" s="1">
        <v>315147821</v>
      </c>
      <c r="B927" s="1" t="s">
        <v>42</v>
      </c>
      <c r="C927" s="1" t="s">
        <v>2</v>
      </c>
      <c r="D927" s="1">
        <v>48300</v>
      </c>
      <c r="E927" s="1">
        <v>1831</v>
      </c>
      <c r="F927" s="1">
        <v>40</v>
      </c>
      <c r="G927" s="13">
        <f>Table[[#This Row],[Return Value]]/Table[[#This Row],[Sell Value]]</f>
        <v>2.1845985800109231E-2</v>
      </c>
      <c r="H927" s="1" t="s">
        <v>3</v>
      </c>
      <c r="I927" s="1">
        <v>36</v>
      </c>
      <c r="J927" s="14">
        <f>Table[[#This Row],[Sell Value]]*Table[[#This Row],[Selling Price]]</f>
        <v>65916</v>
      </c>
      <c r="K927" s="1" t="s">
        <v>4</v>
      </c>
      <c r="L927" s="1" t="s">
        <v>43</v>
      </c>
      <c r="M927" s="1" t="s">
        <v>33</v>
      </c>
      <c r="N927" s="1">
        <v>0.2</v>
      </c>
      <c r="O927" s="1" t="s">
        <v>81</v>
      </c>
      <c r="P927" s="1" t="s">
        <v>19</v>
      </c>
    </row>
    <row r="928" spans="1:16" x14ac:dyDescent="0.25">
      <c r="A928" s="1">
        <v>793849547</v>
      </c>
      <c r="B928" s="1" t="s">
        <v>46</v>
      </c>
      <c r="C928" s="1" t="s">
        <v>2</v>
      </c>
      <c r="D928" s="1">
        <v>48288</v>
      </c>
      <c r="E928" s="1">
        <v>4653</v>
      </c>
      <c r="F928" s="1">
        <v>31</v>
      </c>
      <c r="G928" s="13">
        <f>Table[[#This Row],[Return Value]]/Table[[#This Row],[Sell Value]]</f>
        <v>6.6623683644960238E-3</v>
      </c>
      <c r="H928" s="1" t="s">
        <v>3</v>
      </c>
      <c r="I928" s="1">
        <v>40</v>
      </c>
      <c r="J928" s="14">
        <f>Table[[#This Row],[Sell Value]]*Table[[#This Row],[Selling Price]]</f>
        <v>186120</v>
      </c>
      <c r="K928" s="1" t="s">
        <v>4</v>
      </c>
      <c r="L928" s="1" t="s">
        <v>47</v>
      </c>
      <c r="M928" s="1" t="s">
        <v>33</v>
      </c>
      <c r="N928" s="1">
        <v>0.2</v>
      </c>
      <c r="O928" s="1" t="s">
        <v>81</v>
      </c>
      <c r="P928" s="1" t="s">
        <v>66</v>
      </c>
    </row>
    <row r="929" spans="1:16" x14ac:dyDescent="0.25">
      <c r="A929" s="1">
        <v>545823990</v>
      </c>
      <c r="B929" s="1" t="s">
        <v>50</v>
      </c>
      <c r="C929" s="1" t="s">
        <v>2</v>
      </c>
      <c r="D929" s="1">
        <v>48214</v>
      </c>
      <c r="E929" s="1">
        <v>3018</v>
      </c>
      <c r="F929" s="1">
        <v>15</v>
      </c>
      <c r="G929" s="13">
        <f>Table[[#This Row],[Return Value]]/Table[[#This Row],[Sell Value]]</f>
        <v>4.970178926441352E-3</v>
      </c>
      <c r="H929" s="1" t="s">
        <v>3</v>
      </c>
      <c r="I929" s="1">
        <v>36</v>
      </c>
      <c r="J929" s="14">
        <f>Table[[#This Row],[Sell Value]]*Table[[#This Row],[Selling Price]]</f>
        <v>108648</v>
      </c>
      <c r="K929" s="1" t="s">
        <v>4</v>
      </c>
      <c r="L929" s="1" t="s">
        <v>51</v>
      </c>
      <c r="M929" s="1" t="s">
        <v>14</v>
      </c>
      <c r="N929" s="1">
        <v>0.2</v>
      </c>
      <c r="O929" s="1" t="s">
        <v>81</v>
      </c>
      <c r="P929" s="1" t="s">
        <v>60</v>
      </c>
    </row>
    <row r="930" spans="1:16" x14ac:dyDescent="0.25">
      <c r="A930" s="1">
        <v>135658781</v>
      </c>
      <c r="B930" s="1" t="s">
        <v>53</v>
      </c>
      <c r="C930" s="1" t="s">
        <v>2</v>
      </c>
      <c r="D930" s="1">
        <v>48485</v>
      </c>
      <c r="E930" s="1">
        <v>4798</v>
      </c>
      <c r="F930" s="1">
        <v>40</v>
      </c>
      <c r="G930" s="13">
        <f>Table[[#This Row],[Return Value]]/Table[[#This Row],[Sell Value]]</f>
        <v>8.3368070029178828E-3</v>
      </c>
      <c r="H930" s="1" t="s">
        <v>28</v>
      </c>
      <c r="I930" s="1">
        <v>24</v>
      </c>
      <c r="J930" s="14">
        <f>Table[[#This Row],[Sell Value]]*Table[[#This Row],[Selling Price]]</f>
        <v>115152</v>
      </c>
      <c r="K930" s="1" t="s">
        <v>4</v>
      </c>
      <c r="L930" s="1" t="s">
        <v>54</v>
      </c>
      <c r="M930" s="1" t="s">
        <v>33</v>
      </c>
      <c r="N930" s="1">
        <v>0.2</v>
      </c>
      <c r="O930" s="1" t="s">
        <v>82</v>
      </c>
      <c r="P930" s="1" t="s">
        <v>58</v>
      </c>
    </row>
    <row r="931" spans="1:16" x14ac:dyDescent="0.25">
      <c r="A931" s="1">
        <v>100148669</v>
      </c>
      <c r="B931" s="1" t="s">
        <v>56</v>
      </c>
      <c r="C931" s="1" t="s">
        <v>2</v>
      </c>
      <c r="D931" s="1">
        <v>48165</v>
      </c>
      <c r="E931" s="1">
        <v>2430</v>
      </c>
      <c r="F931" s="1">
        <v>37</v>
      </c>
      <c r="G931" s="13">
        <f>Table[[#This Row],[Return Value]]/Table[[#This Row],[Sell Value]]</f>
        <v>1.5226337448559672E-2</v>
      </c>
      <c r="H931" s="1" t="s">
        <v>3</v>
      </c>
      <c r="I931" s="1">
        <v>37</v>
      </c>
      <c r="J931" s="14">
        <f>Table[[#This Row],[Sell Value]]*Table[[#This Row],[Selling Price]]</f>
        <v>89910</v>
      </c>
      <c r="K931" s="1" t="s">
        <v>4</v>
      </c>
      <c r="L931" s="1" t="s">
        <v>57</v>
      </c>
      <c r="M931" s="1" t="s">
        <v>22</v>
      </c>
      <c r="N931" s="1">
        <v>0.2</v>
      </c>
      <c r="O931" s="1" t="s">
        <v>81</v>
      </c>
      <c r="P931" s="1" t="s">
        <v>45</v>
      </c>
    </row>
    <row r="932" spans="1:16" x14ac:dyDescent="0.25">
      <c r="A932" s="1">
        <v>976969735</v>
      </c>
      <c r="B932" s="1" t="s">
        <v>1</v>
      </c>
      <c r="C932" s="1" t="s">
        <v>2</v>
      </c>
      <c r="D932" s="1">
        <v>47824</v>
      </c>
      <c r="E932" s="1">
        <v>1852</v>
      </c>
      <c r="F932" s="1">
        <v>46</v>
      </c>
      <c r="G932" s="13">
        <f>Table[[#This Row],[Return Value]]/Table[[#This Row],[Sell Value]]</f>
        <v>2.4838012958963283E-2</v>
      </c>
      <c r="H932" s="1" t="s">
        <v>3</v>
      </c>
      <c r="I932" s="1">
        <v>50</v>
      </c>
      <c r="J932" s="14">
        <f>Table[[#This Row],[Sell Value]]*Table[[#This Row],[Selling Price]]</f>
        <v>92600</v>
      </c>
      <c r="K932" s="1" t="s">
        <v>4</v>
      </c>
      <c r="L932" s="1" t="s">
        <v>5</v>
      </c>
      <c r="M932" s="1" t="s">
        <v>14</v>
      </c>
      <c r="N932" s="1">
        <v>0.2</v>
      </c>
      <c r="O932" s="1" t="s">
        <v>82</v>
      </c>
      <c r="P932" s="1" t="s">
        <v>63</v>
      </c>
    </row>
    <row r="933" spans="1:16" x14ac:dyDescent="0.25">
      <c r="A933" s="1">
        <v>959683641</v>
      </c>
      <c r="B933" s="1" t="s">
        <v>8</v>
      </c>
      <c r="C933" s="1" t="s">
        <v>2</v>
      </c>
      <c r="D933" s="1">
        <v>48168</v>
      </c>
      <c r="E933" s="1">
        <v>4753</v>
      </c>
      <c r="F933" s="1">
        <v>23</v>
      </c>
      <c r="G933" s="13">
        <f>Table[[#This Row],[Return Value]]/Table[[#This Row],[Sell Value]]</f>
        <v>4.8390490216705237E-3</v>
      </c>
      <c r="H933" s="1" t="s">
        <v>3</v>
      </c>
      <c r="I933" s="1">
        <v>29</v>
      </c>
      <c r="J933" s="14">
        <f>Table[[#This Row],[Sell Value]]*Table[[#This Row],[Selling Price]]</f>
        <v>137837</v>
      </c>
      <c r="K933" s="1" t="s">
        <v>4</v>
      </c>
      <c r="L933" s="1" t="s">
        <v>9</v>
      </c>
      <c r="M933" s="1" t="s">
        <v>14</v>
      </c>
      <c r="N933" s="1">
        <v>0.2</v>
      </c>
      <c r="O933" s="1" t="s">
        <v>81</v>
      </c>
      <c r="P933" s="1" t="s">
        <v>15</v>
      </c>
    </row>
    <row r="934" spans="1:16" x14ac:dyDescent="0.25">
      <c r="A934" s="1">
        <v>887655830</v>
      </c>
      <c r="B934" s="1" t="s">
        <v>12</v>
      </c>
      <c r="C934" s="1" t="s">
        <v>2</v>
      </c>
      <c r="D934" s="1">
        <v>48431</v>
      </c>
      <c r="E934" s="1">
        <v>2905</v>
      </c>
      <c r="F934" s="1">
        <v>22</v>
      </c>
      <c r="G934" s="13">
        <f>Table[[#This Row],[Return Value]]/Table[[#This Row],[Sell Value]]</f>
        <v>7.5731497418244408E-3</v>
      </c>
      <c r="H934" s="1" t="s">
        <v>28</v>
      </c>
      <c r="I934" s="1">
        <v>22</v>
      </c>
      <c r="J934" s="14">
        <f>Table[[#This Row],[Sell Value]]*Table[[#This Row],[Selling Price]]</f>
        <v>63910</v>
      </c>
      <c r="K934" s="1" t="s">
        <v>4</v>
      </c>
      <c r="L934" s="1" t="s">
        <v>13</v>
      </c>
      <c r="M934" s="1" t="s">
        <v>26</v>
      </c>
      <c r="N934" s="1">
        <v>0.2</v>
      </c>
      <c r="O934" s="1" t="s">
        <v>82</v>
      </c>
      <c r="P934" s="1" t="s">
        <v>65</v>
      </c>
    </row>
    <row r="935" spans="1:16" x14ac:dyDescent="0.25">
      <c r="A935" s="1">
        <v>658212658</v>
      </c>
      <c r="B935" s="1" t="s">
        <v>16</v>
      </c>
      <c r="C935" s="1" t="s">
        <v>17</v>
      </c>
      <c r="D935" s="1">
        <v>48085</v>
      </c>
      <c r="E935" s="1">
        <v>2076</v>
      </c>
      <c r="F935" s="1">
        <v>33</v>
      </c>
      <c r="G935" s="13">
        <f>Table[[#This Row],[Return Value]]/Table[[#This Row],[Sell Value]]</f>
        <v>1.5895953757225433E-2</v>
      </c>
      <c r="H935" s="1" t="s">
        <v>3</v>
      </c>
      <c r="I935" s="1">
        <v>33</v>
      </c>
      <c r="J935" s="14">
        <f>Table[[#This Row],[Sell Value]]*Table[[#This Row],[Selling Price]]</f>
        <v>68508</v>
      </c>
      <c r="K935" s="1" t="s">
        <v>4</v>
      </c>
      <c r="L935" s="1" t="s">
        <v>18</v>
      </c>
      <c r="M935" s="1" t="s">
        <v>33</v>
      </c>
      <c r="N935" s="1">
        <v>0.2</v>
      </c>
      <c r="O935" s="1" t="s">
        <v>81</v>
      </c>
      <c r="P935" s="1" t="s">
        <v>31</v>
      </c>
    </row>
    <row r="936" spans="1:16" x14ac:dyDescent="0.25">
      <c r="A936" s="1">
        <v>862293746</v>
      </c>
      <c r="B936" s="1" t="s">
        <v>20</v>
      </c>
      <c r="C936" s="1" t="s">
        <v>17</v>
      </c>
      <c r="D936" s="1">
        <v>48265</v>
      </c>
      <c r="E936" s="1">
        <v>2885</v>
      </c>
      <c r="F936" s="1">
        <v>21</v>
      </c>
      <c r="G936" s="13">
        <f>Table[[#This Row],[Return Value]]/Table[[#This Row],[Sell Value]]</f>
        <v>7.2790294627383019E-3</v>
      </c>
      <c r="H936" s="1" t="s">
        <v>3</v>
      </c>
      <c r="I936" s="1">
        <v>26</v>
      </c>
      <c r="J936" s="14">
        <f>Table[[#This Row],[Sell Value]]*Table[[#This Row],[Selling Price]]</f>
        <v>75010</v>
      </c>
      <c r="K936" s="1" t="s">
        <v>4</v>
      </c>
      <c r="L936" s="1" t="s">
        <v>21</v>
      </c>
      <c r="M936" s="1" t="s">
        <v>10</v>
      </c>
      <c r="N936" s="1">
        <v>0.2</v>
      </c>
      <c r="O936" s="1" t="s">
        <v>81</v>
      </c>
      <c r="P936" s="1" t="s">
        <v>63</v>
      </c>
    </row>
    <row r="937" spans="1:16" x14ac:dyDescent="0.25">
      <c r="A937" s="1">
        <v>586232647</v>
      </c>
      <c r="B937" s="1" t="s">
        <v>24</v>
      </c>
      <c r="C937" s="1" t="s">
        <v>2</v>
      </c>
      <c r="D937" s="1">
        <v>47674</v>
      </c>
      <c r="E937" s="1">
        <v>3226</v>
      </c>
      <c r="F937" s="1">
        <v>21</v>
      </c>
      <c r="G937" s="13">
        <f>Table[[#This Row],[Return Value]]/Table[[#This Row],[Sell Value]]</f>
        <v>6.5096094234345942E-3</v>
      </c>
      <c r="H937" s="1" t="s">
        <v>28</v>
      </c>
      <c r="I937" s="1">
        <v>32</v>
      </c>
      <c r="J937" s="14">
        <f>Table[[#This Row],[Sell Value]]*Table[[#This Row],[Selling Price]]</f>
        <v>103232</v>
      </c>
      <c r="K937" s="1" t="s">
        <v>4</v>
      </c>
      <c r="L937" s="1" t="s">
        <v>25</v>
      </c>
      <c r="M937" s="1" t="s">
        <v>6</v>
      </c>
      <c r="N937" s="1">
        <v>0.2</v>
      </c>
      <c r="O937" s="1" t="s">
        <v>81</v>
      </c>
      <c r="P937" s="1" t="s">
        <v>36</v>
      </c>
    </row>
    <row r="938" spans="1:16" x14ac:dyDescent="0.25">
      <c r="A938" s="1">
        <v>689512243</v>
      </c>
      <c r="B938" s="1" t="s">
        <v>27</v>
      </c>
      <c r="C938" s="1" t="s">
        <v>2</v>
      </c>
      <c r="D938" s="1">
        <v>48276</v>
      </c>
      <c r="E938" s="1">
        <v>1231</v>
      </c>
      <c r="F938" s="1">
        <v>45</v>
      </c>
      <c r="G938" s="13">
        <f>Table[[#This Row],[Return Value]]/Table[[#This Row],[Sell Value]]</f>
        <v>3.6555645816409424E-2</v>
      </c>
      <c r="H938" s="1" t="s">
        <v>3</v>
      </c>
      <c r="I938" s="1">
        <v>36</v>
      </c>
      <c r="J938" s="14">
        <f>Table[[#This Row],[Sell Value]]*Table[[#This Row],[Selling Price]]</f>
        <v>44316</v>
      </c>
      <c r="K938" s="1" t="s">
        <v>4</v>
      </c>
      <c r="L938" s="1" t="s">
        <v>29</v>
      </c>
      <c r="M938" s="1" t="s">
        <v>22</v>
      </c>
      <c r="N938" s="1">
        <v>0.2</v>
      </c>
      <c r="O938" s="1" t="s">
        <v>81</v>
      </c>
      <c r="P938" s="1" t="s">
        <v>58</v>
      </c>
    </row>
    <row r="939" spans="1:16" x14ac:dyDescent="0.25">
      <c r="A939" s="1">
        <v>19206174</v>
      </c>
      <c r="B939" s="1" t="s">
        <v>32</v>
      </c>
      <c r="C939" s="1" t="s">
        <v>17</v>
      </c>
      <c r="D939" s="1">
        <v>48306</v>
      </c>
      <c r="E939" s="1">
        <v>1412</v>
      </c>
      <c r="F939" s="1">
        <v>27</v>
      </c>
      <c r="G939" s="13">
        <f>Table[[#This Row],[Return Value]]/Table[[#This Row],[Sell Value]]</f>
        <v>1.9121813031161474E-2</v>
      </c>
      <c r="H939" s="1" t="s">
        <v>3</v>
      </c>
      <c r="I939" s="1">
        <v>28</v>
      </c>
      <c r="J939" s="14">
        <f>Table[[#This Row],[Sell Value]]*Table[[#This Row],[Selling Price]]</f>
        <v>39536</v>
      </c>
      <c r="K939" s="1" t="s">
        <v>4</v>
      </c>
      <c r="L939" s="1" t="s">
        <v>29</v>
      </c>
      <c r="M939" s="1" t="s">
        <v>59</v>
      </c>
      <c r="N939" s="1">
        <v>0.2</v>
      </c>
      <c r="O939" s="1" t="s">
        <v>82</v>
      </c>
      <c r="P939" s="1" t="s">
        <v>45</v>
      </c>
    </row>
    <row r="940" spans="1:16" x14ac:dyDescent="0.25">
      <c r="A940" s="1">
        <v>69316195</v>
      </c>
      <c r="B940" s="1" t="s">
        <v>34</v>
      </c>
      <c r="C940" s="1" t="s">
        <v>2</v>
      </c>
      <c r="D940" s="1">
        <v>48022</v>
      </c>
      <c r="E940" s="1">
        <v>3182</v>
      </c>
      <c r="F940" s="1">
        <v>42</v>
      </c>
      <c r="G940" s="13">
        <f>Table[[#This Row],[Return Value]]/Table[[#This Row],[Sell Value]]</f>
        <v>1.3199245757385292E-2</v>
      </c>
      <c r="H940" s="1" t="s">
        <v>28</v>
      </c>
      <c r="I940" s="1">
        <v>33</v>
      </c>
      <c r="J940" s="14">
        <f>Table[[#This Row],[Sell Value]]*Table[[#This Row],[Selling Price]]</f>
        <v>105006</v>
      </c>
      <c r="K940" s="1" t="s">
        <v>4</v>
      </c>
      <c r="L940" s="1" t="s">
        <v>35</v>
      </c>
      <c r="M940" s="1" t="s">
        <v>30</v>
      </c>
      <c r="N940" s="1">
        <v>0.2</v>
      </c>
      <c r="O940" s="1" t="s">
        <v>81</v>
      </c>
      <c r="P940" s="1" t="s">
        <v>58</v>
      </c>
    </row>
    <row r="941" spans="1:16" x14ac:dyDescent="0.25">
      <c r="A941" s="1">
        <v>913749424</v>
      </c>
      <c r="B941" s="1" t="s">
        <v>37</v>
      </c>
      <c r="C941" s="1" t="s">
        <v>17</v>
      </c>
      <c r="D941" s="1">
        <v>47915</v>
      </c>
      <c r="E941" s="1">
        <v>2838</v>
      </c>
      <c r="F941" s="1">
        <v>47</v>
      </c>
      <c r="G941" s="13">
        <f>Table[[#This Row],[Return Value]]/Table[[#This Row],[Sell Value]]</f>
        <v>1.6560958421423539E-2</v>
      </c>
      <c r="H941" s="1" t="s">
        <v>3</v>
      </c>
      <c r="I941" s="1">
        <v>36</v>
      </c>
      <c r="J941" s="14">
        <f>Table[[#This Row],[Sell Value]]*Table[[#This Row],[Selling Price]]</f>
        <v>102168</v>
      </c>
      <c r="K941" s="1" t="s">
        <v>4</v>
      </c>
      <c r="L941" s="1" t="s">
        <v>38</v>
      </c>
      <c r="M941" s="1" t="s">
        <v>48</v>
      </c>
      <c r="N941" s="1">
        <v>0.2</v>
      </c>
      <c r="O941" s="1" t="s">
        <v>81</v>
      </c>
      <c r="P941" s="1" t="s">
        <v>63</v>
      </c>
    </row>
    <row r="942" spans="1:16" x14ac:dyDescent="0.25">
      <c r="A942" s="1">
        <v>717171461</v>
      </c>
      <c r="B942" s="1" t="s">
        <v>40</v>
      </c>
      <c r="C942" s="1" t="s">
        <v>17</v>
      </c>
      <c r="D942" s="1">
        <v>47695</v>
      </c>
      <c r="E942" s="1">
        <v>3102</v>
      </c>
      <c r="F942" s="1">
        <v>22</v>
      </c>
      <c r="G942" s="13">
        <f>Table[[#This Row],[Return Value]]/Table[[#This Row],[Sell Value]]</f>
        <v>7.0921985815602835E-3</v>
      </c>
      <c r="H942" s="1" t="s">
        <v>3</v>
      </c>
      <c r="I942" s="1">
        <v>45</v>
      </c>
      <c r="J942" s="14">
        <f>Table[[#This Row],[Sell Value]]*Table[[#This Row],[Selling Price]]</f>
        <v>139590</v>
      </c>
      <c r="K942" s="1" t="s">
        <v>4</v>
      </c>
      <c r="L942" s="1" t="s">
        <v>41</v>
      </c>
      <c r="M942" s="1" t="s">
        <v>30</v>
      </c>
      <c r="N942" s="1">
        <v>0.2</v>
      </c>
      <c r="O942" s="1" t="s">
        <v>82</v>
      </c>
      <c r="P942" s="1" t="s">
        <v>45</v>
      </c>
    </row>
    <row r="943" spans="1:16" x14ac:dyDescent="0.25">
      <c r="A943" s="1">
        <v>796000032</v>
      </c>
      <c r="B943" s="1" t="s">
        <v>42</v>
      </c>
      <c r="C943" s="1" t="s">
        <v>2</v>
      </c>
      <c r="D943" s="1">
        <v>47520</v>
      </c>
      <c r="E943" s="1">
        <v>4996</v>
      </c>
      <c r="F943" s="1">
        <v>33</v>
      </c>
      <c r="G943" s="13">
        <f>Table[[#This Row],[Return Value]]/Table[[#This Row],[Sell Value]]</f>
        <v>6.6052842273819053E-3</v>
      </c>
      <c r="H943" s="1" t="s">
        <v>3</v>
      </c>
      <c r="I943" s="1">
        <v>31</v>
      </c>
      <c r="J943" s="14">
        <f>Table[[#This Row],[Sell Value]]*Table[[#This Row],[Selling Price]]</f>
        <v>154876</v>
      </c>
      <c r="K943" s="1" t="s">
        <v>4</v>
      </c>
      <c r="L943" s="1" t="s">
        <v>43</v>
      </c>
      <c r="M943" s="1" t="s">
        <v>48</v>
      </c>
      <c r="N943" s="1">
        <v>0.2</v>
      </c>
      <c r="O943" s="1" t="s">
        <v>81</v>
      </c>
      <c r="P943" s="1" t="s">
        <v>45</v>
      </c>
    </row>
    <row r="944" spans="1:16" x14ac:dyDescent="0.25">
      <c r="A944" s="1">
        <v>507230386</v>
      </c>
      <c r="B944" s="1" t="s">
        <v>46</v>
      </c>
      <c r="C944" s="1" t="s">
        <v>2</v>
      </c>
      <c r="D944" s="1">
        <v>47969</v>
      </c>
      <c r="E944" s="1">
        <v>4300</v>
      </c>
      <c r="F944" s="1">
        <v>31</v>
      </c>
      <c r="G944" s="13">
        <f>Table[[#This Row],[Return Value]]/Table[[#This Row],[Sell Value]]</f>
        <v>7.2093023255813951E-3</v>
      </c>
      <c r="H944" s="1" t="s">
        <v>28</v>
      </c>
      <c r="I944" s="1">
        <v>46</v>
      </c>
      <c r="J944" s="14">
        <f>Table[[#This Row],[Sell Value]]*Table[[#This Row],[Selling Price]]</f>
        <v>197800</v>
      </c>
      <c r="K944" s="1" t="s">
        <v>4</v>
      </c>
      <c r="L944" s="1" t="s">
        <v>47</v>
      </c>
      <c r="M944" s="1" t="s">
        <v>61</v>
      </c>
      <c r="N944" s="1">
        <v>0.2</v>
      </c>
      <c r="O944" s="1" t="s">
        <v>82</v>
      </c>
      <c r="P944" s="1" t="s">
        <v>55</v>
      </c>
    </row>
    <row r="945" spans="1:16" x14ac:dyDescent="0.25">
      <c r="A945" s="1">
        <v>880357454</v>
      </c>
      <c r="B945" s="1" t="s">
        <v>12</v>
      </c>
      <c r="C945" s="1" t="s">
        <v>2</v>
      </c>
      <c r="D945" s="1">
        <v>47559</v>
      </c>
      <c r="E945" s="1">
        <v>2144</v>
      </c>
      <c r="F945" s="1">
        <v>49</v>
      </c>
      <c r="G945" s="13">
        <f>Table[[#This Row],[Return Value]]/Table[[#This Row],[Sell Value]]</f>
        <v>2.2854477611940299E-2</v>
      </c>
      <c r="H945" s="1" t="s">
        <v>3</v>
      </c>
      <c r="I945" s="1">
        <v>39</v>
      </c>
      <c r="J945" s="14">
        <f>Table[[#This Row],[Sell Value]]*Table[[#This Row],[Selling Price]]</f>
        <v>83616</v>
      </c>
      <c r="K945" s="1" t="s">
        <v>4</v>
      </c>
      <c r="L945" s="1" t="s">
        <v>51</v>
      </c>
      <c r="M945" s="1" t="s">
        <v>48</v>
      </c>
      <c r="N945" s="1">
        <v>0.2</v>
      </c>
      <c r="O945" s="1" t="s">
        <v>81</v>
      </c>
      <c r="P945" s="1" t="s">
        <v>52</v>
      </c>
    </row>
    <row r="946" spans="1:16" x14ac:dyDescent="0.25">
      <c r="A946" s="1">
        <v>491896746</v>
      </c>
      <c r="B946" s="1" t="s">
        <v>16</v>
      </c>
      <c r="C946" s="1" t="s">
        <v>17</v>
      </c>
      <c r="D946" s="1">
        <v>47558</v>
      </c>
      <c r="E946" s="1">
        <v>3742</v>
      </c>
      <c r="F946" s="1">
        <v>23</v>
      </c>
      <c r="G946" s="13">
        <f>Table[[#This Row],[Return Value]]/Table[[#This Row],[Sell Value]]</f>
        <v>6.1464457509353291E-3</v>
      </c>
      <c r="H946" s="1" t="s">
        <v>3</v>
      </c>
      <c r="I946" s="1">
        <v>35</v>
      </c>
      <c r="J946" s="14">
        <f>Table[[#This Row],[Sell Value]]*Table[[#This Row],[Selling Price]]</f>
        <v>130970</v>
      </c>
      <c r="K946" s="1" t="s">
        <v>4</v>
      </c>
      <c r="L946" s="1" t="s">
        <v>54</v>
      </c>
      <c r="M946" s="1" t="s">
        <v>22</v>
      </c>
      <c r="N946" s="1">
        <v>0.2</v>
      </c>
      <c r="O946" s="1" t="s">
        <v>81</v>
      </c>
      <c r="P946" s="1" t="s">
        <v>23</v>
      </c>
    </row>
    <row r="947" spans="1:16" x14ac:dyDescent="0.25">
      <c r="A947" s="1">
        <v>137250456</v>
      </c>
      <c r="B947" s="1" t="s">
        <v>20</v>
      </c>
      <c r="C947" s="1" t="s">
        <v>17</v>
      </c>
      <c r="D947" s="1">
        <v>48020</v>
      </c>
      <c r="E947" s="1">
        <v>1372</v>
      </c>
      <c r="F947" s="1">
        <v>43</v>
      </c>
      <c r="G947" s="13">
        <f>Table[[#This Row],[Return Value]]/Table[[#This Row],[Sell Value]]</f>
        <v>3.134110787172012E-2</v>
      </c>
      <c r="H947" s="1" t="s">
        <v>3</v>
      </c>
      <c r="I947" s="1">
        <v>42</v>
      </c>
      <c r="J947" s="14">
        <f>Table[[#This Row],[Sell Value]]*Table[[#This Row],[Selling Price]]</f>
        <v>57624</v>
      </c>
      <c r="K947" s="1" t="s">
        <v>4</v>
      </c>
      <c r="L947" s="1" t="s">
        <v>57</v>
      </c>
      <c r="M947" s="1" t="s">
        <v>61</v>
      </c>
      <c r="N947" s="1">
        <v>0.2</v>
      </c>
      <c r="O947" s="1" t="s">
        <v>82</v>
      </c>
      <c r="P947" s="1" t="s">
        <v>31</v>
      </c>
    </row>
    <row r="948" spans="1:16" x14ac:dyDescent="0.25">
      <c r="A948" s="1">
        <v>832251704</v>
      </c>
      <c r="B948" s="1" t="s">
        <v>24</v>
      </c>
      <c r="C948" s="1" t="s">
        <v>2</v>
      </c>
      <c r="D948" s="1">
        <v>47608</v>
      </c>
      <c r="E948" s="1">
        <v>1024</v>
      </c>
      <c r="F948" s="1">
        <v>11</v>
      </c>
      <c r="G948" s="13">
        <f>Table[[#This Row],[Return Value]]/Table[[#This Row],[Sell Value]]</f>
        <v>1.07421875E-2</v>
      </c>
      <c r="H948" s="1" t="s">
        <v>3</v>
      </c>
      <c r="I948" s="1">
        <v>23</v>
      </c>
      <c r="J948" s="14">
        <f>Table[[#This Row],[Sell Value]]*Table[[#This Row],[Selling Price]]</f>
        <v>23552</v>
      </c>
      <c r="K948" s="1" t="s">
        <v>4</v>
      </c>
      <c r="L948" s="1" t="s">
        <v>5</v>
      </c>
      <c r="M948" s="1" t="s">
        <v>14</v>
      </c>
      <c r="N948" s="1">
        <v>0.2</v>
      </c>
      <c r="O948" s="1" t="s">
        <v>81</v>
      </c>
      <c r="P948" s="1" t="s">
        <v>39</v>
      </c>
    </row>
    <row r="949" spans="1:16" x14ac:dyDescent="0.25">
      <c r="A949" s="1">
        <v>864362796</v>
      </c>
      <c r="B949" s="1" t="s">
        <v>27</v>
      </c>
      <c r="C949" s="1" t="s">
        <v>2</v>
      </c>
      <c r="D949" s="1">
        <v>47604</v>
      </c>
      <c r="E949" s="1">
        <v>2200</v>
      </c>
      <c r="F949" s="1">
        <v>24</v>
      </c>
      <c r="G949" s="13">
        <f>Table[[#This Row],[Return Value]]/Table[[#This Row],[Sell Value]]</f>
        <v>1.090909090909091E-2</v>
      </c>
      <c r="H949" s="1" t="s">
        <v>3</v>
      </c>
      <c r="I949" s="1">
        <v>20</v>
      </c>
      <c r="J949" s="14">
        <f>Table[[#This Row],[Sell Value]]*Table[[#This Row],[Selling Price]]</f>
        <v>44000</v>
      </c>
      <c r="K949" s="1" t="s">
        <v>4</v>
      </c>
      <c r="L949" s="1" t="s">
        <v>9</v>
      </c>
      <c r="M949" s="1" t="s">
        <v>30</v>
      </c>
      <c r="N949" s="1">
        <v>0.2</v>
      </c>
      <c r="O949" s="1" t="s">
        <v>81</v>
      </c>
      <c r="P949" s="1" t="s">
        <v>11</v>
      </c>
    </row>
    <row r="950" spans="1:16" x14ac:dyDescent="0.25">
      <c r="A950" s="1">
        <v>772090522</v>
      </c>
      <c r="B950" s="1" t="s">
        <v>32</v>
      </c>
      <c r="C950" s="1" t="s">
        <v>17</v>
      </c>
      <c r="D950" s="1">
        <v>47615</v>
      </c>
      <c r="E950" s="1">
        <v>2896</v>
      </c>
      <c r="F950" s="1">
        <v>15</v>
      </c>
      <c r="G950" s="13">
        <f>Table[[#This Row],[Return Value]]/Table[[#This Row],[Sell Value]]</f>
        <v>5.1795580110497235E-3</v>
      </c>
      <c r="H950" s="1" t="s">
        <v>3</v>
      </c>
      <c r="I950" s="1">
        <v>36</v>
      </c>
      <c r="J950" s="14">
        <f>Table[[#This Row],[Sell Value]]*Table[[#This Row],[Selling Price]]</f>
        <v>104256</v>
      </c>
      <c r="K950" s="1" t="s">
        <v>4</v>
      </c>
      <c r="L950" s="1" t="s">
        <v>13</v>
      </c>
      <c r="M950" s="1" t="s">
        <v>22</v>
      </c>
      <c r="N950" s="1">
        <v>0.2</v>
      </c>
      <c r="O950" s="1" t="s">
        <v>82</v>
      </c>
      <c r="P950" s="1" t="s">
        <v>45</v>
      </c>
    </row>
    <row r="951" spans="1:16" x14ac:dyDescent="0.25">
      <c r="A951" s="1">
        <v>508887782</v>
      </c>
      <c r="B951" s="1" t="s">
        <v>34</v>
      </c>
      <c r="C951" s="1" t="s">
        <v>2</v>
      </c>
      <c r="D951" s="1">
        <v>48124</v>
      </c>
      <c r="E951" s="1">
        <v>2118</v>
      </c>
      <c r="F951" s="1">
        <v>27</v>
      </c>
      <c r="G951" s="13">
        <f>Table[[#This Row],[Return Value]]/Table[[#This Row],[Sell Value]]</f>
        <v>1.2747875354107648E-2</v>
      </c>
      <c r="H951" s="1" t="s">
        <v>3</v>
      </c>
      <c r="I951" s="1">
        <v>40</v>
      </c>
      <c r="J951" s="14">
        <f>Table[[#This Row],[Sell Value]]*Table[[#This Row],[Selling Price]]</f>
        <v>84720</v>
      </c>
      <c r="K951" s="1" t="s">
        <v>4</v>
      </c>
      <c r="L951" s="1" t="s">
        <v>18</v>
      </c>
      <c r="M951" s="1" t="s">
        <v>22</v>
      </c>
      <c r="N951" s="1">
        <v>0.2</v>
      </c>
      <c r="O951" s="1" t="s">
        <v>81</v>
      </c>
      <c r="P951" s="1" t="s">
        <v>36</v>
      </c>
    </row>
    <row r="952" spans="1:16" x14ac:dyDescent="0.25">
      <c r="A952" s="1">
        <v>494227728</v>
      </c>
      <c r="B952" s="1" t="s">
        <v>37</v>
      </c>
      <c r="C952" s="1" t="s">
        <v>17</v>
      </c>
      <c r="D952" s="1">
        <v>48381</v>
      </c>
      <c r="E952" s="1">
        <v>4155</v>
      </c>
      <c r="F952" s="1">
        <v>42</v>
      </c>
      <c r="G952" s="13">
        <f>Table[[#This Row],[Return Value]]/Table[[#This Row],[Sell Value]]</f>
        <v>1.0108303249097473E-2</v>
      </c>
      <c r="H952" s="1" t="s">
        <v>3</v>
      </c>
      <c r="I952" s="1">
        <v>24</v>
      </c>
      <c r="J952" s="14">
        <f>Table[[#This Row],[Sell Value]]*Table[[#This Row],[Selling Price]]</f>
        <v>99720</v>
      </c>
      <c r="K952" s="1" t="s">
        <v>4</v>
      </c>
      <c r="L952" s="1" t="s">
        <v>21</v>
      </c>
      <c r="M952" s="1" t="s">
        <v>30</v>
      </c>
      <c r="N952" s="1">
        <v>0.2</v>
      </c>
      <c r="O952" s="1" t="s">
        <v>82</v>
      </c>
      <c r="P952" s="1" t="s">
        <v>39</v>
      </c>
    </row>
    <row r="953" spans="1:16" x14ac:dyDescent="0.25">
      <c r="A953" s="1">
        <v>706318546</v>
      </c>
      <c r="B953" s="1" t="s">
        <v>40</v>
      </c>
      <c r="C953" s="1" t="s">
        <v>17</v>
      </c>
      <c r="D953" s="1">
        <v>47682</v>
      </c>
      <c r="E953" s="1">
        <v>1381</v>
      </c>
      <c r="F953" s="1">
        <v>34</v>
      </c>
      <c r="G953" s="13">
        <f>Table[[#This Row],[Return Value]]/Table[[#This Row],[Sell Value]]</f>
        <v>2.4619840695148443E-2</v>
      </c>
      <c r="H953" s="1" t="s">
        <v>3</v>
      </c>
      <c r="I953" s="1">
        <v>43</v>
      </c>
      <c r="J953" s="14">
        <f>Table[[#This Row],[Sell Value]]*Table[[#This Row],[Selling Price]]</f>
        <v>59383</v>
      </c>
      <c r="K953" s="1" t="s">
        <v>4</v>
      </c>
      <c r="L953" s="1" t="s">
        <v>25</v>
      </c>
      <c r="M953" s="1" t="s">
        <v>61</v>
      </c>
      <c r="N953" s="1">
        <v>0.2</v>
      </c>
      <c r="O953" s="1" t="s">
        <v>81</v>
      </c>
      <c r="P953" s="1" t="s">
        <v>67</v>
      </c>
    </row>
    <row r="954" spans="1:16" x14ac:dyDescent="0.25">
      <c r="A954" s="1">
        <v>170967130</v>
      </c>
      <c r="B954" s="1" t="s">
        <v>42</v>
      </c>
      <c r="C954" s="1" t="s">
        <v>2</v>
      </c>
      <c r="D954" s="1">
        <v>47486</v>
      </c>
      <c r="E954" s="1">
        <v>1782</v>
      </c>
      <c r="F954" s="1">
        <v>24</v>
      </c>
      <c r="G954" s="13">
        <f>Table[[#This Row],[Return Value]]/Table[[#This Row],[Sell Value]]</f>
        <v>1.3468013468013467E-2</v>
      </c>
      <c r="H954" s="1" t="s">
        <v>3</v>
      </c>
      <c r="I954" s="1">
        <v>47</v>
      </c>
      <c r="J954" s="14">
        <f>Table[[#This Row],[Sell Value]]*Table[[#This Row],[Selling Price]]</f>
        <v>83754</v>
      </c>
      <c r="K954" s="1" t="s">
        <v>4</v>
      </c>
      <c r="L954" s="1" t="s">
        <v>29</v>
      </c>
      <c r="M954" s="1" t="s">
        <v>26</v>
      </c>
      <c r="N954" s="1">
        <v>0.2</v>
      </c>
      <c r="O954" s="1" t="s">
        <v>82</v>
      </c>
      <c r="P954" s="1" t="s">
        <v>55</v>
      </c>
    </row>
    <row r="955" spans="1:16" x14ac:dyDescent="0.25">
      <c r="A955" s="1">
        <v>222237286</v>
      </c>
      <c r="B955" s="1" t="s">
        <v>46</v>
      </c>
      <c r="C955" s="1" t="s">
        <v>2</v>
      </c>
      <c r="D955" s="1">
        <v>47870</v>
      </c>
      <c r="E955" s="1">
        <v>2784</v>
      </c>
      <c r="F955" s="1">
        <v>29</v>
      </c>
      <c r="G955" s="13">
        <f>Table[[#This Row],[Return Value]]/Table[[#This Row],[Sell Value]]</f>
        <v>1.0416666666666666E-2</v>
      </c>
      <c r="H955" s="1" t="s">
        <v>3</v>
      </c>
      <c r="I955" s="1">
        <v>43</v>
      </c>
      <c r="J955" s="14">
        <f>Table[[#This Row],[Sell Value]]*Table[[#This Row],[Selling Price]]</f>
        <v>119712</v>
      </c>
      <c r="K955" s="1" t="s">
        <v>4</v>
      </c>
      <c r="L955" s="1" t="s">
        <v>29</v>
      </c>
      <c r="M955" s="1" t="s">
        <v>59</v>
      </c>
      <c r="N955" s="1">
        <v>0.2</v>
      </c>
      <c r="O955" s="1" t="s">
        <v>81</v>
      </c>
      <c r="P955" s="1" t="s">
        <v>31</v>
      </c>
    </row>
    <row r="956" spans="1:16" x14ac:dyDescent="0.25">
      <c r="A956" s="1">
        <v>388396708</v>
      </c>
      <c r="B956" s="1" t="s">
        <v>50</v>
      </c>
      <c r="C956" s="1" t="s">
        <v>2</v>
      </c>
      <c r="D956" s="1">
        <v>48074</v>
      </c>
      <c r="E956" s="1">
        <v>3832</v>
      </c>
      <c r="F956" s="1">
        <v>36</v>
      </c>
      <c r="G956" s="13">
        <f>Table[[#This Row],[Return Value]]/Table[[#This Row],[Sell Value]]</f>
        <v>9.3945720250521916E-3</v>
      </c>
      <c r="H956" s="1" t="s">
        <v>3</v>
      </c>
      <c r="I956" s="1">
        <v>26</v>
      </c>
      <c r="J956" s="14">
        <f>Table[[#This Row],[Sell Value]]*Table[[#This Row],[Selling Price]]</f>
        <v>99632</v>
      </c>
      <c r="K956" s="1" t="s">
        <v>4</v>
      </c>
      <c r="L956" s="1" t="s">
        <v>35</v>
      </c>
      <c r="M956" s="1" t="s">
        <v>6</v>
      </c>
      <c r="N956" s="1">
        <v>0.2</v>
      </c>
      <c r="O956" s="1" t="s">
        <v>82</v>
      </c>
      <c r="P956" s="1" t="s">
        <v>7</v>
      </c>
    </row>
    <row r="957" spans="1:16" x14ac:dyDescent="0.25">
      <c r="A957" s="1">
        <v>989262715</v>
      </c>
      <c r="B957" s="1" t="s">
        <v>53</v>
      </c>
      <c r="C957" s="1" t="s">
        <v>2</v>
      </c>
      <c r="D957" s="1">
        <v>48270</v>
      </c>
      <c r="E957" s="1">
        <v>2001</v>
      </c>
      <c r="F957" s="1">
        <v>12</v>
      </c>
      <c r="G957" s="13">
        <f>Table[[#This Row],[Return Value]]/Table[[#This Row],[Sell Value]]</f>
        <v>5.9970014992503746E-3</v>
      </c>
      <c r="H957" s="1" t="s">
        <v>3</v>
      </c>
      <c r="I957" s="1">
        <v>32</v>
      </c>
      <c r="J957" s="14">
        <f>Table[[#This Row],[Sell Value]]*Table[[#This Row],[Selling Price]]</f>
        <v>64032</v>
      </c>
      <c r="K957" s="1" t="s">
        <v>4</v>
      </c>
      <c r="L957" s="1" t="s">
        <v>38</v>
      </c>
      <c r="M957" s="1" t="s">
        <v>61</v>
      </c>
      <c r="N957" s="1">
        <v>0.2</v>
      </c>
      <c r="O957" s="1" t="s">
        <v>81</v>
      </c>
      <c r="P957" s="1" t="s">
        <v>63</v>
      </c>
    </row>
    <row r="958" spans="1:16" x14ac:dyDescent="0.25">
      <c r="A958" s="1">
        <v>189824085</v>
      </c>
      <c r="B958" s="1" t="s">
        <v>56</v>
      </c>
      <c r="C958" s="1" t="s">
        <v>2</v>
      </c>
      <c r="D958" s="1">
        <v>47534</v>
      </c>
      <c r="E958" s="1">
        <v>1502</v>
      </c>
      <c r="F958" s="1">
        <v>49</v>
      </c>
      <c r="G958" s="13">
        <f>Table[[#This Row],[Return Value]]/Table[[#This Row],[Sell Value]]</f>
        <v>3.262316910785619E-2</v>
      </c>
      <c r="H958" s="1" t="s">
        <v>3</v>
      </c>
      <c r="I958" s="1">
        <v>35</v>
      </c>
      <c r="J958" s="14">
        <f>Table[[#This Row],[Sell Value]]*Table[[#This Row],[Selling Price]]</f>
        <v>52570</v>
      </c>
      <c r="K958" s="1" t="s">
        <v>4</v>
      </c>
      <c r="L958" s="1" t="s">
        <v>41</v>
      </c>
      <c r="M958" s="1" t="s">
        <v>61</v>
      </c>
      <c r="N958" s="1">
        <v>0.2</v>
      </c>
      <c r="O958" s="1" t="s">
        <v>82</v>
      </c>
      <c r="P958" s="1" t="s">
        <v>58</v>
      </c>
    </row>
    <row r="959" spans="1:16" x14ac:dyDescent="0.25">
      <c r="A959" s="1">
        <v>215301051</v>
      </c>
      <c r="B959" s="1" t="s">
        <v>1</v>
      </c>
      <c r="C959" s="1" t="s">
        <v>2</v>
      </c>
      <c r="D959" s="1">
        <v>47724</v>
      </c>
      <c r="E959" s="1">
        <v>3928</v>
      </c>
      <c r="F959" s="1">
        <v>22</v>
      </c>
      <c r="G959" s="13">
        <f>Table[[#This Row],[Return Value]]/Table[[#This Row],[Sell Value]]</f>
        <v>5.6008146639511197E-3</v>
      </c>
      <c r="H959" s="1" t="s">
        <v>3</v>
      </c>
      <c r="I959" s="1">
        <v>33</v>
      </c>
      <c r="J959" s="14">
        <f>Table[[#This Row],[Sell Value]]*Table[[#This Row],[Selling Price]]</f>
        <v>129624</v>
      </c>
      <c r="K959" s="1" t="s">
        <v>4</v>
      </c>
      <c r="L959" s="1" t="s">
        <v>43</v>
      </c>
      <c r="M959" s="1" t="s">
        <v>44</v>
      </c>
      <c r="N959" s="1">
        <v>0.2</v>
      </c>
      <c r="O959" s="1" t="s">
        <v>82</v>
      </c>
      <c r="P959" s="1" t="s">
        <v>52</v>
      </c>
    </row>
    <row r="960" spans="1:16" x14ac:dyDescent="0.25">
      <c r="A960" s="1">
        <v>485172201</v>
      </c>
      <c r="B960" s="1" t="s">
        <v>8</v>
      </c>
      <c r="C960" s="1" t="s">
        <v>2</v>
      </c>
      <c r="D960" s="1">
        <v>48433</v>
      </c>
      <c r="E960" s="1">
        <v>3216</v>
      </c>
      <c r="F960" s="1">
        <v>44</v>
      </c>
      <c r="G960" s="13">
        <f>Table[[#This Row],[Return Value]]/Table[[#This Row],[Sell Value]]</f>
        <v>1.3681592039800995E-2</v>
      </c>
      <c r="H960" s="1" t="s">
        <v>3</v>
      </c>
      <c r="I960" s="1">
        <v>38</v>
      </c>
      <c r="J960" s="14">
        <f>Table[[#This Row],[Sell Value]]*Table[[#This Row],[Selling Price]]</f>
        <v>122208</v>
      </c>
      <c r="K960" s="1" t="s">
        <v>4</v>
      </c>
      <c r="L960" s="1" t="s">
        <v>47</v>
      </c>
      <c r="M960" s="1" t="s">
        <v>30</v>
      </c>
      <c r="N960" s="1">
        <v>0.2</v>
      </c>
      <c r="O960" s="1" t="s">
        <v>82</v>
      </c>
      <c r="P960" s="1" t="s">
        <v>66</v>
      </c>
    </row>
    <row r="961" spans="1:16" x14ac:dyDescent="0.25">
      <c r="A961" s="1">
        <v>117244218</v>
      </c>
      <c r="B961" s="1" t="s">
        <v>12</v>
      </c>
      <c r="C961" s="1" t="s">
        <v>2</v>
      </c>
      <c r="D961" s="1">
        <v>47575</v>
      </c>
      <c r="E961" s="1">
        <v>2807</v>
      </c>
      <c r="F961" s="1">
        <v>45</v>
      </c>
      <c r="G961" s="13">
        <f>Table[[#This Row],[Return Value]]/Table[[#This Row],[Sell Value]]</f>
        <v>1.6031350195938723E-2</v>
      </c>
      <c r="H961" s="1" t="s">
        <v>3</v>
      </c>
      <c r="I961" s="1">
        <v>22</v>
      </c>
      <c r="J961" s="14">
        <f>Table[[#This Row],[Sell Value]]*Table[[#This Row],[Selling Price]]</f>
        <v>61754</v>
      </c>
      <c r="K961" s="1" t="s">
        <v>4</v>
      </c>
      <c r="L961" s="1" t="s">
        <v>51</v>
      </c>
      <c r="M961" s="1" t="s">
        <v>59</v>
      </c>
      <c r="N961" s="1">
        <v>0.2</v>
      </c>
      <c r="O961" s="1" t="s">
        <v>81</v>
      </c>
      <c r="P961" s="1" t="s">
        <v>19</v>
      </c>
    </row>
    <row r="962" spans="1:16" x14ac:dyDescent="0.25">
      <c r="A962" s="1">
        <v>78101857</v>
      </c>
      <c r="B962" s="1" t="s">
        <v>16</v>
      </c>
      <c r="C962" s="1" t="s">
        <v>17</v>
      </c>
      <c r="D962" s="1">
        <v>48350</v>
      </c>
      <c r="E962" s="1">
        <v>2547</v>
      </c>
      <c r="F962" s="1">
        <v>27</v>
      </c>
      <c r="G962" s="13">
        <f>Table[[#This Row],[Return Value]]/Table[[#This Row],[Sell Value]]</f>
        <v>1.0600706713780919E-2</v>
      </c>
      <c r="H962" s="1" t="s">
        <v>28</v>
      </c>
      <c r="I962" s="1">
        <v>36</v>
      </c>
      <c r="J962" s="14">
        <f>Table[[#This Row],[Sell Value]]*Table[[#This Row],[Selling Price]]</f>
        <v>91692</v>
      </c>
      <c r="K962" s="1" t="s">
        <v>4</v>
      </c>
      <c r="L962" s="1" t="s">
        <v>54</v>
      </c>
      <c r="M962" s="1" t="s">
        <v>26</v>
      </c>
      <c r="N962" s="1">
        <v>0.2</v>
      </c>
      <c r="O962" s="1" t="s">
        <v>82</v>
      </c>
      <c r="P962" s="1" t="s">
        <v>45</v>
      </c>
    </row>
    <row r="963" spans="1:16" x14ac:dyDescent="0.25">
      <c r="A963" s="1">
        <v>382903165</v>
      </c>
      <c r="B963" s="1" t="s">
        <v>20</v>
      </c>
      <c r="C963" s="1" t="s">
        <v>17</v>
      </c>
      <c r="D963" s="1">
        <v>48132</v>
      </c>
      <c r="E963" s="1">
        <v>2055</v>
      </c>
      <c r="F963" s="1">
        <v>20</v>
      </c>
      <c r="G963" s="13">
        <f>Table[[#This Row],[Return Value]]/Table[[#This Row],[Sell Value]]</f>
        <v>9.7323600973236012E-3</v>
      </c>
      <c r="H963" s="1" t="s">
        <v>3</v>
      </c>
      <c r="I963" s="1">
        <v>27</v>
      </c>
      <c r="J963" s="14">
        <f>Table[[#This Row],[Sell Value]]*Table[[#This Row],[Selling Price]]</f>
        <v>55485</v>
      </c>
      <c r="K963" s="1" t="s">
        <v>4</v>
      </c>
      <c r="L963" s="1" t="s">
        <v>57</v>
      </c>
      <c r="M963" s="1" t="s">
        <v>44</v>
      </c>
      <c r="N963" s="1">
        <v>0.2</v>
      </c>
      <c r="O963" s="1" t="s">
        <v>82</v>
      </c>
      <c r="P963" s="1" t="s">
        <v>15</v>
      </c>
    </row>
    <row r="964" spans="1:16" x14ac:dyDescent="0.25">
      <c r="A964" s="1">
        <v>875532262</v>
      </c>
      <c r="B964" s="1" t="s">
        <v>24</v>
      </c>
      <c r="C964" s="1" t="s">
        <v>2</v>
      </c>
      <c r="D964" s="1">
        <v>47693</v>
      </c>
      <c r="E964" s="1">
        <v>3338</v>
      </c>
      <c r="F964" s="1">
        <v>25</v>
      </c>
      <c r="G964" s="13">
        <f>Table[[#This Row],[Return Value]]/Table[[#This Row],[Sell Value]]</f>
        <v>7.4895146794487716E-3</v>
      </c>
      <c r="H964" s="1" t="s">
        <v>28</v>
      </c>
      <c r="I964" s="1">
        <v>47</v>
      </c>
      <c r="J964" s="14">
        <f>Table[[#This Row],[Sell Value]]*Table[[#This Row],[Selling Price]]</f>
        <v>156886</v>
      </c>
      <c r="K964" s="1" t="s">
        <v>4</v>
      </c>
      <c r="L964" s="1" t="s">
        <v>5</v>
      </c>
      <c r="M964" s="1" t="s">
        <v>6</v>
      </c>
      <c r="N964" s="1">
        <v>0.2</v>
      </c>
      <c r="O964" s="1" t="s">
        <v>81</v>
      </c>
      <c r="P964" s="1" t="s">
        <v>62</v>
      </c>
    </row>
    <row r="965" spans="1:16" x14ac:dyDescent="0.25">
      <c r="A965" s="1">
        <v>628534554</v>
      </c>
      <c r="B965" s="1" t="s">
        <v>27</v>
      </c>
      <c r="C965" s="1" t="s">
        <v>2</v>
      </c>
      <c r="D965" s="1">
        <v>47947</v>
      </c>
      <c r="E965" s="1">
        <v>4470</v>
      </c>
      <c r="F965" s="1">
        <v>50</v>
      </c>
      <c r="G965" s="13">
        <f>Table[[#This Row],[Return Value]]/Table[[#This Row],[Sell Value]]</f>
        <v>1.1185682326621925E-2</v>
      </c>
      <c r="H965" s="1" t="s">
        <v>3</v>
      </c>
      <c r="I965" s="1">
        <v>50</v>
      </c>
      <c r="J965" s="14">
        <f>Table[[#This Row],[Sell Value]]*Table[[#This Row],[Selling Price]]</f>
        <v>223500</v>
      </c>
      <c r="K965" s="1" t="s">
        <v>4</v>
      </c>
      <c r="L965" s="1" t="s">
        <v>9</v>
      </c>
      <c r="M965" s="1" t="s">
        <v>22</v>
      </c>
      <c r="N965" s="1">
        <v>0.2</v>
      </c>
      <c r="O965" s="1" t="s">
        <v>81</v>
      </c>
      <c r="P965" s="1" t="s">
        <v>60</v>
      </c>
    </row>
    <row r="966" spans="1:16" x14ac:dyDescent="0.25">
      <c r="A966" s="1">
        <v>777530942</v>
      </c>
      <c r="B966" s="1" t="s">
        <v>32</v>
      </c>
      <c r="C966" s="1" t="s">
        <v>17</v>
      </c>
      <c r="D966" s="1">
        <v>48034</v>
      </c>
      <c r="E966" s="1">
        <v>2981</v>
      </c>
      <c r="F966" s="1">
        <v>46</v>
      </c>
      <c r="G966" s="13">
        <f>Table[[#This Row],[Return Value]]/Table[[#This Row],[Sell Value]]</f>
        <v>1.5431063401543106E-2</v>
      </c>
      <c r="H966" s="1" t="s">
        <v>3</v>
      </c>
      <c r="I966" s="1">
        <v>50</v>
      </c>
      <c r="J966" s="14">
        <f>Table[[#This Row],[Sell Value]]*Table[[#This Row],[Selling Price]]</f>
        <v>149050</v>
      </c>
      <c r="K966" s="1" t="s">
        <v>4</v>
      </c>
      <c r="L966" s="1" t="s">
        <v>13</v>
      </c>
      <c r="M966" s="1" t="s">
        <v>33</v>
      </c>
      <c r="N966" s="1">
        <v>0.2</v>
      </c>
      <c r="O966" s="1" t="s">
        <v>82</v>
      </c>
      <c r="P966" s="1" t="s">
        <v>52</v>
      </c>
    </row>
    <row r="967" spans="1:16" x14ac:dyDescent="0.25">
      <c r="A967" s="1">
        <v>852960901</v>
      </c>
      <c r="B967" s="1" t="s">
        <v>34</v>
      </c>
      <c r="C967" s="1" t="s">
        <v>2</v>
      </c>
      <c r="D967" s="1">
        <v>47738</v>
      </c>
      <c r="E967" s="1">
        <v>4667</v>
      </c>
      <c r="F967" s="1">
        <v>20</v>
      </c>
      <c r="G967" s="13">
        <f>Table[[#This Row],[Return Value]]/Table[[#This Row],[Sell Value]]</f>
        <v>4.2854081851296339E-3</v>
      </c>
      <c r="H967" s="1" t="s">
        <v>28</v>
      </c>
      <c r="I967" s="1">
        <v>32</v>
      </c>
      <c r="J967" s="14">
        <f>Table[[#This Row],[Sell Value]]*Table[[#This Row],[Selling Price]]</f>
        <v>149344</v>
      </c>
      <c r="K967" s="1" t="s">
        <v>4</v>
      </c>
      <c r="L967" s="1" t="s">
        <v>18</v>
      </c>
      <c r="M967" s="1" t="s">
        <v>22</v>
      </c>
      <c r="N967" s="1">
        <v>0.2</v>
      </c>
      <c r="O967" s="1" t="s">
        <v>82</v>
      </c>
      <c r="P967" s="1" t="s">
        <v>39</v>
      </c>
    </row>
    <row r="968" spans="1:16" x14ac:dyDescent="0.25">
      <c r="A968" s="1">
        <v>339753395</v>
      </c>
      <c r="B968" s="1" t="s">
        <v>37</v>
      </c>
      <c r="C968" s="1" t="s">
        <v>17</v>
      </c>
      <c r="D968" s="1">
        <v>48335</v>
      </c>
      <c r="E968" s="1">
        <v>4852</v>
      </c>
      <c r="F968" s="1">
        <v>44</v>
      </c>
      <c r="G968" s="13">
        <f>Table[[#This Row],[Return Value]]/Table[[#This Row],[Sell Value]]</f>
        <v>9.0684253915910961E-3</v>
      </c>
      <c r="H968" s="1" t="s">
        <v>3</v>
      </c>
      <c r="I968" s="1">
        <v>35</v>
      </c>
      <c r="J968" s="14">
        <f>Table[[#This Row],[Sell Value]]*Table[[#This Row],[Selling Price]]</f>
        <v>169820</v>
      </c>
      <c r="K968" s="1" t="s">
        <v>4</v>
      </c>
      <c r="L968" s="1" t="s">
        <v>21</v>
      </c>
      <c r="M968" s="1" t="s">
        <v>14</v>
      </c>
      <c r="N968" s="1">
        <v>0.2</v>
      </c>
      <c r="O968" s="1" t="s">
        <v>82</v>
      </c>
      <c r="P968" s="1" t="s">
        <v>31</v>
      </c>
    </row>
    <row r="969" spans="1:16" x14ac:dyDescent="0.25">
      <c r="A969" s="1">
        <v>903555313</v>
      </c>
      <c r="B969" s="1" t="s">
        <v>40</v>
      </c>
      <c r="C969" s="1" t="s">
        <v>17</v>
      </c>
      <c r="D969" s="1">
        <v>48096</v>
      </c>
      <c r="E969" s="1">
        <v>3301</v>
      </c>
      <c r="F969" s="1">
        <v>22</v>
      </c>
      <c r="G969" s="13">
        <f>Table[[#This Row],[Return Value]]/Table[[#This Row],[Sell Value]]</f>
        <v>6.6646470766434417E-3</v>
      </c>
      <c r="H969" s="1" t="s">
        <v>3</v>
      </c>
      <c r="I969" s="1">
        <v>26</v>
      </c>
      <c r="J969" s="14">
        <f>Table[[#This Row],[Sell Value]]*Table[[#This Row],[Selling Price]]</f>
        <v>85826</v>
      </c>
      <c r="K969" s="1" t="s">
        <v>4</v>
      </c>
      <c r="L969" s="1" t="s">
        <v>25</v>
      </c>
      <c r="M969" s="1" t="s">
        <v>10</v>
      </c>
      <c r="N969" s="1">
        <v>0.2</v>
      </c>
      <c r="O969" s="1" t="s">
        <v>81</v>
      </c>
      <c r="P969" s="1" t="s">
        <v>55</v>
      </c>
    </row>
    <row r="970" spans="1:16" x14ac:dyDescent="0.25">
      <c r="A970" s="1">
        <v>834660216</v>
      </c>
      <c r="B970" s="1" t="s">
        <v>42</v>
      </c>
      <c r="C970" s="1" t="s">
        <v>2</v>
      </c>
      <c r="D970" s="1">
        <v>48077</v>
      </c>
      <c r="E970" s="1">
        <v>3828</v>
      </c>
      <c r="F970" s="1">
        <v>41</v>
      </c>
      <c r="G970" s="13">
        <f>Table[[#This Row],[Return Value]]/Table[[#This Row],[Sell Value]]</f>
        <v>1.0710553814002089E-2</v>
      </c>
      <c r="H970" s="1" t="s">
        <v>3</v>
      </c>
      <c r="I970" s="1">
        <v>20</v>
      </c>
      <c r="J970" s="14">
        <f>Table[[#This Row],[Sell Value]]*Table[[#This Row],[Selling Price]]</f>
        <v>76560</v>
      </c>
      <c r="K970" s="1" t="s">
        <v>4</v>
      </c>
      <c r="L970" s="1" t="s">
        <v>29</v>
      </c>
      <c r="M970" s="1" t="s">
        <v>22</v>
      </c>
      <c r="N970" s="1">
        <v>0.2</v>
      </c>
      <c r="O970" s="1" t="s">
        <v>81</v>
      </c>
      <c r="P970" s="1" t="s">
        <v>19</v>
      </c>
    </row>
    <row r="971" spans="1:16" x14ac:dyDescent="0.25">
      <c r="A971" s="1">
        <v>990112929</v>
      </c>
      <c r="B971" s="1" t="s">
        <v>46</v>
      </c>
      <c r="C971" s="1" t="s">
        <v>2</v>
      </c>
      <c r="D971" s="1">
        <v>47726</v>
      </c>
      <c r="E971" s="1">
        <v>1789</v>
      </c>
      <c r="F971" s="1">
        <v>10</v>
      </c>
      <c r="G971" s="13">
        <f>Table[[#This Row],[Return Value]]/Table[[#This Row],[Sell Value]]</f>
        <v>5.5897149245388482E-3</v>
      </c>
      <c r="H971" s="1" t="s">
        <v>3</v>
      </c>
      <c r="I971" s="1">
        <v>43</v>
      </c>
      <c r="J971" s="14">
        <f>Table[[#This Row],[Sell Value]]*Table[[#This Row],[Selling Price]]</f>
        <v>76927</v>
      </c>
      <c r="K971" s="1" t="s">
        <v>4</v>
      </c>
      <c r="L971" s="1" t="s">
        <v>29</v>
      </c>
      <c r="M971" s="1" t="s">
        <v>48</v>
      </c>
      <c r="N971" s="1">
        <v>0.2</v>
      </c>
      <c r="O971" s="1" t="s">
        <v>81</v>
      </c>
      <c r="P971" s="1" t="s">
        <v>58</v>
      </c>
    </row>
    <row r="972" spans="1:16" x14ac:dyDescent="0.25">
      <c r="A972" s="1">
        <v>294891051</v>
      </c>
      <c r="B972" s="1" t="s">
        <v>50</v>
      </c>
      <c r="C972" s="1" t="s">
        <v>2</v>
      </c>
      <c r="D972" s="1">
        <v>48040</v>
      </c>
      <c r="E972" s="1">
        <v>3669</v>
      </c>
      <c r="F972" s="1">
        <v>35</v>
      </c>
      <c r="G972" s="13">
        <f>Table[[#This Row],[Return Value]]/Table[[#This Row],[Sell Value]]</f>
        <v>9.5393840283455981E-3</v>
      </c>
      <c r="H972" s="1" t="s">
        <v>3</v>
      </c>
      <c r="I972" s="1">
        <v>29</v>
      </c>
      <c r="J972" s="14">
        <f>Table[[#This Row],[Sell Value]]*Table[[#This Row],[Selling Price]]</f>
        <v>106401</v>
      </c>
      <c r="K972" s="1" t="s">
        <v>4</v>
      </c>
      <c r="L972" s="1" t="s">
        <v>35</v>
      </c>
      <c r="M972" s="1" t="s">
        <v>30</v>
      </c>
      <c r="N972" s="1">
        <v>0.2</v>
      </c>
      <c r="O972" s="1" t="s">
        <v>81</v>
      </c>
      <c r="P972" s="1" t="s">
        <v>36</v>
      </c>
    </row>
    <row r="973" spans="1:16" x14ac:dyDescent="0.25">
      <c r="A973" s="1">
        <v>784360546</v>
      </c>
      <c r="B973" s="1" t="s">
        <v>53</v>
      </c>
      <c r="C973" s="1" t="s">
        <v>2</v>
      </c>
      <c r="D973" s="1">
        <v>47504</v>
      </c>
      <c r="E973" s="1">
        <v>4414</v>
      </c>
      <c r="F973" s="1">
        <v>13</v>
      </c>
      <c r="G973" s="13">
        <f>Table[[#This Row],[Return Value]]/Table[[#This Row],[Sell Value]]</f>
        <v>2.9451744449478933E-3</v>
      </c>
      <c r="H973" s="1" t="s">
        <v>3</v>
      </c>
      <c r="I973" s="1">
        <v>47</v>
      </c>
      <c r="J973" s="14">
        <f>Table[[#This Row],[Sell Value]]*Table[[#This Row],[Selling Price]]</f>
        <v>207458</v>
      </c>
      <c r="K973" s="1" t="s">
        <v>4</v>
      </c>
      <c r="L973" s="1" t="s">
        <v>38</v>
      </c>
      <c r="M973" s="1" t="s">
        <v>33</v>
      </c>
      <c r="N973" s="1">
        <v>0.2</v>
      </c>
      <c r="O973" s="1" t="s">
        <v>82</v>
      </c>
      <c r="P973" s="1" t="s">
        <v>65</v>
      </c>
    </row>
    <row r="974" spans="1:16" x14ac:dyDescent="0.25">
      <c r="A974" s="1">
        <v>70005738</v>
      </c>
      <c r="B974" s="1" t="s">
        <v>56</v>
      </c>
      <c r="C974" s="1" t="s">
        <v>2</v>
      </c>
      <c r="D974" s="1">
        <v>47672</v>
      </c>
      <c r="E974" s="1">
        <v>2696</v>
      </c>
      <c r="F974" s="1">
        <v>32</v>
      </c>
      <c r="G974" s="13">
        <f>Table[[#This Row],[Return Value]]/Table[[#This Row],[Sell Value]]</f>
        <v>1.1869436201780416E-2</v>
      </c>
      <c r="H974" s="1" t="s">
        <v>3</v>
      </c>
      <c r="I974" s="1">
        <v>40</v>
      </c>
      <c r="J974" s="14">
        <f>Table[[#This Row],[Sell Value]]*Table[[#This Row],[Selling Price]]</f>
        <v>107840</v>
      </c>
      <c r="K974" s="1" t="s">
        <v>4</v>
      </c>
      <c r="L974" s="1" t="s">
        <v>41</v>
      </c>
      <c r="M974" s="1" t="s">
        <v>14</v>
      </c>
      <c r="N974" s="1">
        <v>0.2</v>
      </c>
      <c r="O974" s="1" t="s">
        <v>81</v>
      </c>
      <c r="P974" s="1" t="s">
        <v>55</v>
      </c>
    </row>
    <row r="975" spans="1:16" x14ac:dyDescent="0.25">
      <c r="A975" s="1">
        <v>418994030</v>
      </c>
      <c r="B975" s="1" t="s">
        <v>1</v>
      </c>
      <c r="C975" s="1" t="s">
        <v>2</v>
      </c>
      <c r="D975" s="1">
        <v>48027</v>
      </c>
      <c r="E975" s="1">
        <v>4920</v>
      </c>
      <c r="F975" s="1">
        <v>11</v>
      </c>
      <c r="G975" s="13">
        <f>Table[[#This Row],[Return Value]]/Table[[#This Row],[Sell Value]]</f>
        <v>2.2357723577235773E-3</v>
      </c>
      <c r="H975" s="1" t="s">
        <v>3</v>
      </c>
      <c r="I975" s="1">
        <v>25</v>
      </c>
      <c r="J975" s="14">
        <f>Table[[#This Row],[Sell Value]]*Table[[#This Row],[Selling Price]]</f>
        <v>123000</v>
      </c>
      <c r="K975" s="1" t="s">
        <v>4</v>
      </c>
      <c r="L975" s="1" t="s">
        <v>43</v>
      </c>
      <c r="M975" s="1" t="s">
        <v>26</v>
      </c>
      <c r="N975" s="1">
        <v>0.2</v>
      </c>
      <c r="O975" s="1" t="s">
        <v>81</v>
      </c>
      <c r="P975" s="1" t="s">
        <v>67</v>
      </c>
    </row>
    <row r="976" spans="1:16" x14ac:dyDescent="0.25">
      <c r="A976" s="1">
        <v>8533251</v>
      </c>
      <c r="B976" s="1" t="s">
        <v>8</v>
      </c>
      <c r="C976" s="1" t="s">
        <v>2</v>
      </c>
      <c r="D976" s="1">
        <v>47974</v>
      </c>
      <c r="E976" s="1">
        <v>1567</v>
      </c>
      <c r="F976" s="1">
        <v>38</v>
      </c>
      <c r="G976" s="13">
        <f>Table[[#This Row],[Return Value]]/Table[[#This Row],[Sell Value]]</f>
        <v>2.4250159540523293E-2</v>
      </c>
      <c r="H976" s="1" t="s">
        <v>3</v>
      </c>
      <c r="I976" s="1">
        <v>22</v>
      </c>
      <c r="J976" s="14">
        <f>Table[[#This Row],[Sell Value]]*Table[[#This Row],[Selling Price]]</f>
        <v>34474</v>
      </c>
      <c r="K976" s="1" t="s">
        <v>4</v>
      </c>
      <c r="L976" s="1" t="s">
        <v>47</v>
      </c>
      <c r="M976" s="1" t="s">
        <v>44</v>
      </c>
      <c r="N976" s="1">
        <v>0.2</v>
      </c>
      <c r="O976" s="1" t="s">
        <v>82</v>
      </c>
      <c r="P976" s="1" t="s">
        <v>60</v>
      </c>
    </row>
    <row r="977" spans="1:16" x14ac:dyDescent="0.25">
      <c r="A977" s="1">
        <v>904070479</v>
      </c>
      <c r="B977" s="1" t="s">
        <v>12</v>
      </c>
      <c r="C977" s="1" t="s">
        <v>2</v>
      </c>
      <c r="D977" s="1">
        <v>47659</v>
      </c>
      <c r="E977" s="1">
        <v>1620</v>
      </c>
      <c r="F977" s="1">
        <v>34</v>
      </c>
      <c r="G977" s="13">
        <f>Table[[#This Row],[Return Value]]/Table[[#This Row],[Sell Value]]</f>
        <v>2.0987654320987655E-2</v>
      </c>
      <c r="H977" s="1" t="s">
        <v>3</v>
      </c>
      <c r="I977" s="1">
        <v>36</v>
      </c>
      <c r="J977" s="14">
        <f>Table[[#This Row],[Sell Value]]*Table[[#This Row],[Selling Price]]</f>
        <v>58320</v>
      </c>
      <c r="K977" s="1" t="s">
        <v>4</v>
      </c>
      <c r="L977" s="1" t="s">
        <v>51</v>
      </c>
      <c r="M977" s="1" t="s">
        <v>22</v>
      </c>
      <c r="N977" s="1">
        <v>0.2</v>
      </c>
      <c r="O977" s="1" t="s">
        <v>81</v>
      </c>
      <c r="P977" s="1" t="s">
        <v>45</v>
      </c>
    </row>
    <row r="978" spans="1:16" x14ac:dyDescent="0.25">
      <c r="A978" s="1">
        <v>799141211</v>
      </c>
      <c r="B978" s="1" t="s">
        <v>16</v>
      </c>
      <c r="C978" s="1" t="s">
        <v>17</v>
      </c>
      <c r="D978" s="1">
        <v>47844</v>
      </c>
      <c r="E978" s="1">
        <v>3327</v>
      </c>
      <c r="F978" s="1">
        <v>48</v>
      </c>
      <c r="G978" s="13">
        <f>Table[[#This Row],[Return Value]]/Table[[#This Row],[Sell Value]]</f>
        <v>1.4427412082957619E-2</v>
      </c>
      <c r="H978" s="1" t="s">
        <v>3</v>
      </c>
      <c r="I978" s="1">
        <v>41</v>
      </c>
      <c r="J978" s="14">
        <f>Table[[#This Row],[Sell Value]]*Table[[#This Row],[Selling Price]]</f>
        <v>136407</v>
      </c>
      <c r="K978" s="1" t="s">
        <v>4</v>
      </c>
      <c r="L978" s="1" t="s">
        <v>54</v>
      </c>
      <c r="M978" s="1" t="s">
        <v>59</v>
      </c>
      <c r="N978" s="1">
        <v>0.2</v>
      </c>
      <c r="O978" s="1" t="s">
        <v>81</v>
      </c>
      <c r="P978" s="1" t="s">
        <v>63</v>
      </c>
    </row>
    <row r="979" spans="1:16" x14ac:dyDescent="0.25">
      <c r="A979" s="1">
        <v>813713175</v>
      </c>
      <c r="B979" s="1" t="s">
        <v>20</v>
      </c>
      <c r="C979" s="1" t="s">
        <v>17</v>
      </c>
      <c r="D979" s="1">
        <v>47712</v>
      </c>
      <c r="E979" s="1">
        <v>2115</v>
      </c>
      <c r="F979" s="1">
        <v>14</v>
      </c>
      <c r="G979" s="13">
        <f>Table[[#This Row],[Return Value]]/Table[[#This Row],[Sell Value]]</f>
        <v>6.6193853427895981E-3</v>
      </c>
      <c r="H979" s="1" t="s">
        <v>3</v>
      </c>
      <c r="I979" s="1">
        <v>28</v>
      </c>
      <c r="J979" s="14">
        <f>Table[[#This Row],[Sell Value]]*Table[[#This Row],[Selling Price]]</f>
        <v>59220</v>
      </c>
      <c r="K979" s="1" t="s">
        <v>4</v>
      </c>
      <c r="L979" s="1" t="s">
        <v>57</v>
      </c>
      <c r="M979" s="1" t="s">
        <v>61</v>
      </c>
      <c r="N979" s="1">
        <v>0.2</v>
      </c>
      <c r="O979" s="1" t="s">
        <v>81</v>
      </c>
      <c r="P979" s="1" t="s">
        <v>31</v>
      </c>
    </row>
    <row r="980" spans="1:16" x14ac:dyDescent="0.25">
      <c r="A980" s="1">
        <v>367267993</v>
      </c>
      <c r="B980" s="1" t="s">
        <v>24</v>
      </c>
      <c r="C980" s="1" t="s">
        <v>2</v>
      </c>
      <c r="D980" s="1">
        <v>47755</v>
      </c>
      <c r="E980" s="1">
        <v>4441</v>
      </c>
      <c r="F980" s="1">
        <v>48</v>
      </c>
      <c r="G980" s="13">
        <f>Table[[#This Row],[Return Value]]/Table[[#This Row],[Sell Value]]</f>
        <v>1.0808376491781131E-2</v>
      </c>
      <c r="H980" s="1" t="s">
        <v>3</v>
      </c>
      <c r="I980" s="1">
        <v>38</v>
      </c>
      <c r="J980" s="14">
        <f>Table[[#This Row],[Sell Value]]*Table[[#This Row],[Selling Price]]</f>
        <v>168758</v>
      </c>
      <c r="K980" s="1" t="s">
        <v>4</v>
      </c>
      <c r="L980" s="1" t="s">
        <v>5</v>
      </c>
      <c r="M980" s="1" t="s">
        <v>10</v>
      </c>
      <c r="N980" s="1">
        <v>0.2</v>
      </c>
      <c r="O980" s="1" t="s">
        <v>82</v>
      </c>
      <c r="P980" s="1" t="s">
        <v>60</v>
      </c>
    </row>
    <row r="981" spans="1:16" x14ac:dyDescent="0.25">
      <c r="A981" s="1">
        <v>541779080</v>
      </c>
      <c r="B981" s="1" t="s">
        <v>27</v>
      </c>
      <c r="C981" s="1" t="s">
        <v>2</v>
      </c>
      <c r="D981" s="1">
        <v>48349</v>
      </c>
      <c r="E981" s="1">
        <v>2572</v>
      </c>
      <c r="F981" s="1">
        <v>36</v>
      </c>
      <c r="G981" s="13">
        <f>Table[[#This Row],[Return Value]]/Table[[#This Row],[Sell Value]]</f>
        <v>1.3996889580093312E-2</v>
      </c>
      <c r="H981" s="1" t="s">
        <v>3</v>
      </c>
      <c r="I981" s="1">
        <v>36</v>
      </c>
      <c r="J981" s="14">
        <f>Table[[#This Row],[Sell Value]]*Table[[#This Row],[Selling Price]]</f>
        <v>92592</v>
      </c>
      <c r="K981" s="1" t="s">
        <v>4</v>
      </c>
      <c r="L981" s="1" t="s">
        <v>9</v>
      </c>
      <c r="M981" s="1" t="s">
        <v>10</v>
      </c>
      <c r="N981" s="1">
        <v>0.2</v>
      </c>
      <c r="O981" s="1" t="s">
        <v>82</v>
      </c>
      <c r="P981" s="1" t="s">
        <v>65</v>
      </c>
    </row>
    <row r="982" spans="1:16" x14ac:dyDescent="0.25">
      <c r="A982" s="1">
        <v>595505370</v>
      </c>
      <c r="B982" s="1" t="s">
        <v>32</v>
      </c>
      <c r="C982" s="1" t="s">
        <v>17</v>
      </c>
      <c r="D982" s="1">
        <v>48493</v>
      </c>
      <c r="E982" s="1">
        <v>1850</v>
      </c>
      <c r="F982" s="1">
        <v>17</v>
      </c>
      <c r="G982" s="13">
        <f>Table[[#This Row],[Return Value]]/Table[[#This Row],[Sell Value]]</f>
        <v>9.189189189189189E-3</v>
      </c>
      <c r="H982" s="1" t="s">
        <v>3</v>
      </c>
      <c r="I982" s="1">
        <v>36</v>
      </c>
      <c r="J982" s="14">
        <f>Table[[#This Row],[Sell Value]]*Table[[#This Row],[Selling Price]]</f>
        <v>66600</v>
      </c>
      <c r="K982" s="1" t="s">
        <v>4</v>
      </c>
      <c r="L982" s="1" t="s">
        <v>13</v>
      </c>
      <c r="M982" s="1" t="s">
        <v>10</v>
      </c>
      <c r="N982" s="1">
        <v>0.2</v>
      </c>
      <c r="O982" s="1" t="s">
        <v>81</v>
      </c>
      <c r="P982" s="1" t="s">
        <v>52</v>
      </c>
    </row>
    <row r="983" spans="1:16" x14ac:dyDescent="0.25">
      <c r="A983" s="1">
        <v>170519340</v>
      </c>
      <c r="B983" s="1" t="s">
        <v>34</v>
      </c>
      <c r="C983" s="1" t="s">
        <v>2</v>
      </c>
      <c r="D983" s="1">
        <v>47813</v>
      </c>
      <c r="E983" s="1">
        <v>1158</v>
      </c>
      <c r="F983" s="1">
        <v>29</v>
      </c>
      <c r="G983" s="13">
        <f>Table[[#This Row],[Return Value]]/Table[[#This Row],[Sell Value]]</f>
        <v>2.5043177892918825E-2</v>
      </c>
      <c r="H983" s="1" t="s">
        <v>3</v>
      </c>
      <c r="I983" s="1">
        <v>34</v>
      </c>
      <c r="J983" s="14">
        <f>Table[[#This Row],[Sell Value]]*Table[[#This Row],[Selling Price]]</f>
        <v>39372</v>
      </c>
      <c r="K983" s="1" t="s">
        <v>4</v>
      </c>
      <c r="L983" s="1" t="s">
        <v>18</v>
      </c>
      <c r="M983" s="1" t="s">
        <v>10</v>
      </c>
      <c r="N983" s="1">
        <v>0.2</v>
      </c>
      <c r="O983" s="1" t="s">
        <v>82</v>
      </c>
      <c r="P983" s="1" t="s">
        <v>31</v>
      </c>
    </row>
    <row r="984" spans="1:16" x14ac:dyDescent="0.25">
      <c r="A984" s="1">
        <v>436761514</v>
      </c>
      <c r="B984" s="1" t="s">
        <v>37</v>
      </c>
      <c r="C984" s="1" t="s">
        <v>17</v>
      </c>
      <c r="D984" s="1">
        <v>47622</v>
      </c>
      <c r="E984" s="1">
        <v>1061</v>
      </c>
      <c r="F984" s="1">
        <v>12</v>
      </c>
      <c r="G984" s="13">
        <f>Table[[#This Row],[Return Value]]/Table[[#This Row],[Sell Value]]</f>
        <v>1.1310084825636193E-2</v>
      </c>
      <c r="H984" s="1" t="s">
        <v>3</v>
      </c>
      <c r="I984" s="1">
        <v>20</v>
      </c>
      <c r="J984" s="14">
        <f>Table[[#This Row],[Sell Value]]*Table[[#This Row],[Selling Price]]</f>
        <v>21220</v>
      </c>
      <c r="K984" s="1" t="s">
        <v>4</v>
      </c>
      <c r="L984" s="1" t="s">
        <v>21</v>
      </c>
      <c r="M984" s="1" t="s">
        <v>61</v>
      </c>
      <c r="N984" s="1">
        <v>0.2</v>
      </c>
      <c r="O984" s="1" t="s">
        <v>81</v>
      </c>
      <c r="P984" s="1" t="s">
        <v>11</v>
      </c>
    </row>
    <row r="985" spans="1:16" x14ac:dyDescent="0.25">
      <c r="A985" s="1">
        <v>994834543</v>
      </c>
      <c r="B985" s="1" t="s">
        <v>40</v>
      </c>
      <c r="C985" s="1" t="s">
        <v>17</v>
      </c>
      <c r="D985" s="1">
        <v>47641</v>
      </c>
      <c r="E985" s="1">
        <v>1167</v>
      </c>
      <c r="F985" s="1">
        <v>16</v>
      </c>
      <c r="G985" s="13">
        <f>Table[[#This Row],[Return Value]]/Table[[#This Row],[Sell Value]]</f>
        <v>1.3710368466152529E-2</v>
      </c>
      <c r="H985" s="1" t="s">
        <v>3</v>
      </c>
      <c r="I985" s="1">
        <v>23</v>
      </c>
      <c r="J985" s="14">
        <f>Table[[#This Row],[Sell Value]]*Table[[#This Row],[Selling Price]]</f>
        <v>26841</v>
      </c>
      <c r="K985" s="1" t="s">
        <v>4</v>
      </c>
      <c r="L985" s="1" t="s">
        <v>25</v>
      </c>
      <c r="M985" s="1" t="s">
        <v>10</v>
      </c>
      <c r="N985" s="1">
        <v>0.2</v>
      </c>
      <c r="O985" s="1" t="s">
        <v>81</v>
      </c>
      <c r="P985" s="1" t="s">
        <v>31</v>
      </c>
    </row>
    <row r="986" spans="1:16" x14ac:dyDescent="0.25">
      <c r="A986" s="1">
        <v>398827941</v>
      </c>
      <c r="B986" s="1" t="s">
        <v>42</v>
      </c>
      <c r="C986" s="1" t="s">
        <v>2</v>
      </c>
      <c r="D986" s="1">
        <v>47653</v>
      </c>
      <c r="E986" s="1">
        <v>3361</v>
      </c>
      <c r="F986" s="1">
        <v>44</v>
      </c>
      <c r="G986" s="13">
        <f>Table[[#This Row],[Return Value]]/Table[[#This Row],[Sell Value]]</f>
        <v>1.309134186254091E-2</v>
      </c>
      <c r="H986" s="1" t="s">
        <v>28</v>
      </c>
      <c r="I986" s="1">
        <v>43</v>
      </c>
      <c r="J986" s="14">
        <f>Table[[#This Row],[Sell Value]]*Table[[#This Row],[Selling Price]]</f>
        <v>144523</v>
      </c>
      <c r="K986" s="1" t="s">
        <v>4</v>
      </c>
      <c r="L986" s="1" t="s">
        <v>29</v>
      </c>
      <c r="M986" s="1" t="s">
        <v>10</v>
      </c>
      <c r="N986" s="1">
        <v>0.2</v>
      </c>
      <c r="O986" s="1" t="s">
        <v>82</v>
      </c>
      <c r="P986" s="1" t="s">
        <v>11</v>
      </c>
    </row>
    <row r="987" spans="1:16" x14ac:dyDescent="0.25">
      <c r="A987" s="1">
        <v>615915432</v>
      </c>
      <c r="B987" s="1" t="s">
        <v>46</v>
      </c>
      <c r="C987" s="1" t="s">
        <v>2</v>
      </c>
      <c r="D987" s="1">
        <v>47824</v>
      </c>
      <c r="E987" s="1">
        <v>3981</v>
      </c>
      <c r="F987" s="1">
        <v>35</v>
      </c>
      <c r="G987" s="13">
        <f>Table[[#This Row],[Return Value]]/Table[[#This Row],[Sell Value]]</f>
        <v>8.7917608641044972E-3</v>
      </c>
      <c r="H987" s="1" t="s">
        <v>3</v>
      </c>
      <c r="I987" s="1">
        <v>30</v>
      </c>
      <c r="J987" s="14">
        <f>Table[[#This Row],[Sell Value]]*Table[[#This Row],[Selling Price]]</f>
        <v>119430</v>
      </c>
      <c r="K987" s="1" t="s">
        <v>4</v>
      </c>
      <c r="L987" s="1" t="s">
        <v>29</v>
      </c>
      <c r="M987" s="1" t="s">
        <v>30</v>
      </c>
      <c r="N987" s="1">
        <v>0.2</v>
      </c>
      <c r="O987" s="1" t="s">
        <v>82</v>
      </c>
      <c r="P987" s="1" t="s">
        <v>58</v>
      </c>
    </row>
    <row r="988" spans="1:16" x14ac:dyDescent="0.25">
      <c r="A988" s="1">
        <v>870446138</v>
      </c>
      <c r="B988" s="1" t="s">
        <v>12</v>
      </c>
      <c r="C988" s="1" t="s">
        <v>2</v>
      </c>
      <c r="D988" s="1">
        <v>48565</v>
      </c>
      <c r="E988" s="1">
        <v>2863</v>
      </c>
      <c r="F988" s="1">
        <v>41</v>
      </c>
      <c r="G988" s="13">
        <f>Table[[#This Row],[Return Value]]/Table[[#This Row],[Sell Value]]</f>
        <v>1.4320642682500873E-2</v>
      </c>
      <c r="H988" s="1" t="s">
        <v>3</v>
      </c>
      <c r="I988" s="1">
        <v>42</v>
      </c>
      <c r="J988" s="14">
        <f>Table[[#This Row],[Sell Value]]*Table[[#This Row],[Selling Price]]</f>
        <v>120246</v>
      </c>
      <c r="K988" s="1" t="s">
        <v>4</v>
      </c>
      <c r="L988" s="1" t="s">
        <v>35</v>
      </c>
      <c r="M988" s="1" t="s">
        <v>61</v>
      </c>
      <c r="N988" s="1">
        <v>0.2</v>
      </c>
      <c r="O988" s="1" t="s">
        <v>82</v>
      </c>
      <c r="P988" s="1" t="s">
        <v>63</v>
      </c>
    </row>
    <row r="989" spans="1:16" x14ac:dyDescent="0.25">
      <c r="A989" s="1">
        <v>988933566</v>
      </c>
      <c r="B989" s="1" t="s">
        <v>16</v>
      </c>
      <c r="C989" s="1" t="s">
        <v>17</v>
      </c>
      <c r="D989" s="1">
        <v>47958</v>
      </c>
      <c r="E989" s="1">
        <v>2640</v>
      </c>
      <c r="F989" s="1">
        <v>23</v>
      </c>
      <c r="G989" s="13">
        <f>Table[[#This Row],[Return Value]]/Table[[#This Row],[Sell Value]]</f>
        <v>8.7121212121212127E-3</v>
      </c>
      <c r="H989" s="1" t="s">
        <v>28</v>
      </c>
      <c r="I989" s="1">
        <v>46</v>
      </c>
      <c r="J989" s="14">
        <f>Table[[#This Row],[Sell Value]]*Table[[#This Row],[Selling Price]]</f>
        <v>121440</v>
      </c>
      <c r="K989" s="1" t="s">
        <v>4</v>
      </c>
      <c r="L989" s="1" t="s">
        <v>38</v>
      </c>
      <c r="M989" s="1" t="s">
        <v>44</v>
      </c>
      <c r="N989" s="1">
        <v>0.2</v>
      </c>
      <c r="O989" s="1" t="s">
        <v>81</v>
      </c>
      <c r="P989" s="1" t="s">
        <v>67</v>
      </c>
    </row>
    <row r="990" spans="1:16" x14ac:dyDescent="0.25">
      <c r="A990" s="1">
        <v>897086617</v>
      </c>
      <c r="B990" s="1" t="s">
        <v>20</v>
      </c>
      <c r="C990" s="1" t="s">
        <v>17</v>
      </c>
      <c r="D990" s="1">
        <v>47784</v>
      </c>
      <c r="E990" s="1">
        <v>1114</v>
      </c>
      <c r="F990" s="1">
        <v>25</v>
      </c>
      <c r="G990" s="13">
        <f>Table[[#This Row],[Return Value]]/Table[[#This Row],[Sell Value]]</f>
        <v>2.244165170556553E-2</v>
      </c>
      <c r="H990" s="1" t="s">
        <v>3</v>
      </c>
      <c r="I990" s="1">
        <v>41</v>
      </c>
      <c r="J990" s="14">
        <f>Table[[#This Row],[Sell Value]]*Table[[#This Row],[Selling Price]]</f>
        <v>45674</v>
      </c>
      <c r="K990" s="1" t="s">
        <v>4</v>
      </c>
      <c r="L990" s="1" t="s">
        <v>41</v>
      </c>
      <c r="M990" s="1" t="s">
        <v>22</v>
      </c>
      <c r="N990" s="1">
        <v>0.2</v>
      </c>
      <c r="O990" s="1" t="s">
        <v>81</v>
      </c>
      <c r="P990" s="1" t="s">
        <v>15</v>
      </c>
    </row>
    <row r="991" spans="1:16" x14ac:dyDescent="0.25">
      <c r="A991" s="1">
        <v>420963932</v>
      </c>
      <c r="B991" s="1" t="s">
        <v>24</v>
      </c>
      <c r="C991" s="1" t="s">
        <v>2</v>
      </c>
      <c r="D991" s="1">
        <v>48091</v>
      </c>
      <c r="E991" s="1">
        <v>3559</v>
      </c>
      <c r="F991" s="1">
        <v>28</v>
      </c>
      <c r="G991" s="13">
        <f>Table[[#This Row],[Return Value]]/Table[[#This Row],[Sell Value]]</f>
        <v>7.8673784771003084E-3</v>
      </c>
      <c r="H991" s="1" t="s">
        <v>3</v>
      </c>
      <c r="I991" s="1">
        <v>29</v>
      </c>
      <c r="J991" s="14">
        <f>Table[[#This Row],[Sell Value]]*Table[[#This Row],[Selling Price]]</f>
        <v>103211</v>
      </c>
      <c r="K991" s="1" t="s">
        <v>4</v>
      </c>
      <c r="L991" s="1" t="s">
        <v>43</v>
      </c>
      <c r="M991" s="1" t="s">
        <v>30</v>
      </c>
      <c r="N991" s="1">
        <v>0.2</v>
      </c>
      <c r="O991" s="1" t="s">
        <v>82</v>
      </c>
      <c r="P991" s="1" t="s">
        <v>31</v>
      </c>
    </row>
    <row r="992" spans="1:16" x14ac:dyDescent="0.25">
      <c r="A992" s="1">
        <v>404289447</v>
      </c>
      <c r="B992" s="1" t="s">
        <v>27</v>
      </c>
      <c r="C992" s="1" t="s">
        <v>2</v>
      </c>
      <c r="D992" s="1">
        <v>48057</v>
      </c>
      <c r="E992" s="1">
        <v>2173</v>
      </c>
      <c r="F992" s="1">
        <v>17</v>
      </c>
      <c r="G992" s="13">
        <f>Table[[#This Row],[Return Value]]/Table[[#This Row],[Sell Value]]</f>
        <v>7.8232857800276112E-3</v>
      </c>
      <c r="H992" s="1" t="s">
        <v>3</v>
      </c>
      <c r="I992" s="1">
        <v>32</v>
      </c>
      <c r="J992" s="14">
        <f>Table[[#This Row],[Sell Value]]*Table[[#This Row],[Selling Price]]</f>
        <v>69536</v>
      </c>
      <c r="K992" s="1" t="s">
        <v>4</v>
      </c>
      <c r="L992" s="1" t="s">
        <v>47</v>
      </c>
      <c r="M992" s="1" t="s">
        <v>10</v>
      </c>
      <c r="N992" s="1">
        <v>0.2</v>
      </c>
      <c r="O992" s="1" t="s">
        <v>81</v>
      </c>
      <c r="P992" s="1" t="s">
        <v>7</v>
      </c>
    </row>
    <row r="993" spans="1:16" x14ac:dyDescent="0.25">
      <c r="A993" s="1">
        <v>294113691</v>
      </c>
      <c r="B993" s="1" t="s">
        <v>32</v>
      </c>
      <c r="C993" s="1" t="s">
        <v>17</v>
      </c>
      <c r="D993" s="1">
        <v>47610</v>
      </c>
      <c r="E993" s="1">
        <v>4793</v>
      </c>
      <c r="F993" s="1">
        <v>34</v>
      </c>
      <c r="G993" s="13">
        <f>Table[[#This Row],[Return Value]]/Table[[#This Row],[Sell Value]]</f>
        <v>7.0936782808262051E-3</v>
      </c>
      <c r="H993" s="1" t="s">
        <v>3</v>
      </c>
      <c r="I993" s="1">
        <v>22</v>
      </c>
      <c r="J993" s="14">
        <f>Table[[#This Row],[Sell Value]]*Table[[#This Row],[Selling Price]]</f>
        <v>105446</v>
      </c>
      <c r="K993" s="1" t="s">
        <v>4</v>
      </c>
      <c r="L993" s="1" t="s">
        <v>51</v>
      </c>
      <c r="M993" s="1" t="s">
        <v>44</v>
      </c>
      <c r="N993" s="1">
        <v>0.2</v>
      </c>
      <c r="O993" s="1" t="s">
        <v>81</v>
      </c>
      <c r="P993" s="1" t="s">
        <v>49</v>
      </c>
    </row>
    <row r="994" spans="1:16" x14ac:dyDescent="0.25">
      <c r="A994" s="1">
        <v>615647651</v>
      </c>
      <c r="B994" s="1" t="s">
        <v>34</v>
      </c>
      <c r="C994" s="1" t="s">
        <v>2</v>
      </c>
      <c r="D994" s="1">
        <v>47923</v>
      </c>
      <c r="E994" s="1">
        <v>2721</v>
      </c>
      <c r="F994" s="1">
        <v>25</v>
      </c>
      <c r="G994" s="13">
        <f>Table[[#This Row],[Return Value]]/Table[[#This Row],[Sell Value]]</f>
        <v>9.1877986034546114E-3</v>
      </c>
      <c r="H994" s="1" t="s">
        <v>28</v>
      </c>
      <c r="I994" s="1">
        <v>50</v>
      </c>
      <c r="J994" s="14">
        <f>Table[[#This Row],[Sell Value]]*Table[[#This Row],[Selling Price]]</f>
        <v>136050</v>
      </c>
      <c r="K994" s="1" t="s">
        <v>4</v>
      </c>
      <c r="L994" s="1" t="s">
        <v>54</v>
      </c>
      <c r="M994" s="1" t="s">
        <v>6</v>
      </c>
      <c r="N994" s="1">
        <v>0.2</v>
      </c>
      <c r="O994" s="1" t="s">
        <v>82</v>
      </c>
      <c r="P994" s="1" t="s">
        <v>66</v>
      </c>
    </row>
    <row r="995" spans="1:16" x14ac:dyDescent="0.25">
      <c r="A995" s="1">
        <v>770748172</v>
      </c>
      <c r="B995" s="1" t="s">
        <v>37</v>
      </c>
      <c r="C995" s="1" t="s">
        <v>17</v>
      </c>
      <c r="D995" s="1">
        <v>48083</v>
      </c>
      <c r="E995" s="1">
        <v>3502</v>
      </c>
      <c r="F995" s="1">
        <v>22</v>
      </c>
      <c r="G995" s="13">
        <f>Table[[#This Row],[Return Value]]/Table[[#This Row],[Sell Value]]</f>
        <v>6.2821245002855509E-3</v>
      </c>
      <c r="H995" s="1" t="s">
        <v>3</v>
      </c>
      <c r="I995" s="1">
        <v>34</v>
      </c>
      <c r="J995" s="14">
        <f>Table[[#This Row],[Sell Value]]*Table[[#This Row],[Selling Price]]</f>
        <v>119068</v>
      </c>
      <c r="K995" s="1" t="s">
        <v>4</v>
      </c>
      <c r="L995" s="1" t="s">
        <v>57</v>
      </c>
      <c r="M995" s="1" t="s">
        <v>14</v>
      </c>
      <c r="N995" s="1">
        <v>0.2</v>
      </c>
      <c r="O995" s="1" t="s">
        <v>81</v>
      </c>
      <c r="P995" s="1" t="s">
        <v>36</v>
      </c>
    </row>
    <row r="996" spans="1:16" x14ac:dyDescent="0.25">
      <c r="A996" s="1">
        <v>738174780</v>
      </c>
      <c r="B996" s="1" t="s">
        <v>40</v>
      </c>
      <c r="C996" s="1" t="s">
        <v>17</v>
      </c>
      <c r="D996" s="1">
        <v>48068</v>
      </c>
      <c r="E996" s="1">
        <v>2201</v>
      </c>
      <c r="F996" s="1">
        <v>30</v>
      </c>
      <c r="G996" s="13">
        <f>Table[[#This Row],[Return Value]]/Table[[#This Row],[Sell Value]]</f>
        <v>1.3630168105406633E-2</v>
      </c>
      <c r="H996" s="1" t="s">
        <v>28</v>
      </c>
      <c r="I996" s="1">
        <v>42</v>
      </c>
      <c r="J996" s="14">
        <f>Table[[#This Row],[Sell Value]]*Table[[#This Row],[Selling Price]]</f>
        <v>92442</v>
      </c>
      <c r="K996" s="1" t="s">
        <v>4</v>
      </c>
      <c r="L996" s="1" t="s">
        <v>5</v>
      </c>
      <c r="M996" s="1" t="s">
        <v>26</v>
      </c>
      <c r="N996" s="1">
        <v>0.2</v>
      </c>
      <c r="O996" s="1" t="s">
        <v>81</v>
      </c>
      <c r="P996" s="1" t="s">
        <v>52</v>
      </c>
    </row>
    <row r="997" spans="1:16" x14ac:dyDescent="0.25">
      <c r="A997" s="1">
        <v>550422280</v>
      </c>
      <c r="B997" s="1" t="s">
        <v>42</v>
      </c>
      <c r="C997" s="1" t="s">
        <v>2</v>
      </c>
      <c r="D997" s="1">
        <v>48132</v>
      </c>
      <c r="E997" s="1">
        <v>1962</v>
      </c>
      <c r="F997" s="1">
        <v>22</v>
      </c>
      <c r="G997" s="13">
        <f>Table[[#This Row],[Return Value]]/Table[[#This Row],[Sell Value]]</f>
        <v>1.1213047910295617E-2</v>
      </c>
      <c r="H997" s="1" t="s">
        <v>3</v>
      </c>
      <c r="I997" s="1">
        <v>46</v>
      </c>
      <c r="J997" s="14">
        <f>Table[[#This Row],[Sell Value]]*Table[[#This Row],[Selling Price]]</f>
        <v>90252</v>
      </c>
      <c r="K997" s="1" t="s">
        <v>4</v>
      </c>
      <c r="L997" s="1" t="s">
        <v>9</v>
      </c>
      <c r="M997" s="1" t="s">
        <v>14</v>
      </c>
      <c r="N997" s="1">
        <v>0.2</v>
      </c>
      <c r="O997" s="1" t="s">
        <v>81</v>
      </c>
      <c r="P997" s="1" t="s">
        <v>7</v>
      </c>
    </row>
    <row r="998" spans="1:16" x14ac:dyDescent="0.25">
      <c r="A998" s="1">
        <v>92418823</v>
      </c>
      <c r="B998" s="1" t="s">
        <v>46</v>
      </c>
      <c r="C998" s="1" t="s">
        <v>2</v>
      </c>
      <c r="D998" s="1">
        <v>47606</v>
      </c>
      <c r="E998" s="1">
        <v>1032</v>
      </c>
      <c r="F998" s="1">
        <v>47</v>
      </c>
      <c r="G998" s="13">
        <f>Table[[#This Row],[Return Value]]/Table[[#This Row],[Sell Value]]</f>
        <v>4.5542635658914726E-2</v>
      </c>
      <c r="H998" s="1" t="s">
        <v>3</v>
      </c>
      <c r="I998" s="1">
        <v>34</v>
      </c>
      <c r="J998" s="14">
        <f>Table[[#This Row],[Sell Value]]*Table[[#This Row],[Selling Price]]</f>
        <v>35088</v>
      </c>
      <c r="K998" s="1" t="s">
        <v>4</v>
      </c>
      <c r="L998" s="1" t="s">
        <v>13</v>
      </c>
      <c r="M998" s="1" t="s">
        <v>61</v>
      </c>
      <c r="N998" s="1">
        <v>0.2</v>
      </c>
      <c r="O998" s="1" t="s">
        <v>82</v>
      </c>
      <c r="P998" s="1" t="s">
        <v>62</v>
      </c>
    </row>
    <row r="999" spans="1:16" x14ac:dyDescent="0.25">
      <c r="A999" s="1">
        <v>505860727</v>
      </c>
      <c r="B999" s="1" t="s">
        <v>50</v>
      </c>
      <c r="C999" s="1" t="s">
        <v>2</v>
      </c>
      <c r="D999" s="1">
        <v>47967</v>
      </c>
      <c r="E999" s="1">
        <v>4068</v>
      </c>
      <c r="F999" s="1">
        <v>34</v>
      </c>
      <c r="G999" s="13">
        <f>Table[[#This Row],[Return Value]]/Table[[#This Row],[Sell Value]]</f>
        <v>8.3579154375614546E-3</v>
      </c>
      <c r="H999" s="1" t="s">
        <v>3</v>
      </c>
      <c r="I999" s="1">
        <v>24</v>
      </c>
      <c r="J999" s="14">
        <f>Table[[#This Row],[Sell Value]]*Table[[#This Row],[Selling Price]]</f>
        <v>97632</v>
      </c>
      <c r="K999" s="1" t="s">
        <v>4</v>
      </c>
      <c r="L999" s="1" t="s">
        <v>18</v>
      </c>
      <c r="M999" s="1" t="s">
        <v>22</v>
      </c>
      <c r="N999" s="1">
        <v>0.2</v>
      </c>
      <c r="O999" s="1" t="s">
        <v>81</v>
      </c>
      <c r="P999" s="1" t="s">
        <v>52</v>
      </c>
    </row>
    <row r="1000" spans="1:16" x14ac:dyDescent="0.25">
      <c r="A1000" s="1">
        <v>819158728</v>
      </c>
      <c r="B1000" s="1" t="s">
        <v>53</v>
      </c>
      <c r="C1000" s="1" t="s">
        <v>2</v>
      </c>
      <c r="D1000" s="1">
        <v>47806</v>
      </c>
      <c r="E1000" s="1">
        <v>2466</v>
      </c>
      <c r="F1000" s="1">
        <v>46</v>
      </c>
      <c r="G1000" s="13">
        <f>Table[[#This Row],[Return Value]]/Table[[#This Row],[Sell Value]]</f>
        <v>1.8653690186536901E-2</v>
      </c>
      <c r="H1000" s="1" t="s">
        <v>3</v>
      </c>
      <c r="I1000" s="1">
        <v>27</v>
      </c>
      <c r="J1000" s="14">
        <f>Table[[#This Row],[Sell Value]]*Table[[#This Row],[Selling Price]]</f>
        <v>66582</v>
      </c>
      <c r="K1000" s="1" t="s">
        <v>4</v>
      </c>
      <c r="L1000" s="1" t="s">
        <v>21</v>
      </c>
      <c r="M1000" s="1" t="s">
        <v>14</v>
      </c>
      <c r="N1000" s="1">
        <v>0.2</v>
      </c>
      <c r="O1000" s="1" t="s">
        <v>81</v>
      </c>
      <c r="P1000" s="1" t="s">
        <v>65</v>
      </c>
    </row>
    <row r="1001" spans="1:16" x14ac:dyDescent="0.25">
      <c r="A1001" s="1">
        <v>801905318</v>
      </c>
      <c r="B1001" s="1" t="s">
        <v>56</v>
      </c>
      <c r="C1001" s="1" t="s">
        <v>2</v>
      </c>
      <c r="D1001" s="1">
        <v>48113</v>
      </c>
      <c r="E1001" s="1">
        <v>2331</v>
      </c>
      <c r="F1001" s="1">
        <v>24</v>
      </c>
      <c r="G1001" s="13">
        <f>Table[[#This Row],[Return Value]]/Table[[#This Row],[Sell Value]]</f>
        <v>1.0296010296010296E-2</v>
      </c>
      <c r="H1001" s="1" t="s">
        <v>3</v>
      </c>
      <c r="I1001" s="1">
        <v>44</v>
      </c>
      <c r="J1001" s="14">
        <f>Table[[#This Row],[Sell Value]]*Table[[#This Row],[Selling Price]]</f>
        <v>102564</v>
      </c>
      <c r="K1001" s="1" t="s">
        <v>4</v>
      </c>
      <c r="L1001" s="1" t="s">
        <v>25</v>
      </c>
      <c r="M1001" s="1" t="s">
        <v>44</v>
      </c>
      <c r="N1001" s="1">
        <v>0.2</v>
      </c>
      <c r="O1001" s="1" t="s">
        <v>81</v>
      </c>
      <c r="P1001" s="1" t="s">
        <v>23</v>
      </c>
    </row>
    <row r="1002" spans="1:16" x14ac:dyDescent="0.25">
      <c r="A1002" s="1">
        <v>295419417</v>
      </c>
      <c r="B1002" s="1" t="s">
        <v>1</v>
      </c>
      <c r="C1002" s="1" t="s">
        <v>2</v>
      </c>
      <c r="D1002" s="1">
        <v>47795</v>
      </c>
      <c r="E1002" s="1">
        <v>2734</v>
      </c>
      <c r="F1002" s="1">
        <v>27</v>
      </c>
      <c r="G1002" s="13">
        <f>Table[[#This Row],[Return Value]]/Table[[#This Row],[Sell Value]]</f>
        <v>9.8756400877834678E-3</v>
      </c>
      <c r="H1002" s="1" t="s">
        <v>3</v>
      </c>
      <c r="I1002" s="1">
        <v>30</v>
      </c>
      <c r="J1002" s="14">
        <f>Table[[#This Row],[Sell Value]]*Table[[#This Row],[Selling Price]]</f>
        <v>82020</v>
      </c>
      <c r="K1002" s="1" t="s">
        <v>4</v>
      </c>
      <c r="L1002" s="1" t="s">
        <v>29</v>
      </c>
      <c r="M1002" s="1" t="s">
        <v>10</v>
      </c>
      <c r="N1002" s="1">
        <v>0.2</v>
      </c>
      <c r="O1002" s="1" t="s">
        <v>82</v>
      </c>
      <c r="P1002" s="1" t="s">
        <v>31</v>
      </c>
    </row>
    <row r="1003" spans="1:16" x14ac:dyDescent="0.25">
      <c r="A1003" s="1">
        <v>132039419</v>
      </c>
      <c r="B1003" s="1" t="s">
        <v>8</v>
      </c>
      <c r="C1003" s="1" t="s">
        <v>2</v>
      </c>
      <c r="D1003" s="1">
        <v>47850</v>
      </c>
      <c r="E1003" s="1">
        <v>2042</v>
      </c>
      <c r="F1003" s="1">
        <v>13</v>
      </c>
      <c r="G1003" s="13">
        <f>Table[[#This Row],[Return Value]]/Table[[#This Row],[Sell Value]]</f>
        <v>6.3663075416258569E-3</v>
      </c>
      <c r="H1003" s="1" t="s">
        <v>3</v>
      </c>
      <c r="I1003" s="1">
        <v>37</v>
      </c>
      <c r="J1003" s="14">
        <f>Table[[#This Row],[Sell Value]]*Table[[#This Row],[Selling Price]]</f>
        <v>75554</v>
      </c>
      <c r="K1003" s="1" t="s">
        <v>4</v>
      </c>
      <c r="L1003" s="1" t="s">
        <v>29</v>
      </c>
      <c r="M1003" s="1" t="s">
        <v>22</v>
      </c>
      <c r="N1003" s="1">
        <v>0.2</v>
      </c>
      <c r="O1003" s="1" t="s">
        <v>82</v>
      </c>
      <c r="P1003" s="1" t="s">
        <v>65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89661-48D8-4165-B6C4-5CB2B10A762B}">
  <dimension ref="A3:E26"/>
  <sheetViews>
    <sheetView workbookViewId="0">
      <selection activeCell="A3" sqref="A3"/>
    </sheetView>
  </sheetViews>
  <sheetFormatPr defaultRowHeight="15" x14ac:dyDescent="0.25"/>
  <cols>
    <col min="1" max="1" width="17.140625" style="3" bestFit="1" customWidth="1"/>
    <col min="2" max="2" width="21" style="3" bestFit="1" customWidth="1"/>
    <col min="3" max="3" width="23.140625" style="3" bestFit="1" customWidth="1"/>
    <col min="4" max="4" width="9.140625" style="3"/>
    <col min="5" max="5" width="17.140625" style="3" bestFit="1" customWidth="1"/>
    <col min="6" max="6" width="20.28515625" style="3" bestFit="1" customWidth="1"/>
    <col min="7" max="16384" width="9.140625" style="3"/>
  </cols>
  <sheetData>
    <row r="3" spans="1:4" x14ac:dyDescent="0.25">
      <c r="A3" s="3" t="s">
        <v>74</v>
      </c>
      <c r="B3"/>
      <c r="C3" s="3" t="s">
        <v>84</v>
      </c>
    </row>
    <row r="4" spans="1:4" x14ac:dyDescent="0.25">
      <c r="A4" s="6">
        <v>2957231</v>
      </c>
      <c r="B4"/>
      <c r="C4" s="6">
        <v>30488</v>
      </c>
    </row>
    <row r="5" spans="1:4" x14ac:dyDescent="0.25">
      <c r="A5"/>
      <c r="B5"/>
      <c r="C5"/>
    </row>
    <row r="6" spans="1:4" x14ac:dyDescent="0.25">
      <c r="A6"/>
      <c r="B6"/>
      <c r="C6"/>
    </row>
    <row r="7" spans="1:4" x14ac:dyDescent="0.25">
      <c r="A7" s="3" t="s">
        <v>86</v>
      </c>
      <c r="B7"/>
      <c r="C7" s="3" t="s">
        <v>85</v>
      </c>
      <c r="D7"/>
    </row>
    <row r="8" spans="1:4" x14ac:dyDescent="0.25">
      <c r="A8" s="16">
        <v>103803222</v>
      </c>
      <c r="B8"/>
      <c r="C8" s="7">
        <v>1.2274378361912967E-2</v>
      </c>
      <c r="D8"/>
    </row>
    <row r="9" spans="1:4" x14ac:dyDescent="0.25">
      <c r="A9"/>
      <c r="B9"/>
      <c r="C9"/>
      <c r="D9"/>
    </row>
    <row r="10" spans="1:4" x14ac:dyDescent="0.25">
      <c r="A10" s="2" t="s">
        <v>72</v>
      </c>
      <c r="B10" s="3" t="s">
        <v>74</v>
      </c>
      <c r="C10"/>
      <c r="D10"/>
    </row>
    <row r="11" spans="1:4" x14ac:dyDescent="0.25">
      <c r="A11" s="4" t="s">
        <v>5</v>
      </c>
      <c r="B11" s="6">
        <v>192051</v>
      </c>
      <c r="C11"/>
      <c r="D11"/>
    </row>
    <row r="12" spans="1:4" x14ac:dyDescent="0.25">
      <c r="A12" s="4" t="s">
        <v>54</v>
      </c>
      <c r="B12" s="6">
        <v>168311</v>
      </c>
      <c r="C12"/>
      <c r="D12"/>
    </row>
    <row r="13" spans="1:4" x14ac:dyDescent="0.25">
      <c r="A13" s="4" t="s">
        <v>41</v>
      </c>
      <c r="B13" s="6">
        <v>180117</v>
      </c>
      <c r="C13"/>
      <c r="D13"/>
    </row>
    <row r="14" spans="1:4" x14ac:dyDescent="0.25">
      <c r="A14" s="4" t="s">
        <v>47</v>
      </c>
      <c r="B14" s="6">
        <v>198875</v>
      </c>
      <c r="C14"/>
      <c r="D14"/>
    </row>
    <row r="15" spans="1:4" x14ac:dyDescent="0.25">
      <c r="A15" s="4" t="s">
        <v>9</v>
      </c>
      <c r="B15" s="6">
        <v>190371</v>
      </c>
      <c r="C15"/>
      <c r="D15"/>
    </row>
    <row r="16" spans="1:4" x14ac:dyDescent="0.25">
      <c r="A16" s="4" t="s">
        <v>57</v>
      </c>
      <c r="B16" s="6">
        <v>176830</v>
      </c>
      <c r="C16"/>
      <c r="D16"/>
    </row>
    <row r="17" spans="1:5" x14ac:dyDescent="0.25">
      <c r="A17" s="4" t="s">
        <v>43</v>
      </c>
      <c r="B17" s="6">
        <v>194997</v>
      </c>
      <c r="C17"/>
      <c r="D17"/>
    </row>
    <row r="18" spans="1:5" x14ac:dyDescent="0.25">
      <c r="A18" s="4" t="s">
        <v>29</v>
      </c>
      <c r="B18" s="6">
        <v>367156</v>
      </c>
      <c r="C18"/>
      <c r="D18"/>
    </row>
    <row r="19" spans="1:5" x14ac:dyDescent="0.25">
      <c r="A19" s="4" t="s">
        <v>38</v>
      </c>
      <c r="B19" s="6">
        <v>186096</v>
      </c>
      <c r="C19"/>
      <c r="D19"/>
    </row>
    <row r="20" spans="1:5" x14ac:dyDescent="0.25">
      <c r="A20" s="4" t="s">
        <v>51</v>
      </c>
      <c r="B20" s="6">
        <v>185224</v>
      </c>
      <c r="C20"/>
      <c r="D20"/>
    </row>
    <row r="21" spans="1:5" x14ac:dyDescent="0.25">
      <c r="A21" s="4" t="s">
        <v>25</v>
      </c>
      <c r="B21" s="6">
        <v>167742</v>
      </c>
      <c r="C21"/>
      <c r="D21"/>
    </row>
    <row r="22" spans="1:5" x14ac:dyDescent="0.25">
      <c r="A22" s="4" t="s">
        <v>18</v>
      </c>
      <c r="B22" s="6">
        <v>188231</v>
      </c>
      <c r="C22"/>
      <c r="D22"/>
      <c r="E22"/>
    </row>
    <row r="23" spans="1:5" x14ac:dyDescent="0.25">
      <c r="A23" s="4" t="s">
        <v>21</v>
      </c>
      <c r="B23" s="6">
        <v>196317</v>
      </c>
      <c r="C23"/>
      <c r="D23"/>
      <c r="E23"/>
    </row>
    <row r="24" spans="1:5" x14ac:dyDescent="0.25">
      <c r="A24" s="4" t="s">
        <v>35</v>
      </c>
      <c r="B24" s="6">
        <v>183314</v>
      </c>
      <c r="C24"/>
      <c r="D24"/>
      <c r="E24"/>
    </row>
    <row r="25" spans="1:5" x14ac:dyDescent="0.25">
      <c r="A25" s="4" t="s">
        <v>13</v>
      </c>
      <c r="B25" s="6">
        <v>181599</v>
      </c>
    </row>
    <row r="26" spans="1:5" x14ac:dyDescent="0.25">
      <c r="A26" s="4" t="s">
        <v>73</v>
      </c>
      <c r="B26" s="6">
        <v>2957231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49265-57EA-461A-8945-4DF5F49494AB}">
  <dimension ref="B22:J38"/>
  <sheetViews>
    <sheetView showGridLines="0" tabSelected="1" zoomScale="140" zoomScaleNormal="140" workbookViewId="0">
      <selection activeCell="K44" sqref="K44"/>
    </sheetView>
  </sheetViews>
  <sheetFormatPr defaultRowHeight="15" x14ac:dyDescent="0.25"/>
  <cols>
    <col min="1" max="2" width="13.140625" style="3" bestFit="1" customWidth="1"/>
    <col min="3" max="3" width="11.5703125" style="3" bestFit="1" customWidth="1"/>
    <col min="4" max="4" width="9.140625" style="3" bestFit="1" customWidth="1"/>
    <col min="5" max="5" width="7.28515625" style="3" bestFit="1" customWidth="1"/>
    <col min="6" max="7" width="9.140625" style="3"/>
    <col min="8" max="8" width="13.5703125" style="3" bestFit="1" customWidth="1"/>
    <col min="9" max="9" width="15.28515625" style="3" bestFit="1" customWidth="1"/>
    <col min="10" max="10" width="11.5703125" style="3" bestFit="1" customWidth="1"/>
    <col min="11" max="16384" width="9.140625" style="3"/>
  </cols>
  <sheetData>
    <row r="22" spans="2:10" x14ac:dyDescent="0.25">
      <c r="B22" s="2" t="s">
        <v>77</v>
      </c>
      <c r="C22" s="3" t="s">
        <v>78</v>
      </c>
      <c r="D22" s="3" t="s">
        <v>75</v>
      </c>
      <c r="E22" s="3" t="s">
        <v>76</v>
      </c>
      <c r="H22" s="15" t="s">
        <v>79</v>
      </c>
      <c r="I22" s="15" t="s">
        <v>80</v>
      </c>
      <c r="J22" s="10" t="s">
        <v>78</v>
      </c>
    </row>
    <row r="23" spans="2:10" ht="15.75" x14ac:dyDescent="0.25">
      <c r="B23" s="10" t="s">
        <v>5</v>
      </c>
      <c r="C23" s="11">
        <v>192051</v>
      </c>
      <c r="D23" s="12">
        <v>6.4942846872631868E-2</v>
      </c>
      <c r="E23" s="8"/>
      <c r="H23" s="9" t="s">
        <v>68</v>
      </c>
      <c r="I23" s="9" t="s">
        <v>81</v>
      </c>
      <c r="J23" s="11">
        <v>3231</v>
      </c>
    </row>
    <row r="24" spans="2:10" ht="15.75" x14ac:dyDescent="0.25">
      <c r="B24" s="10" t="s">
        <v>54</v>
      </c>
      <c r="C24" s="11">
        <v>168311</v>
      </c>
      <c r="D24" s="12">
        <v>5.6915066831099766E-2</v>
      </c>
      <c r="E24" s="8">
        <v>-23740</v>
      </c>
      <c r="H24" s="9" t="s">
        <v>64</v>
      </c>
      <c r="I24" s="9" t="s">
        <v>81</v>
      </c>
      <c r="J24" s="11">
        <v>14753</v>
      </c>
    </row>
    <row r="25" spans="2:10" ht="15.75" x14ac:dyDescent="0.25">
      <c r="B25" s="10" t="s">
        <v>41</v>
      </c>
      <c r="C25" s="11">
        <v>180117</v>
      </c>
      <c r="D25" s="12">
        <v>6.0907314984862529E-2</v>
      </c>
      <c r="E25" s="8">
        <v>11806</v>
      </c>
      <c r="H25" s="9"/>
      <c r="I25" s="9" t="s">
        <v>82</v>
      </c>
      <c r="J25" s="11">
        <v>11409</v>
      </c>
    </row>
    <row r="26" spans="2:10" ht="15.75" x14ac:dyDescent="0.25">
      <c r="B26" s="10" t="s">
        <v>47</v>
      </c>
      <c r="C26" s="11">
        <v>198875</v>
      </c>
      <c r="D26" s="12">
        <v>6.7250410941857436E-2</v>
      </c>
      <c r="E26" s="8">
        <v>18758</v>
      </c>
      <c r="H26" s="9" t="s">
        <v>3</v>
      </c>
      <c r="I26" s="9" t="s">
        <v>81</v>
      </c>
      <c r="J26" s="11">
        <v>1382887</v>
      </c>
    </row>
    <row r="27" spans="2:10" ht="15.75" x14ac:dyDescent="0.25">
      <c r="B27" s="10" t="s">
        <v>9</v>
      </c>
      <c r="C27" s="11">
        <v>190371</v>
      </c>
      <c r="D27" s="12">
        <v>6.4374747863795559E-2</v>
      </c>
      <c r="E27" s="8">
        <v>-8504</v>
      </c>
      <c r="H27" s="9"/>
      <c r="I27" s="9" t="s">
        <v>82</v>
      </c>
      <c r="J27" s="11">
        <v>1290009</v>
      </c>
    </row>
    <row r="28" spans="2:10" ht="15.75" x14ac:dyDescent="0.25">
      <c r="B28" s="10" t="s">
        <v>57</v>
      </c>
      <c r="C28" s="11">
        <v>176830</v>
      </c>
      <c r="D28" s="12">
        <v>5.9795802221740538E-2</v>
      </c>
      <c r="E28" s="8">
        <v>-13541</v>
      </c>
      <c r="H28" s="9" t="s">
        <v>28</v>
      </c>
      <c r="I28" s="9" t="s">
        <v>81</v>
      </c>
      <c r="J28" s="11">
        <v>123587</v>
      </c>
    </row>
    <row r="29" spans="2:10" ht="15.75" x14ac:dyDescent="0.25">
      <c r="B29" s="10" t="s">
        <v>43</v>
      </c>
      <c r="C29" s="11">
        <v>194997</v>
      </c>
      <c r="D29" s="12">
        <v>6.5939049063126962E-2</v>
      </c>
      <c r="E29" s="8">
        <v>18167</v>
      </c>
      <c r="H29" s="9"/>
      <c r="I29" s="9" t="s">
        <v>82</v>
      </c>
      <c r="J29" s="11">
        <v>115791</v>
      </c>
    </row>
    <row r="30" spans="2:10" ht="15.75" x14ac:dyDescent="0.25">
      <c r="B30" s="10" t="s">
        <v>29</v>
      </c>
      <c r="C30" s="11">
        <v>367156</v>
      </c>
      <c r="D30" s="12">
        <v>0.1241553331477994</v>
      </c>
      <c r="E30" s="8">
        <v>172159</v>
      </c>
      <c r="H30" s="9" t="s">
        <v>70</v>
      </c>
      <c r="I30" s="9" t="s">
        <v>81</v>
      </c>
      <c r="J30" s="11">
        <v>5613</v>
      </c>
    </row>
    <row r="31" spans="2:10" ht="15.75" x14ac:dyDescent="0.25">
      <c r="B31" s="10" t="s">
        <v>38</v>
      </c>
      <c r="C31" s="11">
        <v>186096</v>
      </c>
      <c r="D31" s="12">
        <v>6.2929138778810317E-2</v>
      </c>
      <c r="E31" s="8">
        <v>-181060</v>
      </c>
      <c r="H31" s="9"/>
      <c r="I31" s="9" t="s">
        <v>82</v>
      </c>
      <c r="J31" s="11">
        <v>9951</v>
      </c>
    </row>
    <row r="32" spans="2:10" ht="15.75" x14ac:dyDescent="0.25">
      <c r="B32" s="10" t="s">
        <v>51</v>
      </c>
      <c r="C32" s="11">
        <v>185224</v>
      </c>
      <c r="D32" s="12">
        <v>6.2634268340890517E-2</v>
      </c>
      <c r="E32" s="8">
        <v>-872</v>
      </c>
      <c r="H32" s="10" t="s">
        <v>83</v>
      </c>
      <c r="I32" s="10"/>
      <c r="J32" s="11">
        <v>2957231</v>
      </c>
    </row>
    <row r="33" spans="2:5" ht="15.75" x14ac:dyDescent="0.25">
      <c r="B33" s="10" t="s">
        <v>25</v>
      </c>
      <c r="C33" s="11">
        <v>167742</v>
      </c>
      <c r="D33" s="12">
        <v>5.6722657107273665E-2</v>
      </c>
      <c r="E33" s="8">
        <v>-17482</v>
      </c>
    </row>
    <row r="34" spans="2:5" ht="15.75" x14ac:dyDescent="0.25">
      <c r="B34" s="10" t="s">
        <v>18</v>
      </c>
      <c r="C34" s="11">
        <v>188231</v>
      </c>
      <c r="D34" s="12">
        <v>6.3651097935873119E-2</v>
      </c>
      <c r="E34" s="8">
        <v>20489</v>
      </c>
    </row>
    <row r="35" spans="2:5" ht="15.75" x14ac:dyDescent="0.25">
      <c r="B35" s="10" t="s">
        <v>21</v>
      </c>
      <c r="C35" s="11">
        <v>196317</v>
      </c>
      <c r="D35" s="12">
        <v>6.6385412570069774E-2</v>
      </c>
      <c r="E35" s="8">
        <v>8086</v>
      </c>
    </row>
    <row r="36" spans="2:5" ht="15.75" x14ac:dyDescent="0.25">
      <c r="B36" s="10" t="s">
        <v>35</v>
      </c>
      <c r="C36" s="11">
        <v>183314</v>
      </c>
      <c r="D36" s="12">
        <v>6.1988393872511142E-2</v>
      </c>
      <c r="E36" s="8">
        <v>-13003</v>
      </c>
    </row>
    <row r="37" spans="2:5" ht="15.75" x14ac:dyDescent="0.25">
      <c r="B37" s="10" t="s">
        <v>13</v>
      </c>
      <c r="C37" s="11">
        <v>181599</v>
      </c>
      <c r="D37" s="12">
        <v>6.1408459467657411E-2</v>
      </c>
      <c r="E37" s="8">
        <v>-1715</v>
      </c>
    </row>
    <row r="38" spans="2:5" x14ac:dyDescent="0.25">
      <c r="B38" s="4" t="s">
        <v>83</v>
      </c>
      <c r="C38" s="6">
        <v>2957231</v>
      </c>
      <c r="D38" s="7">
        <v>1</v>
      </c>
      <c r="E38" s="5"/>
    </row>
  </sheetData>
  <pageMargins left="0.7" right="0.7" top="0.75" bottom="0.75" header="0.3" footer="0.3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BE998B8-8CB6-4F25-95AE-779C439A930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Data</vt:lpstr>
      <vt:lpstr>Pivots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Tekin</dc:creator>
  <cp:lastModifiedBy>Ali Tekin</cp:lastModifiedBy>
  <dcterms:created xsi:type="dcterms:W3CDTF">2026-04-03T09:00:07Z</dcterms:created>
  <dcterms:modified xsi:type="dcterms:W3CDTF">2026-04-03T12:39:06Z</dcterms:modified>
</cp:coreProperties>
</file>