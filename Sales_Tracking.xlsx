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te\OneDrive\Desktop\Proje\"/>
    </mc:Choice>
  </mc:AlternateContent>
  <xr:revisionPtr revIDLastSave="0" documentId="13_ncr:1_{936B0920-5AB8-4982-B265-2FD174ABFE34}" xr6:coauthVersionLast="47" xr6:coauthVersionMax="47" xr10:uidLastSave="{00000000-0000-0000-0000-000000000000}"/>
  <bookViews>
    <workbookView xWindow="-120" yWindow="-120" windowWidth="38640" windowHeight="21120" xr2:uid="{13B16EFD-B1B9-4445-8F95-2BBAC62A27CC}"/>
  </bookViews>
  <sheets>
    <sheet name="Dashboard" sheetId="1" r:id="rId1"/>
    <sheet name="Products" sheetId="2" r:id="rId2"/>
    <sheet name="Sales" sheetId="3" r:id="rId3"/>
    <sheet name="Staff" sheetId="4" r:id="rId4"/>
    <sheet name="Database" sheetId="6" r:id="rId5"/>
  </sheets>
  <externalReferences>
    <externalReference r:id="rId6"/>
  </externalReferences>
  <definedNames>
    <definedName name="Personeller">[1]!Tablo2[Ad Soyad]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6" l="1"/>
  <c r="B59" i="6"/>
  <c r="B57" i="6"/>
  <c r="C1" i="6"/>
  <c r="C2" i="6"/>
  <c r="O8" i="3"/>
  <c r="Q8" i="3" s="1"/>
  <c r="S8" i="3" s="1"/>
  <c r="O9" i="3"/>
  <c r="Q9" i="3" s="1"/>
  <c r="S9" i="3" s="1"/>
  <c r="O10" i="3"/>
  <c r="Q10" i="3" s="1"/>
  <c r="S10" i="3" s="1"/>
  <c r="O11" i="3"/>
  <c r="Q11" i="3" s="1"/>
  <c r="S11" i="3" s="1"/>
  <c r="O12" i="3"/>
  <c r="Q12" i="3" s="1"/>
  <c r="S12" i="3" s="1"/>
  <c r="O13" i="3"/>
  <c r="Q13" i="3" s="1"/>
  <c r="S13" i="3" s="1"/>
  <c r="O14" i="3"/>
  <c r="Q14" i="3" s="1"/>
  <c r="S14" i="3" s="1"/>
  <c r="O15" i="3"/>
  <c r="Q15" i="3" s="1"/>
  <c r="S15" i="3" s="1"/>
  <c r="O16" i="3"/>
  <c r="Q16" i="3" s="1"/>
  <c r="S16" i="3" s="1"/>
  <c r="O17" i="3"/>
  <c r="Q17" i="3" s="1"/>
  <c r="S17" i="3" s="1"/>
  <c r="M10" i="4" l="1"/>
  <c r="N10" i="4" s="1"/>
  <c r="M11" i="4"/>
  <c r="N11" i="4" s="1"/>
  <c r="M12" i="4"/>
  <c r="N12" i="4" s="1"/>
  <c r="M13" i="4"/>
  <c r="N13" i="4" s="1"/>
  <c r="M9" i="4"/>
  <c r="N9" i="4" s="1"/>
  <c r="M8" i="4"/>
  <c r="N8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<sst xmlns="http://schemas.openxmlformats.org/spreadsheetml/2006/main" count="229" uniqueCount="124">
  <si>
    <t>Product Name</t>
  </si>
  <si>
    <t>Product Model</t>
  </si>
  <si>
    <t>Price</t>
  </si>
  <si>
    <t>Stock</t>
  </si>
  <si>
    <t>Audi</t>
  </si>
  <si>
    <t>A7</t>
  </si>
  <si>
    <t>A5</t>
  </si>
  <si>
    <t>BMW</t>
  </si>
  <si>
    <t>X6</t>
  </si>
  <si>
    <t>Mercedes</t>
  </si>
  <si>
    <t>CLA</t>
  </si>
  <si>
    <t>Honda</t>
  </si>
  <si>
    <t>Ford</t>
  </si>
  <si>
    <t>Skoda</t>
  </si>
  <si>
    <t>BMW    </t>
  </si>
  <si>
    <t>320i       </t>
  </si>
  <si>
    <t>520d       </t>
  </si>
  <si>
    <t>X3         </t>
  </si>
  <si>
    <t>X5         </t>
  </si>
  <si>
    <t>M4         </t>
  </si>
  <si>
    <t>Audi   </t>
  </si>
  <si>
    <t>A3         </t>
  </si>
  <si>
    <t>A4         </t>
  </si>
  <si>
    <t>A6         </t>
  </si>
  <si>
    <t>Q3         </t>
  </si>
  <si>
    <t>Q7         </t>
  </si>
  <si>
    <t>C200      </t>
  </si>
  <si>
    <t>E300      </t>
  </si>
  <si>
    <t>GLA       </t>
  </si>
  <si>
    <t>GLC       </t>
  </si>
  <si>
    <t>S400      </t>
  </si>
  <si>
    <t>Volkswagen</t>
  </si>
  <si>
    <t>Golf    </t>
  </si>
  <si>
    <t>Passat  </t>
  </si>
  <si>
    <t>Toyota</t>
  </si>
  <si>
    <t>Corolla     </t>
  </si>
  <si>
    <t>Camry       </t>
  </si>
  <si>
    <t>RAV4        </t>
  </si>
  <si>
    <t>LandCruiser </t>
  </si>
  <si>
    <t>Civic        </t>
  </si>
  <si>
    <t>Accord       </t>
  </si>
  <si>
    <t>CR-V         </t>
  </si>
  <si>
    <t>Mustang       </t>
  </si>
  <si>
    <t>Hyundai</t>
  </si>
  <si>
    <t>Elantra    </t>
  </si>
  <si>
    <t>Tucson     </t>
  </si>
  <si>
    <t>SantaFe    </t>
  </si>
  <si>
    <t>Octavia      </t>
  </si>
  <si>
    <t>Superb       </t>
  </si>
  <si>
    <t>Peugeot</t>
  </si>
  <si>
    <t>3008       </t>
  </si>
  <si>
    <t>508        </t>
  </si>
  <si>
    <t>Renault</t>
  </si>
  <si>
    <t>Talisman   </t>
  </si>
  <si>
    <t>Koleos     </t>
  </si>
  <si>
    <t>Tarih</t>
  </si>
  <si>
    <t>Marka</t>
  </si>
  <si>
    <t>Modeli</t>
  </si>
  <si>
    <t>İzmir</t>
  </si>
  <si>
    <t>i20</t>
  </si>
  <si>
    <t>Ankara</t>
  </si>
  <si>
    <t>Nissan</t>
  </si>
  <si>
    <t>Erzurum</t>
  </si>
  <si>
    <t>Opel</t>
  </si>
  <si>
    <t>Astra</t>
  </si>
  <si>
    <t>Trabzon</t>
  </si>
  <si>
    <t>Corsa-e</t>
  </si>
  <si>
    <t>Bursa</t>
  </si>
  <si>
    <t>İstanbul</t>
  </si>
  <si>
    <t>Satış Personeli</t>
  </si>
  <si>
    <t>Müşteri Adı</t>
  </si>
  <si>
    <t>Müşteri Konumu</t>
  </si>
  <si>
    <t>Emre Akyüz</t>
  </si>
  <si>
    <t>Ahmet Tekin</t>
  </si>
  <si>
    <t>Emre  Ağmil</t>
  </si>
  <si>
    <t>Akif Karaca</t>
  </si>
  <si>
    <t>Betül  Alpaslan</t>
  </si>
  <si>
    <t>Bekir  Çolak</t>
  </si>
  <si>
    <t>Zeynep Yılmaz</t>
  </si>
  <si>
    <t>Emine  Karahan</t>
  </si>
  <si>
    <t>Ayça Ersoy</t>
  </si>
  <si>
    <t>Ahmet Yavuz</t>
  </si>
  <si>
    <t>Emre  Saydık</t>
  </si>
  <si>
    <t>Arif Bilen</t>
  </si>
  <si>
    <t>Deniz Karahan</t>
  </si>
  <si>
    <t>Berat El</t>
  </si>
  <si>
    <t>Ad Soyad</t>
  </si>
  <si>
    <t>Bölge</t>
  </si>
  <si>
    <t>Prim Limiti</t>
  </si>
  <si>
    <t>Prim Yüzdesi</t>
  </si>
  <si>
    <t>Ege</t>
  </si>
  <si>
    <t>Aslı Kara</t>
  </si>
  <si>
    <t>Marmara</t>
  </si>
  <si>
    <t>Ayça Karakuzu</t>
  </si>
  <si>
    <t>Karadeniz</t>
  </si>
  <si>
    <t>Toplam Satış Tutarı</t>
  </si>
  <si>
    <t>Hakedilen Prim</t>
  </si>
  <si>
    <t>Liste Fiyatı</t>
  </si>
  <si>
    <t>İskonto</t>
  </si>
  <si>
    <t>Satış Fiyatı</t>
  </si>
  <si>
    <t>Adet</t>
  </si>
  <si>
    <t>Toplam Tutar</t>
  </si>
  <si>
    <t>Satır Etiketleri</t>
  </si>
  <si>
    <t>Toplam Toplam Tutar</t>
  </si>
  <si>
    <t>Toplam Adet</t>
  </si>
  <si>
    <t>Total Sales Price</t>
  </si>
  <si>
    <t>Total Sales</t>
  </si>
  <si>
    <t>General</t>
  </si>
  <si>
    <t>Oca</t>
  </si>
  <si>
    <t>Şub</t>
  </si>
  <si>
    <t>Mar</t>
  </si>
  <si>
    <t>Ağu</t>
  </si>
  <si>
    <t>Eyl</t>
  </si>
  <si>
    <t>Eki</t>
  </si>
  <si>
    <t>Toplam Ciro</t>
  </si>
  <si>
    <t>Toplam Satılan Tutar</t>
  </si>
  <si>
    <t>Kuga</t>
  </si>
  <si>
    <t>Mondeo</t>
  </si>
  <si>
    <t>Focus</t>
  </si>
  <si>
    <t>Arteon</t>
  </si>
  <si>
    <t>Megane</t>
  </si>
  <si>
    <t>Tiguan</t>
  </si>
  <si>
    <t>Model</t>
  </si>
  <si>
    <t>Satış Adedi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</si>
</sst>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₺&quot;* #,##0_-;\-&quot;₺&quot;* #,##0_-;_-&quot;₺&quot;* &quot;-&quot;_-;_-@_-"/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&quot;₺&quot;* #,##0_-;\-&quot;₺&quot;* #,##0_-;_-&quot;₺&quot;* &quot;-&quot;??_-;_-@_-"/>
    <numFmt numFmtId="165" formatCode="&quot;₺&quot;#,##0"/>
    <numFmt numFmtId="166" formatCode="_-&quot;₺&quot;* #,##0_-;\-&quot;₺&quot;* #,##0_-;_-&quot;₺&quot;* &quot;-&quot;?_-;_-@_-"/>
  </numFmts>
  <fonts count="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b/>
      <sz val="11"/>
      <color theme="0"/>
      <name val="Bahnschrift"/>
      <family val="2"/>
    </font>
    <font>
      <b/>
      <sz val="11"/>
      <color theme="1"/>
      <name val="Bahnschrift"/>
      <family val="2"/>
    </font>
    <font>
      <sz val="10"/>
      <color theme="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0" xfId="0" applyFont="1" applyFill="1"/>
    <xf numFmtId="0" fontId="3" fillId="0" borderId="0" xfId="0" applyFont="1"/>
    <xf numFmtId="44" fontId="3" fillId="0" borderId="0" xfId="2" applyFont="1"/>
    <xf numFmtId="0" fontId="3" fillId="0" borderId="5" xfId="0" applyFont="1" applyBorder="1"/>
    <xf numFmtId="0" fontId="3" fillId="0" borderId="6" xfId="0" applyFont="1" applyBorder="1"/>
    <xf numFmtId="164" fontId="3" fillId="0" borderId="6" xfId="2" applyNumberFormat="1" applyFont="1" applyBorder="1"/>
    <xf numFmtId="0" fontId="3" fillId="0" borderId="7" xfId="0" applyFont="1" applyBorder="1"/>
    <xf numFmtId="0" fontId="0" fillId="0" borderId="1" xfId="0" applyBorder="1"/>
    <xf numFmtId="0" fontId="3" fillId="0" borderId="9" xfId="0" applyFont="1" applyBorder="1"/>
    <xf numFmtId="0" fontId="3" fillId="0" borderId="1" xfId="0" applyFont="1" applyBorder="1"/>
    <xf numFmtId="164" fontId="3" fillId="0" borderId="1" xfId="2" applyNumberFormat="1" applyFont="1" applyBorder="1"/>
    <xf numFmtId="0" fontId="3" fillId="0" borderId="10" xfId="0" applyFont="1" applyBorder="1"/>
    <xf numFmtId="14" fontId="3" fillId="0" borderId="0" xfId="0" applyNumberFormat="1" applyFont="1"/>
    <xf numFmtId="0" fontId="0" fillId="3" borderId="8" xfId="0" applyFill="1" applyBorder="1"/>
    <xf numFmtId="0" fontId="0" fillId="3" borderId="1" xfId="0" applyFill="1" applyBorder="1"/>
    <xf numFmtId="0" fontId="3" fillId="4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6" xfId="0" applyBorder="1"/>
    <xf numFmtId="165" fontId="0" fillId="3" borderId="8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0" fillId="3" borderId="11" xfId="0" applyFill="1" applyBorder="1"/>
    <xf numFmtId="0" fontId="7" fillId="0" borderId="9" xfId="0" applyFont="1" applyBorder="1"/>
    <xf numFmtId="0" fontId="7" fillId="3" borderId="9" xfId="0" applyFont="1" applyFill="1" applyBorder="1"/>
    <xf numFmtId="10" fontId="0" fillId="3" borderId="12" xfId="0" applyNumberFormat="1" applyFill="1" applyBorder="1"/>
    <xf numFmtId="10" fontId="0" fillId="0" borderId="10" xfId="0" applyNumberFormat="1" applyBorder="1"/>
    <xf numFmtId="10" fontId="0" fillId="3" borderId="10" xfId="0" applyNumberFormat="1" applyFill="1" applyBorder="1"/>
    <xf numFmtId="0" fontId="7" fillId="0" borderId="5" xfId="0" applyFont="1" applyBorder="1"/>
    <xf numFmtId="165" fontId="0" fillId="0" borderId="6" xfId="0" applyNumberFormat="1" applyBorder="1"/>
    <xf numFmtId="10" fontId="0" fillId="0" borderId="7" xfId="0" applyNumberFormat="1" applyBorder="1"/>
    <xf numFmtId="0" fontId="5" fillId="2" borderId="3" xfId="0" applyFont="1" applyFill="1" applyBorder="1"/>
    <xf numFmtId="164" fontId="3" fillId="0" borderId="0" xfId="2" applyNumberFormat="1" applyFont="1" applyBorder="1"/>
    <xf numFmtId="166" fontId="3" fillId="0" borderId="1" xfId="0" applyNumberFormat="1" applyFont="1" applyBorder="1"/>
    <xf numFmtId="166" fontId="3" fillId="0" borderId="6" xfId="0" applyNumberFormat="1" applyFont="1" applyBorder="1"/>
    <xf numFmtId="14" fontId="3" fillId="3" borderId="11" xfId="0" applyNumberFormat="1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42" fontId="3" fillId="3" borderId="12" xfId="2" applyNumberFormat="1" applyFont="1" applyFill="1" applyBorder="1" applyAlignment="1">
      <alignment horizontal="left" vertical="center"/>
    </xf>
    <xf numFmtId="10" fontId="3" fillId="3" borderId="12" xfId="1" applyNumberFormat="1" applyFont="1" applyFill="1" applyBorder="1" applyAlignment="1">
      <alignment horizontal="right" vertical="center"/>
    </xf>
    <xf numFmtId="166" fontId="3" fillId="3" borderId="12" xfId="0" applyNumberFormat="1" applyFont="1" applyFill="1" applyBorder="1" applyAlignment="1">
      <alignment horizontal="left" vertical="center"/>
    </xf>
    <xf numFmtId="0" fontId="3" fillId="3" borderId="12" xfId="0" applyFont="1" applyFill="1" applyBorder="1"/>
    <xf numFmtId="14" fontId="3" fillId="0" borderId="9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42" fontId="3" fillId="0" borderId="1" xfId="2" applyNumberFormat="1" applyFont="1" applyBorder="1" applyAlignment="1">
      <alignment horizontal="left" vertical="center"/>
    </xf>
    <xf numFmtId="10" fontId="3" fillId="0" borderId="1" xfId="1" applyNumberFormat="1" applyFont="1" applyBorder="1" applyAlignment="1">
      <alignment horizontal="right" vertical="center"/>
    </xf>
    <xf numFmtId="166" fontId="3" fillId="5" borderId="12" xfId="0" applyNumberFormat="1" applyFont="1" applyFill="1" applyBorder="1" applyAlignment="1">
      <alignment horizontal="left" vertical="center"/>
    </xf>
    <xf numFmtId="14" fontId="3" fillId="3" borderId="9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66" fontId="3" fillId="3" borderId="12" xfId="0" applyNumberFormat="1" applyFont="1" applyFill="1" applyBorder="1"/>
    <xf numFmtId="165" fontId="0" fillId="3" borderId="12" xfId="0" applyNumberFormat="1" applyFill="1" applyBorder="1"/>
    <xf numFmtId="165" fontId="0" fillId="3" borderId="12" xfId="0" applyNumberFormat="1" applyFill="1" applyBorder="1" applyAlignment="1">
      <alignment vertical="center"/>
    </xf>
    <xf numFmtId="165" fontId="0" fillId="5" borderId="12" xfId="0" applyNumberFormat="1" applyFill="1" applyBorder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  <xf numFmtId="42" fontId="3" fillId="0" borderId="0" xfId="0" applyNumberFormat="1" applyFont="1"/>
    <xf numFmtId="0" fontId="3" fillId="0" borderId="0" xfId="0" pivotButton="1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</cellXfs>
  <cellStyles count="3">
    <cellStyle name="Normal" xfId="0" builtinId="0"/>
    <cellStyle name="ParaBirimi" xfId="2" builtinId="4"/>
    <cellStyle name="Virgül" xfId="1" builtinId="3"/>
  </cellStyles>
  <dxfs count="70"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0" formatCode="General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13" formatCode="0%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32" formatCode="_-&quot;₺&quot;* #,##0_-;\-&quot;₺&quot;* #,##0_-;_-&quot;₺&quot;* &quot;-&quot;_-;_-@_-"/>
    </dxf>
    <dxf>
      <numFmt numFmtId="0" formatCode="General"/>
    </dxf>
    <dxf>
      <numFmt numFmtId="32" formatCode="_-&quot;₺&quot;* #,##0_-;\-&quot;₺&quot;* #,##0_-;_-&quot;₺&quot;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5" formatCode="&quot;₺&quot;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indexed="64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5" formatCode="&quot;₺&quot;#,##0"/>
      <fill>
        <patternFill patternType="solid">
          <fgColor theme="9" tint="0.79998168889431442"/>
          <bgColor theme="9" tint="0.79998168889431442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theme="9" tint="0.39997558519241921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₺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6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6" formatCode="_-&quot;₺&quot;* #,##0_-;\-&quot;₺&quot;* #,##0_-;_-&quot;₺&quot;* &quot;-&quot;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6" formatCode="_-&quot;₺&quot;* #,##0_-;\-&quot;₺&quot;* #,##0_-;_-&quot;₺&quot;* &quot;-&quot;?_-;_-@_-"/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4" formatCode="0.00%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2" formatCode="_-&quot;₺&quot;* #,##0_-;\-&quot;₺&quot;* #,##0_-;_-&quot;₺&quot;* &quot;-&quot;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/mm/yyyy"/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6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_-&quot;₺&quot;* #,##0_-;\-&quot;₺&quot;* #,##0_-;_-&quot;₺&quot;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B5C1A"/>
      <color rgb="FF1D4F1B"/>
      <color rgb="FF1F4B23"/>
      <color rgb="FF224822"/>
      <color rgb="FF163012"/>
      <color rgb="FF254527"/>
      <color rgb="FF1834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800" b="0" i="0" u="none" strike="noStrike" baseline="0"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</a:rPr>
              <a:t>Sales by Employee | Revenue</a:t>
            </a:r>
            <a:endParaRPr lang="tr-TR" sz="1800">
              <a:effectLst>
                <a:outerShdw blurRad="50800" dist="127000" dir="5400000" algn="ctr" rotWithShape="0">
                  <a:srgbClr val="000000">
                    <a:alpha val="10000"/>
                  </a:srgbClr>
                </a:outerShdw>
              </a:effectLst>
            </a:endParaRPr>
          </a:p>
        </c:rich>
      </c:tx>
      <c:layout>
        <c:manualLayout>
          <c:xMode val="edge"/>
          <c:yMode val="edge"/>
          <c:x val="2.6150676784684475E-2"/>
          <c:y val="4.1027615785100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127000" dir="5400000" algn="ctr" rotWithShape="0">
                  <a:srgbClr val="000000">
                    <a:alpha val="1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88900" dir="3420000" algn="ctr" rotWithShape="0">
              <a:srgbClr val="000000">
                <a:alpha val="40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88900" dir="3420000" algn="ctr" rotWithShape="0">
              <a:srgbClr val="000000">
                <a:alpha val="40000"/>
              </a:srgbClr>
            </a:outerShdw>
            <a:softEdge rad="0"/>
          </a:effectLst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88900" dir="3420000" algn="ctr" rotWithShape="0">
              <a:srgbClr val="000000">
                <a:alpha val="40000"/>
              </a:srgbClr>
            </a:outerShdw>
            <a:softEdge rad="0"/>
          </a:effectLst>
        </c:spPr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88900" dir="3420000" algn="ctr" rotWithShape="0">
              <a:srgbClr val="000000">
                <a:alpha val="40000"/>
              </a:srgbClr>
            </a:outerShdw>
            <a:softEdge rad="0"/>
          </a:effectLst>
        </c:spPr>
      </c:pivotFmt>
      <c:pivotFmt>
        <c:idx val="16"/>
        <c:spPr>
          <a:solidFill>
            <a:schemeClr val="accent6">
              <a:lumMod val="50000"/>
            </a:schemeClr>
          </a:soli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88900" dir="3420000" algn="ctr" rotWithShape="0">
              <a:srgbClr val="000000">
                <a:alpha val="40000"/>
              </a:srgbClr>
            </a:outerShdw>
            <a:softEdge rad="0"/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Database!$B$6</c:f>
              <c:strCache>
                <c:ptCount val="1"/>
                <c:pt idx="0">
                  <c:v>Total Sales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>
                <a:schemeClr val="accent1">
                  <a:alpha val="40000"/>
                </a:schemeClr>
              </a:glow>
              <a:outerShdw blurRad="50800" dist="88900" dir="3420000" algn="ctr" rotWithShape="0">
                <a:srgbClr val="000000">
                  <a:alpha val="40000"/>
                </a:srgbClr>
              </a:outerShdw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  <a:outerShdw blurRad="50800" dist="88900" dir="3420000" algn="ctr" rotWithShape="0">
                  <a:srgbClr val="000000">
                    <a:alpha val="4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F8ED-4393-9A36-11B30D886FC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  <a:outerShdw blurRad="50800" dist="88900" dir="3420000" algn="ctr" rotWithShape="0">
                  <a:srgbClr val="000000">
                    <a:alpha val="4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F8ED-4393-9A36-11B30D886F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  <a:outerShdw blurRad="50800" dist="88900" dir="3420000" algn="ctr" rotWithShape="0">
                  <a:srgbClr val="000000">
                    <a:alpha val="4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F8ED-4393-9A36-11B30D886FC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  <a:outerShdw blurRad="50800" dist="88900" dir="3420000" algn="ctr" rotWithShape="0">
                  <a:srgbClr val="000000">
                    <a:alpha val="4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F8ED-4393-9A36-11B30D886F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Database!$A$7:$A$11</c:f>
              <c:strCache>
                <c:ptCount val="4"/>
                <c:pt idx="0">
                  <c:v>Zeynep Yılmaz</c:v>
                </c:pt>
                <c:pt idx="1">
                  <c:v>Ahmet Yavuz</c:v>
                </c:pt>
                <c:pt idx="2">
                  <c:v>Akif Karaca</c:v>
                </c:pt>
                <c:pt idx="3">
                  <c:v>Emre Akyüz</c:v>
                </c:pt>
              </c:strCache>
            </c:strRef>
          </c:cat>
          <c:val>
            <c:numRef>
              <c:f>Database!$B$7:$B$11</c:f>
              <c:numCache>
                <c:formatCode>_("₺"* #,##0_);_("₺"* \(#,##0\);_("₺"* "-"_);_(@_)</c:formatCode>
                <c:ptCount val="4"/>
                <c:pt idx="0">
                  <c:v>7954250</c:v>
                </c:pt>
                <c:pt idx="1">
                  <c:v>15147000</c:v>
                </c:pt>
                <c:pt idx="2">
                  <c:v>34772500</c:v>
                </c:pt>
                <c:pt idx="3">
                  <c:v>43037750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ED-4393-9A36-11B30D886FC4}"/>
            </c:ext>
          </c:extLst>
        </c:ser>
        <c:ser>
          <c:idx val="1"/>
          <c:order val="1"/>
          <c:tx>
            <c:strRef>
              <c:f>Database!$C$6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Database!$A$7:$A$11</c:f>
              <c:strCache>
                <c:ptCount val="4"/>
                <c:pt idx="0">
                  <c:v>Zeynep Yılmaz</c:v>
                </c:pt>
                <c:pt idx="1">
                  <c:v>Ahmet Yavuz</c:v>
                </c:pt>
                <c:pt idx="2">
                  <c:v>Akif Karaca</c:v>
                </c:pt>
                <c:pt idx="3">
                  <c:v>Emre Akyüz</c:v>
                </c:pt>
              </c:strCache>
            </c:strRef>
          </c:cat>
          <c:val>
            <c:numRef>
              <c:f>Database!$C$7:$C$11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17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ED-4393-9A36-11B30D886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100"/>
        <c:axId val="371546688"/>
        <c:axId val="371547168"/>
      </c:barChart>
      <c:catAx>
        <c:axId val="37154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1547168"/>
        <c:crosses val="autoZero"/>
        <c:auto val="1"/>
        <c:lblAlgn val="ctr"/>
        <c:lblOffset val="100"/>
        <c:noMultiLvlLbl val="0"/>
      </c:catAx>
      <c:valAx>
        <c:axId val="371547168"/>
        <c:scaling>
          <c:orientation val="minMax"/>
        </c:scaling>
        <c:delete val="1"/>
        <c:axPos val="b"/>
        <c:numFmt formatCode="_(&quot;₺&quot;* #,##0_);_(&quot;₺&quot;* \(#,##0\);_(&quot;₺&quot;* &quot;-&quot;_);_(@_)" sourceLinked="1"/>
        <c:majorTickMark val="none"/>
        <c:minorTickMark val="none"/>
        <c:tickLblPos val="nextTo"/>
        <c:crossAx val="371546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softEdge rad="0"/>
          </a:effectLst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 cap="flat">
          <a:noFill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softEdge rad="1270000"/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tr-T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800" b="0" i="0" u="none" strike="noStrike" baseline="0"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</a:rPr>
              <a:t>Monthly Sales Trend (Units)</a:t>
            </a:r>
            <a:endParaRPr lang="tr-T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outerShdw blurRad="50800" dist="127000" dir="5400000" algn="ctr" rotWithShape="0">
                  <a:srgbClr val="000000">
                    <a:alpha val="10000"/>
                  </a:srgbClr>
                </a:outerShdw>
              </a:effectLst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2.5270718830247566E-2"/>
          <c:y val="3.1621267561096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tr-T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outerShdw blurRad="50800" dist="127000" dir="5400000" algn="ctr" rotWithShape="0">
                  <a:srgbClr val="000000">
                    <a:alpha val="1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6350">
              <a:solidFill>
                <a:schemeClr val="accent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6350">
              <a:solidFill>
                <a:schemeClr val="accent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>
            <a:outerShdw blurRad="50800" dist="50800" dir="5400000" algn="ctr" rotWithShape="0">
              <a:srgbClr val="000000">
                <a:alpha val="40000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6350">
              <a:solidFill>
                <a:schemeClr val="accent2">
                  <a:lumMod val="75000"/>
                </a:schemeClr>
              </a:solidFill>
            </a:ln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Database!$B$14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>
                    <a:lumMod val="75000"/>
                  </a:schemeClr>
                </a:solidFill>
              </a:ln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Database!$A$15:$A$21</c:f>
              <c:strCache>
                <c:ptCount val="6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Ağu</c:v>
                </c:pt>
                <c:pt idx="4">
                  <c:v>Eyl</c:v>
                </c:pt>
                <c:pt idx="5">
                  <c:v>Eki</c:v>
                </c:pt>
              </c:strCache>
            </c:strRef>
          </c:cat>
          <c:val>
            <c:numRef>
              <c:f>Database!$B$15:$B$21</c:f>
              <c:numCache>
                <c:formatCode>General</c:formatCode>
                <c:ptCount val="6"/>
                <c:pt idx="0">
                  <c:v>2</c:v>
                </c:pt>
                <c:pt idx="1">
                  <c:v>11</c:v>
                </c:pt>
                <c:pt idx="2">
                  <c:v>15</c:v>
                </c:pt>
                <c:pt idx="3">
                  <c:v>5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4-4CB3-9C4D-56654BF806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0782560"/>
        <c:axId val="1773996432"/>
      </c:lineChart>
      <c:catAx>
        <c:axId val="70078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3996432"/>
        <c:crosses val="autoZero"/>
        <c:auto val="1"/>
        <c:lblAlgn val="ctr"/>
        <c:lblOffset val="100"/>
        <c:noMultiLvlLbl val="0"/>
      </c:catAx>
      <c:valAx>
        <c:axId val="1773996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78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softEdge rad="1270000"/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tr-T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Sales Breakdown By Brand</a:t>
            </a:r>
          </a:p>
        </c:rich>
      </c:tx>
      <c:layout>
        <c:manualLayout>
          <c:xMode val="edge"/>
          <c:yMode val="edge"/>
          <c:x val="3.1368540304835532E-2"/>
          <c:y val="5.7673007670055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tr-T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outerShdw blurRad="50800" dist="127000" dir="5400000" algn="ctr" rotWithShape="0">
                  <a:srgbClr val="000000">
                    <a:alpha val="1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-4.6196735527690392E-3"/>
              <c:y val="4.31372549019607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0"/>
              <c:y val="-2.35294117647058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3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4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5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-4.6196735527690392E-3"/>
              <c:y val="4.31372549019607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2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3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-4.6196735527690392E-3"/>
              <c:y val="4.31372549019607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29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0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1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-4.6196735527690392E-3"/>
              <c:y val="4.31372549019607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7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8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9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-4.6196735527690392E-3"/>
              <c:y val="4.31372549019607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Database!$B$25</c:f>
              <c:strCache>
                <c:ptCount val="1"/>
                <c:pt idx="0">
                  <c:v>Toplam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  <a:outerShdw blurRad="50800" dist="50800" dir="5400000" algn="ctr" rotWithShape="0">
                <a:srgbClr val="000000">
                  <a:alpha val="30000"/>
                </a:srgbClr>
              </a:outerShdw>
              <a:softEdge rad="0"/>
            </a:effectLst>
          </c:spPr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0DD5-49A8-8D3C-0BE02FF1997B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0DD5-49A8-8D3C-0BE02FF1997B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0DD5-49A8-8D3C-0BE02FF1997B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0DD5-49A8-8D3C-0BE02FF1997B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0DD5-49A8-8D3C-0BE02FF1997B}"/>
              </c:ext>
            </c:extLst>
          </c:dPt>
          <c:dPt>
            <c:idx val="5"/>
            <c:bubble3D val="0"/>
            <c:spPr>
              <a:solidFill>
                <a:srgbClr val="224822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0DD5-49A8-8D3C-0BE02FF1997B}"/>
              </c:ext>
            </c:extLst>
          </c:dPt>
          <c:dPt>
            <c:idx val="6"/>
            <c:bubble3D val="0"/>
            <c:spPr>
              <a:solidFill>
                <a:srgbClr val="163012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D-0DD5-49A8-8D3C-0BE02FF1997B}"/>
              </c:ext>
            </c:extLst>
          </c:dPt>
          <c:dLbls>
            <c:dLbl>
              <c:idx val="6"/>
              <c:layout>
                <c:manualLayout>
                  <c:x val="-4.6196735527690392E-3"/>
                  <c:y val="4.31372549019607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DD5-49A8-8D3C-0BE02FF199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effectLst>
                      <a:glow>
                        <a:schemeClr val="accent1"/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Database!$A$26:$A$33</c:f>
              <c:strCache>
                <c:ptCount val="7"/>
                <c:pt idx="0">
                  <c:v>Renault</c:v>
                </c:pt>
                <c:pt idx="1">
                  <c:v>Nissan</c:v>
                </c:pt>
                <c:pt idx="2">
                  <c:v>Hyundai</c:v>
                </c:pt>
                <c:pt idx="3">
                  <c:v>Opel</c:v>
                </c:pt>
                <c:pt idx="4">
                  <c:v>Ford</c:v>
                </c:pt>
                <c:pt idx="5">
                  <c:v>Audi</c:v>
                </c:pt>
                <c:pt idx="6">
                  <c:v>Volkswagen</c:v>
                </c:pt>
              </c:strCache>
            </c:strRef>
          </c:cat>
          <c:val>
            <c:numRef>
              <c:f>Database!$B$26:$B$33</c:f>
              <c:numCache>
                <c:formatCode>_("₺"* #,##0_);_("₺"* \(#,##0\);_("₺"* "-"_);_(@_)</c:formatCode>
                <c:ptCount val="7"/>
                <c:pt idx="0">
                  <c:v>3118500</c:v>
                </c:pt>
                <c:pt idx="1">
                  <c:v>6174000</c:v>
                </c:pt>
                <c:pt idx="2">
                  <c:v>7255500</c:v>
                </c:pt>
                <c:pt idx="3">
                  <c:v>7954250</c:v>
                </c:pt>
                <c:pt idx="4">
                  <c:v>15147000</c:v>
                </c:pt>
                <c:pt idx="5">
                  <c:v>17325000</c:v>
                </c:pt>
                <c:pt idx="6">
                  <c:v>43937250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DD5-49A8-8D3C-0BE02FF199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1777781355108548E-2"/>
          <c:y val="0.32370419001861234"/>
          <c:w val="0.14955561750811422"/>
          <c:h val="0.48390034129824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glow>
                  <a:schemeClr val="accent1"/>
                </a:glow>
              </a:effectLst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1270000"/>
    </a:effectLst>
  </c:spPr>
  <c:txPr>
    <a:bodyPr/>
    <a:lstStyle/>
    <a:p>
      <a:pPr>
        <a:defRPr>
          <a:effectLst>
            <a:glow>
              <a:schemeClr val="accent1"/>
            </a:glow>
          </a:effectLst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tr-T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outerShdw blurRad="50800" dist="127000" dir="5400000" algn="ctr" rotWithShape="0">
                    <a:srgbClr val="000000">
                      <a:alpha val="10000"/>
                    </a:srgbClr>
                  </a:outerShdw>
                </a:effectLst>
                <a:latin typeface="+mn-lt"/>
                <a:ea typeface="+mn-ea"/>
                <a:cs typeface="+mn-cs"/>
              </a:rPr>
              <a:t>Sales Distribution</a:t>
            </a:r>
          </a:p>
        </c:rich>
      </c:tx>
      <c:layout>
        <c:manualLayout>
          <c:xMode val="edge"/>
          <c:yMode val="edge"/>
          <c:x val="5.199206530308683E-2"/>
          <c:y val="6.149733915056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tr-T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outerShdw blurRad="50800" dist="127000" dir="5400000" algn="ctr" rotWithShape="0">
                  <a:srgbClr val="000000">
                    <a:alpha val="1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2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3"/>
        <c:spPr>
          <a:solidFill>
            <a:srgbClr val="2B5C1A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4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B5C1A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7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8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B5C1A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12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13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14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Database!$B$36</c:f>
              <c:strCache>
                <c:ptCount val="1"/>
                <c:pt idx="0">
                  <c:v>Toplam</c:v>
                </c:pt>
              </c:strCache>
            </c:strRef>
          </c:tx>
          <c:spPr>
            <a:effectLst>
              <a:outerShdw blurRad="50800" dist="50800" dir="5400000" algn="ctr" rotWithShape="0">
                <a:srgbClr val="000000">
                  <a:alpha val="30000"/>
                </a:srgbClr>
              </a:outerShdw>
            </a:effectLst>
          </c:spPr>
          <c:dPt>
            <c:idx val="0"/>
            <c:bubble3D val="0"/>
            <c:spPr>
              <a:solidFill>
                <a:srgbClr val="2B5C1A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CC-466B-ACD3-074290050A39}"/>
              </c:ext>
            </c:extLst>
          </c:dPt>
          <c:dPt>
            <c:idx val="1"/>
            <c:bubble3D val="0"/>
            <c:spPr>
              <a:solidFill>
                <a:srgbClr val="224822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CC-466B-ACD3-074290050A39}"/>
              </c:ext>
            </c:extLst>
          </c:dPt>
          <c:dPt>
            <c:idx val="2"/>
            <c:bubble3D val="0"/>
            <c:spPr>
              <a:solidFill>
                <a:srgbClr val="163012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CC-466B-ACD3-074290050A39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CC-466B-ACD3-074290050A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Database!$A$37:$A$41</c:f>
              <c:strCache>
                <c:ptCount val="4"/>
                <c:pt idx="0">
                  <c:v>Ahmet Yavuz</c:v>
                </c:pt>
                <c:pt idx="1">
                  <c:v>Akif Karaca</c:v>
                </c:pt>
                <c:pt idx="2">
                  <c:v>Emre Akyüz</c:v>
                </c:pt>
                <c:pt idx="3">
                  <c:v>Zeynep Yılmaz</c:v>
                </c:pt>
              </c:strCache>
            </c:strRef>
          </c:cat>
          <c:val>
            <c:numRef>
              <c:f>Database!$B$37:$B$41</c:f>
              <c:numCache>
                <c:formatCode>General</c:formatCode>
                <c:ptCount val="4"/>
                <c:pt idx="0">
                  <c:v>15147000</c:v>
                </c:pt>
                <c:pt idx="1">
                  <c:v>34772500</c:v>
                </c:pt>
                <c:pt idx="2">
                  <c:v>43037750</c:v>
                </c:pt>
                <c:pt idx="3">
                  <c:v>7954250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CC-466B-ACD3-074290050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7.6666654593177758E-2"/>
          <c:y val="0.43012788541157215"/>
          <c:w val="0.1801448113152726"/>
          <c:h val="0.275186313232220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1270000"/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Database!$B$6</c:f>
              <c:strCache>
                <c:ptCount val="1"/>
                <c:pt idx="0">
                  <c:v>Total Sales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0-4EE1-82BF-21A810D3F85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50-4EE1-82BF-21A810D3F85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50-4EE1-82BF-21A810D3F85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50-4EE1-82BF-21A810D3F8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Database!$A$7:$A$11</c:f>
              <c:strCache>
                <c:ptCount val="4"/>
                <c:pt idx="0">
                  <c:v>Zeynep Yılmaz</c:v>
                </c:pt>
                <c:pt idx="1">
                  <c:v>Ahmet Yavuz</c:v>
                </c:pt>
                <c:pt idx="2">
                  <c:v>Akif Karaca</c:v>
                </c:pt>
                <c:pt idx="3">
                  <c:v>Emre Akyüz</c:v>
                </c:pt>
              </c:strCache>
            </c:strRef>
          </c:cat>
          <c:val>
            <c:numRef>
              <c:f>Database!$B$7:$B$11</c:f>
              <c:numCache>
                <c:formatCode>_("₺"* #,##0_);_("₺"* \(#,##0\);_("₺"* "-"_);_(@_)</c:formatCode>
                <c:ptCount val="4"/>
                <c:pt idx="0">
                  <c:v>7954250</c:v>
                </c:pt>
                <c:pt idx="1">
                  <c:v>15147000</c:v>
                </c:pt>
                <c:pt idx="2">
                  <c:v>34772500</c:v>
                </c:pt>
                <c:pt idx="3">
                  <c:v>43037750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0-4EE1-82BF-21A810D3F85C}"/>
            </c:ext>
          </c:extLst>
        </c:ser>
        <c:ser>
          <c:idx val="1"/>
          <c:order val="1"/>
          <c:tx>
            <c:strRef>
              <c:f>Database!$C$6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Database!$A$7:$A$11</c:f>
              <c:strCache>
                <c:ptCount val="4"/>
                <c:pt idx="0">
                  <c:v>Zeynep Yılmaz</c:v>
                </c:pt>
                <c:pt idx="1">
                  <c:v>Ahmet Yavuz</c:v>
                </c:pt>
                <c:pt idx="2">
                  <c:v>Akif Karaca</c:v>
                </c:pt>
                <c:pt idx="3">
                  <c:v>Emre Akyüz</c:v>
                </c:pt>
              </c:strCache>
            </c:strRef>
          </c:cat>
          <c:val>
            <c:numRef>
              <c:f>Database!$C$7:$C$11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17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0-4EE1-82BF-21A810D3F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1"/>
        <c:overlap val="100"/>
        <c:axId val="371546688"/>
        <c:axId val="371547168"/>
      </c:barChart>
      <c:catAx>
        <c:axId val="37154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1547168"/>
        <c:crosses val="autoZero"/>
        <c:auto val="1"/>
        <c:lblAlgn val="ctr"/>
        <c:lblOffset val="100"/>
        <c:noMultiLvlLbl val="0"/>
      </c:catAx>
      <c:valAx>
        <c:axId val="371547168"/>
        <c:scaling>
          <c:orientation val="minMax"/>
        </c:scaling>
        <c:delete val="1"/>
        <c:axPos val="b"/>
        <c:numFmt formatCode="_(&quot;₺&quot;* #,##0_);_(&quot;₺&quot;* \(#,##0\);_(&quot;₺&quot;* &quot;-&quot;_);_(@_)" sourceLinked="1"/>
        <c:majorTickMark val="none"/>
        <c:minorTickMark val="none"/>
        <c:tickLblPos val="nextTo"/>
        <c:crossAx val="37154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6350">
              <a:solidFill>
                <a:schemeClr val="accent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Database!$B$14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Database!$A$15:$A$21</c:f>
              <c:strCache>
                <c:ptCount val="6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Ağu</c:v>
                </c:pt>
                <c:pt idx="4">
                  <c:v>Eyl</c:v>
                </c:pt>
                <c:pt idx="5">
                  <c:v>Eki</c:v>
                </c:pt>
              </c:strCache>
            </c:strRef>
          </c:cat>
          <c:val>
            <c:numRef>
              <c:f>Database!$B$15:$B$21</c:f>
              <c:numCache>
                <c:formatCode>General</c:formatCode>
                <c:ptCount val="6"/>
                <c:pt idx="0">
                  <c:v>2</c:v>
                </c:pt>
                <c:pt idx="1">
                  <c:v>11</c:v>
                </c:pt>
                <c:pt idx="2">
                  <c:v>15</c:v>
                </c:pt>
                <c:pt idx="3">
                  <c:v>5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4-4C0E-A5E1-E27A4E5D73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0782560"/>
        <c:axId val="1773996432"/>
      </c:lineChart>
      <c:catAx>
        <c:axId val="70078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3996432"/>
        <c:crosses val="autoZero"/>
        <c:auto val="1"/>
        <c:lblAlgn val="ctr"/>
        <c:lblOffset val="100"/>
        <c:noMultiLvlLbl val="0"/>
      </c:catAx>
      <c:valAx>
        <c:axId val="1773996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78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301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-4.6196735527690392E-3"/>
              <c:y val="4.31372549019607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3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st="50800" dir="5400000" algn="ctr" rotWithShape="0">
              <a:srgbClr val="000000">
                <a:alpha val="30000"/>
              </a:srgbClr>
            </a:outerShdw>
            <a:softEdge rad="0"/>
          </a:effectLst>
        </c:spPr>
        <c:dLbl>
          <c:idx val="0"/>
          <c:layout>
            <c:manualLayout>
              <c:x val="0"/>
              <c:y val="-2.35294117647058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Database!$B$25</c:f>
              <c:strCache>
                <c:ptCount val="1"/>
                <c:pt idx="0">
                  <c:v>Toplam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  <a:outerShdw blurRad="50800" dist="50800" dir="5400000" algn="ctr" rotWithShape="0">
                <a:srgbClr val="000000">
                  <a:alpha val="30000"/>
                </a:srgbClr>
              </a:outerShdw>
              <a:softEdge rad="0"/>
            </a:effectLst>
          </c:spPr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3E72-4D97-AC0C-C8FCF224B984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4-3E72-4D97-AC0C-C8FCF224B984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3E72-4D97-AC0C-C8FCF224B984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6-3E72-4D97-AC0C-C8FCF224B984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3E72-4D97-AC0C-C8FCF224B984}"/>
              </c:ext>
            </c:extLst>
          </c:dPt>
          <c:dPt>
            <c:idx val="5"/>
            <c:bubble3D val="0"/>
            <c:spPr>
              <a:solidFill>
                <a:srgbClr val="224822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8-3E72-4D97-AC0C-C8FCF224B984}"/>
              </c:ext>
            </c:extLst>
          </c:dPt>
          <c:dPt>
            <c:idx val="6"/>
            <c:bubble3D val="0"/>
            <c:spPr>
              <a:solidFill>
                <a:srgbClr val="163012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algn="ctr" rotWithShape="0">
                  <a:srgbClr val="000000">
                    <a:alpha val="3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3E72-4D97-AC0C-C8FCF224B984}"/>
              </c:ext>
            </c:extLst>
          </c:dPt>
          <c:dLbls>
            <c:dLbl>
              <c:idx val="0"/>
              <c:layout>
                <c:manualLayout>
                  <c:x val="0"/>
                  <c:y val="-2.35294117647058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72-4D97-AC0C-C8FCF224B984}"/>
                </c:ext>
              </c:extLst>
            </c:dLbl>
            <c:dLbl>
              <c:idx val="6"/>
              <c:layout>
                <c:manualLayout>
                  <c:x val="-4.6196735527690392E-3"/>
                  <c:y val="4.31372549019607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72-4D97-AC0C-C8FCF224B9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Database!$A$26:$A$33</c:f>
              <c:strCache>
                <c:ptCount val="7"/>
                <c:pt idx="0">
                  <c:v>Renault</c:v>
                </c:pt>
                <c:pt idx="1">
                  <c:v>Nissan</c:v>
                </c:pt>
                <c:pt idx="2">
                  <c:v>Hyundai</c:v>
                </c:pt>
                <c:pt idx="3">
                  <c:v>Opel</c:v>
                </c:pt>
                <c:pt idx="4">
                  <c:v>Ford</c:v>
                </c:pt>
                <c:pt idx="5">
                  <c:v>Audi</c:v>
                </c:pt>
                <c:pt idx="6">
                  <c:v>Volkswagen</c:v>
                </c:pt>
              </c:strCache>
            </c:strRef>
          </c:cat>
          <c:val>
            <c:numRef>
              <c:f>Database!$B$26:$B$33</c:f>
              <c:numCache>
                <c:formatCode>_("₺"* #,##0_);_("₺"* \(#,##0\);_("₺"* "-"_);_(@_)</c:formatCode>
                <c:ptCount val="7"/>
                <c:pt idx="0">
                  <c:v>3118500</c:v>
                </c:pt>
                <c:pt idx="1">
                  <c:v>6174000</c:v>
                </c:pt>
                <c:pt idx="2">
                  <c:v>7255500</c:v>
                </c:pt>
                <c:pt idx="3">
                  <c:v>7954250</c:v>
                </c:pt>
                <c:pt idx="4">
                  <c:v>15147000</c:v>
                </c:pt>
                <c:pt idx="5">
                  <c:v>17325000</c:v>
                </c:pt>
                <c:pt idx="6">
                  <c:v>43937250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2-4D97-AC0C-C8FCF224B9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[Sales_Tracking.xlsx]Database!PivotTable4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2"/>
        <c:spPr>
          <a:solidFill>
            <a:srgbClr val="224822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3"/>
        <c:spPr>
          <a:solidFill>
            <a:srgbClr val="2B5C1A"/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  <c:pivotFmt>
        <c:idx val="4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st="50800" dir="5400000" algn="ctr" rotWithShape="0">
              <a:srgbClr val="000000">
                <a:alpha val="30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Database!$B$36</c:f>
              <c:strCache>
                <c:ptCount val="1"/>
                <c:pt idx="0">
                  <c:v>Toplam</c:v>
                </c:pt>
              </c:strCache>
            </c:strRef>
          </c:tx>
          <c:spPr>
            <a:effectLst>
              <a:outerShdw blurRad="50800" dist="50800" dir="5400000" algn="ctr" rotWithShape="0">
                <a:srgbClr val="000000">
                  <a:alpha val="30000"/>
                </a:srgbClr>
              </a:outerShdw>
            </a:effectLst>
          </c:spPr>
          <c:dPt>
            <c:idx val="0"/>
            <c:bubble3D val="0"/>
            <c:spPr>
              <a:solidFill>
                <a:srgbClr val="2B5C1A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249-46D2-909F-B14402183205}"/>
              </c:ext>
            </c:extLst>
          </c:dPt>
          <c:dPt>
            <c:idx val="1"/>
            <c:bubble3D val="0"/>
            <c:spPr>
              <a:solidFill>
                <a:srgbClr val="224822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49-46D2-909F-B14402183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249-46D2-909F-B14402183205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49-46D2-909F-B14402183205}"/>
              </c:ext>
            </c:extLst>
          </c:dPt>
          <c:cat>
            <c:strRef>
              <c:f>Database!$A$37:$A$41</c:f>
              <c:strCache>
                <c:ptCount val="4"/>
                <c:pt idx="0">
                  <c:v>Ahmet Yavuz</c:v>
                </c:pt>
                <c:pt idx="1">
                  <c:v>Akif Karaca</c:v>
                </c:pt>
                <c:pt idx="2">
                  <c:v>Emre Akyüz</c:v>
                </c:pt>
                <c:pt idx="3">
                  <c:v>Zeynep Yılmaz</c:v>
                </c:pt>
              </c:strCache>
            </c:strRef>
          </c:cat>
          <c:val>
            <c:numRef>
              <c:f>Database!$B$37:$B$41</c:f>
              <c:numCache>
                <c:formatCode>General</c:formatCode>
                <c:ptCount val="4"/>
                <c:pt idx="0">
                  <c:v>15147000</c:v>
                </c:pt>
                <c:pt idx="1">
                  <c:v>34772500</c:v>
                </c:pt>
                <c:pt idx="2">
                  <c:v>43037750</c:v>
                </c:pt>
                <c:pt idx="3">
                  <c:v>7954250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9-46D2-909F-B14402183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[Sales_Tracking.xlsx]Database!PivotTable6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Database!$B$44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DC-4887-A3A8-61921A4F71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DC-4887-A3A8-61921A4F71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DC-4887-A3A8-61921A4F71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DDC-4887-A3A8-61921A4F71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DDC-4887-A3A8-61921A4F71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DDC-4887-A3A8-61921A4F71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DDC-4887-A3A8-61921A4F71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DDC-4887-A3A8-61921A4F71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Database!$A$45:$A$53</c:f>
              <c:strCache>
                <c:ptCount val="8"/>
                <c:pt idx="0">
                  <c:v>i20</c:v>
                </c:pt>
                <c:pt idx="1">
                  <c:v>Arteon</c:v>
                </c:pt>
                <c:pt idx="2">
                  <c:v>Tiguan</c:v>
                </c:pt>
                <c:pt idx="3">
                  <c:v>Kuga</c:v>
                </c:pt>
                <c:pt idx="4">
                  <c:v>A5</c:v>
                </c:pt>
                <c:pt idx="5">
                  <c:v>Megane</c:v>
                </c:pt>
                <c:pt idx="6">
                  <c:v>Astra</c:v>
                </c:pt>
                <c:pt idx="7">
                  <c:v>Corsa-e</c:v>
                </c:pt>
              </c:strCache>
            </c:strRef>
          </c:cat>
          <c:val>
            <c:numRef>
              <c:f>Database!$B$45:$B$53</c:f>
              <c:numCache>
                <c:formatCode>General</c:formatCode>
                <c:ptCount val="8"/>
                <c:pt idx="0">
                  <c:v>13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0-4DEF-9986-BC7658D11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3.xml"/><Relationship Id="rId18" Type="http://schemas.openxmlformats.org/officeDocument/2006/relationships/image" Target="../media/image10.svg"/><Relationship Id="rId3" Type="http://schemas.openxmlformats.org/officeDocument/2006/relationships/hyperlink" Target="#Sales!A1"/><Relationship Id="rId7" Type="http://schemas.openxmlformats.org/officeDocument/2006/relationships/image" Target="../media/image4.png"/><Relationship Id="rId12" Type="http://schemas.openxmlformats.org/officeDocument/2006/relationships/chart" Target="../charts/chart2.xml"/><Relationship Id="rId17" Type="http://schemas.openxmlformats.org/officeDocument/2006/relationships/image" Target="../media/image9.png"/><Relationship Id="rId2" Type="http://schemas.openxmlformats.org/officeDocument/2006/relationships/image" Target="../media/image2.png"/><Relationship Id="rId16" Type="http://schemas.openxmlformats.org/officeDocument/2006/relationships/image" Target="../media/image8.svg"/><Relationship Id="rId1" Type="http://schemas.openxmlformats.org/officeDocument/2006/relationships/hyperlink" Target="#Staff!A1"/><Relationship Id="rId6" Type="http://schemas.openxmlformats.org/officeDocument/2006/relationships/image" Target="../media/image3.png"/><Relationship Id="rId11" Type="http://schemas.openxmlformats.org/officeDocument/2006/relationships/chart" Target="../charts/chart1.xml"/><Relationship Id="rId5" Type="http://schemas.openxmlformats.org/officeDocument/2006/relationships/hyperlink" Target="#Dashboard!A1"/><Relationship Id="rId15" Type="http://schemas.openxmlformats.org/officeDocument/2006/relationships/image" Target="../media/image7.png"/><Relationship Id="rId10" Type="http://schemas.microsoft.com/office/2007/relationships/hdphoto" Target="../media/hdphoto1.wdp"/><Relationship Id="rId19" Type="http://schemas.openxmlformats.org/officeDocument/2006/relationships/image" Target="../media/image11.emf"/><Relationship Id="rId4" Type="http://schemas.openxmlformats.org/officeDocument/2006/relationships/hyperlink" Target="#Products!A1"/><Relationship Id="rId9" Type="http://schemas.openxmlformats.org/officeDocument/2006/relationships/image" Target="../media/image6.png"/><Relationship Id="rId1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Sales!A1"/><Relationship Id="rId7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hyperlink" Target="#Staff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10" Type="http://schemas.microsoft.com/office/2007/relationships/hdphoto" Target="../media/hdphoto1.wdp"/><Relationship Id="rId4" Type="http://schemas.openxmlformats.org/officeDocument/2006/relationships/hyperlink" Target="#Products!A1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Sales!A1"/><Relationship Id="rId7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hyperlink" Target="#Staff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10" Type="http://schemas.microsoft.com/office/2007/relationships/hdphoto" Target="../media/hdphoto1.wdp"/><Relationship Id="rId4" Type="http://schemas.openxmlformats.org/officeDocument/2006/relationships/hyperlink" Target="#Products!A1"/><Relationship Id="rId9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hyperlink" Target="#Sales!A1"/><Relationship Id="rId7" Type="http://schemas.openxmlformats.org/officeDocument/2006/relationships/image" Target="../media/image15.png"/><Relationship Id="rId2" Type="http://schemas.openxmlformats.org/officeDocument/2006/relationships/image" Target="../media/image13.png"/><Relationship Id="rId1" Type="http://schemas.openxmlformats.org/officeDocument/2006/relationships/hyperlink" Target="#Staff!A1"/><Relationship Id="rId6" Type="http://schemas.openxmlformats.org/officeDocument/2006/relationships/image" Target="../media/image14.png"/><Relationship Id="rId5" Type="http://schemas.openxmlformats.org/officeDocument/2006/relationships/hyperlink" Target="#Dashboard!A1"/><Relationship Id="rId10" Type="http://schemas.microsoft.com/office/2007/relationships/hdphoto" Target="../media/hdphoto1.wdp"/><Relationship Id="rId4" Type="http://schemas.openxmlformats.org/officeDocument/2006/relationships/hyperlink" Target="#Products!A1"/><Relationship Id="rId9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8287</xdr:rowOff>
    </xdr:from>
    <xdr:to>
      <xdr:col>5</xdr:col>
      <xdr:colOff>219356</xdr:colOff>
      <xdr:row>5</xdr:row>
      <xdr:rowOff>128416</xdr:rowOff>
    </xdr:to>
    <xdr:sp macro="" textlink="">
      <xdr:nvSpPr>
        <xdr:cNvPr id="37" name="Dikdörtgen: Köşeleri Yuvarlatılmış 36">
          <a:extLst>
            <a:ext uri="{FF2B5EF4-FFF2-40B4-BE49-F238E27FC236}">
              <a16:creationId xmlns:a16="http://schemas.microsoft.com/office/drawing/2014/main" id="{2F5D1F6C-A331-4620-B222-0AE8693AF345}"/>
            </a:ext>
          </a:extLst>
        </xdr:cNvPr>
        <xdr:cNvSpPr/>
      </xdr:nvSpPr>
      <xdr:spPr>
        <a:xfrm>
          <a:off x="0" y="190504"/>
          <a:ext cx="1461747" cy="848999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1">
              <a:solidFill>
                <a:schemeClr val="bg1"/>
              </a:solidFill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</a:rPr>
            <a:t>Sales Tracking</a:t>
          </a:r>
        </a:p>
      </xdr:txBody>
    </xdr:sp>
    <xdr:clientData/>
  </xdr:twoCellAnchor>
  <xdr:twoCellAnchor>
    <xdr:from>
      <xdr:col>0</xdr:col>
      <xdr:colOff>134025</xdr:colOff>
      <xdr:row>6</xdr:row>
      <xdr:rowOff>181111</xdr:rowOff>
    </xdr:from>
    <xdr:to>
      <xdr:col>5</xdr:col>
      <xdr:colOff>81315</xdr:colOff>
      <xdr:row>18</xdr:row>
      <xdr:rowOff>171995</xdr:rowOff>
    </xdr:to>
    <xdr:grpSp>
      <xdr:nvGrpSpPr>
        <xdr:cNvPr id="38" name="Grup 37">
          <a:extLst>
            <a:ext uri="{FF2B5EF4-FFF2-40B4-BE49-F238E27FC236}">
              <a16:creationId xmlns:a16="http://schemas.microsoft.com/office/drawing/2014/main" id="{9748E2A6-6C35-40E0-B53C-0CEBA5832BDD}"/>
            </a:ext>
          </a:extLst>
        </xdr:cNvPr>
        <xdr:cNvGrpSpPr/>
      </xdr:nvGrpSpPr>
      <xdr:grpSpPr>
        <a:xfrm>
          <a:off x="134025" y="1280149"/>
          <a:ext cx="1192867" cy="2188961"/>
          <a:chOff x="191752" y="917657"/>
          <a:chExt cx="1189681" cy="2177493"/>
        </a:xfrm>
      </xdr:grpSpPr>
      <xdr:sp macro="" textlink="">
        <xdr:nvSpPr>
          <xdr:cNvPr id="39" name="Dikdörtgen: Çapraz Köşeleri Yuvarlatılmış 3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637D0C3-FE41-E273-877E-CAC45C5FD5F5}"/>
              </a:ext>
            </a:extLst>
          </xdr:cNvPr>
          <xdr:cNvSpPr/>
        </xdr:nvSpPr>
        <xdr:spPr>
          <a:xfrm>
            <a:off x="191752" y="2736382"/>
            <a:ext cx="1170449" cy="313596"/>
          </a:xfrm>
          <a:prstGeom prst="round2Diag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76200" dist="12700" dir="2700000" sy="-23000" kx="-800400" algn="bl" rotWithShape="0">
              <a:prstClr val="black">
                <a:alpha val="20000"/>
              </a:prstClr>
            </a:outerShdw>
          </a:effectLst>
          <a:scene3d>
            <a:camera prst="obliqueTopRight"/>
            <a:lightRig rig="threePt" dir="t"/>
          </a:scene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tr-TR" sz="1200"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  <a:outerShdw blurRad="50800" dist="38100" dir="18900000" algn="bl" rotWithShape="0">
                    <a:prstClr val="black">
                      <a:alpha val="40000"/>
                    </a:prstClr>
                  </a:outerShdw>
                </a:effectLst>
                <a:latin typeface="Bahnschrift" panose="020B0502040204020203" pitchFamily="34" charset="0"/>
              </a:rPr>
              <a:t>Staff</a:t>
            </a:r>
          </a:p>
        </xdr:txBody>
      </xdr:sp>
      <xdr:pic>
        <xdr:nvPicPr>
          <xdr:cNvPr id="40" name="Resim 39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042E9F2-CF30-FFE4-BDF5-E1251ECC0E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6874" y="2720750"/>
            <a:ext cx="380280" cy="374400"/>
          </a:xfrm>
          <a:prstGeom prst="rect">
            <a:avLst/>
          </a:prstGeom>
        </xdr:spPr>
      </xdr:pic>
      <xdr:grpSp>
        <xdr:nvGrpSpPr>
          <xdr:cNvPr id="41" name="Grup 40">
            <a:extLst>
              <a:ext uri="{FF2B5EF4-FFF2-40B4-BE49-F238E27FC236}">
                <a16:creationId xmlns:a16="http://schemas.microsoft.com/office/drawing/2014/main" id="{35BE473F-CD01-81DA-1286-F1DB6475F953}"/>
              </a:ext>
            </a:extLst>
          </xdr:cNvPr>
          <xdr:cNvGrpSpPr/>
        </xdr:nvGrpSpPr>
        <xdr:grpSpPr>
          <a:xfrm>
            <a:off x="191752" y="917657"/>
            <a:ext cx="1189681" cy="1576116"/>
            <a:chOff x="191752" y="917657"/>
            <a:chExt cx="1189681" cy="1576116"/>
          </a:xfrm>
        </xdr:grpSpPr>
        <xdr:sp macro="" textlink="">
          <xdr:nvSpPr>
            <xdr:cNvPr id="42" name="Dikdörtgen: Çapraz Köşeleri Yuvarlatılmış 4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497F59AA-B5CA-9861-6AA5-172EF74BD964}"/>
                </a:ext>
              </a:extLst>
            </xdr:cNvPr>
            <xdr:cNvSpPr/>
          </xdr:nvSpPr>
          <xdr:spPr>
            <a:xfrm>
              <a:off x="191752" y="2150783"/>
              <a:ext cx="1170449" cy="305314"/>
            </a:xfrm>
            <a:prstGeom prst="round2Diag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  <a:scene3d>
              <a:camera prst="obliqueTopRight"/>
              <a:lightRig rig="threePt" dir="t"/>
            </a:scene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tr-TR" sz="1200">
                  <a:effectLst>
                    <a:glow rad="63500">
                      <a:schemeClr val="accent3">
                        <a:satMod val="175000"/>
                        <a:alpha val="40000"/>
                      </a:schemeClr>
                    </a:glow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Bahnschrift" panose="020B0502040204020203" pitchFamily="34" charset="0"/>
                </a:rPr>
                <a:t>Sales</a:t>
              </a:r>
            </a:p>
          </xdr:txBody>
        </xdr:sp>
        <xdr:grpSp>
          <xdr:nvGrpSpPr>
            <xdr:cNvPr id="43" name="Grup 42">
              <a:extLst>
                <a:ext uri="{FF2B5EF4-FFF2-40B4-BE49-F238E27FC236}">
                  <a16:creationId xmlns:a16="http://schemas.microsoft.com/office/drawing/2014/main" id="{BAC2FC30-9D04-A13F-6111-50D9E24F055D}"/>
                </a:ext>
              </a:extLst>
            </xdr:cNvPr>
            <xdr:cNvGrpSpPr/>
          </xdr:nvGrpSpPr>
          <xdr:grpSpPr>
            <a:xfrm>
              <a:off x="191752" y="917657"/>
              <a:ext cx="1189681" cy="984569"/>
              <a:chOff x="191752" y="917657"/>
              <a:chExt cx="1189681" cy="984569"/>
            </a:xfrm>
          </xdr:grpSpPr>
          <xdr:sp macro="" textlink="">
            <xdr:nvSpPr>
              <xdr:cNvPr id="45" name="Dikdörtgen: Çapraz Köşeleri Yuvarlatılmış 44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59005AB8-480E-172C-4F72-AAB6CF52B5C8}"/>
                  </a:ext>
                </a:extLst>
              </xdr:cNvPr>
              <xdr:cNvSpPr/>
            </xdr:nvSpPr>
            <xdr:spPr>
              <a:xfrm>
                <a:off x="191752" y="1556903"/>
                <a:ext cx="1170449" cy="305314"/>
              </a:xfrm>
              <a:prstGeom prst="round2DiagRect">
                <a:avLst/>
              </a:prstGeom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76200" dist="12700" dir="2700000" sy="-23000" kx="-800400" algn="bl" rotWithShape="0">
                  <a:prstClr val="black">
                    <a:alpha val="20000"/>
                  </a:prstClr>
                </a:outerShdw>
              </a:effectLst>
              <a:scene3d>
                <a:camera prst="obliqueTopRight"/>
                <a:lightRig rig="threePt" dir="t"/>
              </a:scene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rPr>
                  <a:t>Products</a:t>
                </a:r>
              </a:p>
            </xdr:txBody>
          </xdr:sp>
          <xdr:grpSp>
            <xdr:nvGrpSpPr>
              <xdr:cNvPr id="46" name="Grup 45">
                <a:extLst>
                  <a:ext uri="{FF2B5EF4-FFF2-40B4-BE49-F238E27FC236}">
                    <a16:creationId xmlns:a16="http://schemas.microsoft.com/office/drawing/2014/main" id="{00A8D1FD-C6D6-6607-163C-B54A11E6BA5C}"/>
                  </a:ext>
                </a:extLst>
              </xdr:cNvPr>
              <xdr:cNvGrpSpPr/>
            </xdr:nvGrpSpPr>
            <xdr:grpSpPr>
              <a:xfrm>
                <a:off x="191752" y="917657"/>
                <a:ext cx="1189681" cy="374432"/>
                <a:chOff x="191752" y="917657"/>
                <a:chExt cx="1189681" cy="374432"/>
              </a:xfrm>
            </xdr:grpSpPr>
            <xdr:sp macro="" textlink="">
              <xdr:nvSpPr>
                <xdr:cNvPr id="48" name="Dikdörtgen: Çapraz Köşeleri Yuvarlatılmış 47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86A16885-651E-F273-57BD-32F14C2516C7}"/>
                    </a:ext>
                  </a:extLst>
                </xdr:cNvPr>
                <xdr:cNvSpPr/>
              </xdr:nvSpPr>
              <xdr:spPr>
                <a:xfrm>
                  <a:off x="191752" y="963023"/>
                  <a:ext cx="1170449" cy="313596"/>
                </a:xfrm>
                <a:prstGeom prst="round2DiagRect">
                  <a:avLst/>
                </a:prstGeom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>
                  <a:outerShdw blurRad="76200" dist="12700" dir="2700000" sy="-23000" kx="-800400" algn="bl" rotWithShape="0">
                    <a:prstClr val="black">
                      <a:alpha val="20000"/>
                    </a:prstClr>
                  </a:outerShdw>
                </a:effectLst>
                <a:scene3d>
                  <a:camera prst="obliqueTopRight"/>
                  <a:lightRig rig="threePt" dir="t"/>
                </a:scene3d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tr-TR" sz="120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Main</a:t>
                  </a:r>
                  <a:r>
                    <a:rPr lang="tr-TR" sz="1200" baseline="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 Page</a:t>
                  </a:r>
                  <a:endPara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endParaRPr>
                </a:p>
              </xdr:txBody>
            </xdr:sp>
            <xdr:pic>
              <xdr:nvPicPr>
                <xdr:cNvPr id="49" name="Resim 48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661F1FD0-055F-588D-7C28-A989636A47D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05422" y="917657"/>
                  <a:ext cx="376011" cy="374432"/>
                </a:xfrm>
                <a:prstGeom prst="rect">
                  <a:avLst/>
                </a:prstGeom>
              </xdr:spPr>
            </xdr:pic>
          </xdr:grpSp>
          <xdr:pic>
            <xdr:nvPicPr>
              <xdr:cNvPr id="47" name="Resim 46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17E92515-6A73-41C2-62F3-75434DAF3BD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05438" y="1527826"/>
                <a:ext cx="375979" cy="374400"/>
              </a:xfrm>
              <a:prstGeom prst="rect">
                <a:avLst/>
              </a:prstGeom>
            </xdr:spPr>
          </xdr:pic>
        </xdr:grpSp>
        <xdr:pic>
          <xdr:nvPicPr>
            <xdr:cNvPr id="44" name="Resim 43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B6AADAAB-BCBA-D29A-7FED-F62604E1AF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86874" y="2119373"/>
              <a:ext cx="380280" cy="37440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0</xdr:col>
      <xdr:colOff>49521</xdr:colOff>
      <xdr:row>20</xdr:row>
      <xdr:rowOff>42473</xdr:rowOff>
    </xdr:from>
    <xdr:to>
      <xdr:col>5</xdr:col>
      <xdr:colOff>165819</xdr:colOff>
      <xdr:row>27</xdr:row>
      <xdr:rowOff>112302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260529DC-6084-460C-8E0C-DDD0562B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1" y="3686821"/>
          <a:ext cx="1358689" cy="1345351"/>
        </a:xfrm>
        <a:prstGeom prst="rect">
          <a:avLst/>
        </a:prstGeom>
      </xdr:spPr>
    </xdr:pic>
    <xdr:clientData/>
  </xdr:twoCellAnchor>
  <xdr:twoCellAnchor>
    <xdr:from>
      <xdr:col>7</xdr:col>
      <xdr:colOff>8282</xdr:colOff>
      <xdr:row>1</xdr:row>
      <xdr:rowOff>9851</xdr:rowOff>
    </xdr:from>
    <xdr:to>
      <xdr:col>20</xdr:col>
      <xdr:colOff>249620</xdr:colOff>
      <xdr:row>36</xdr:row>
      <xdr:rowOff>0</xdr:rowOff>
    </xdr:to>
    <xdr:sp macro="" textlink="">
      <xdr:nvSpPr>
        <xdr:cNvPr id="51" name="Dikdörtgen: Köşeleri Yuvarlatılmış 50">
          <a:extLst>
            <a:ext uri="{FF2B5EF4-FFF2-40B4-BE49-F238E27FC236}">
              <a16:creationId xmlns:a16="http://schemas.microsoft.com/office/drawing/2014/main" id="{EB6C7FE3-3C20-8660-A164-39A65C87EE87}"/>
            </a:ext>
          </a:extLst>
        </xdr:cNvPr>
        <xdr:cNvSpPr/>
      </xdr:nvSpPr>
      <xdr:spPr>
        <a:xfrm>
          <a:off x="1755627" y="193782"/>
          <a:ext cx="3486407" cy="6427735"/>
        </a:xfrm>
        <a:prstGeom prst="roundRect">
          <a:avLst/>
        </a:prstGeom>
        <a:solidFill>
          <a:schemeClr val="bg1"/>
        </a:solidFill>
        <a:ln w="3175">
          <a:solidFill>
            <a:schemeClr val="accent2">
              <a:lumMod val="40000"/>
              <a:lumOff val="60000"/>
            </a:schemeClr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22</xdr:col>
      <xdr:colOff>18412</xdr:colOff>
      <xdr:row>1</xdr:row>
      <xdr:rowOff>1700</xdr:rowOff>
    </xdr:from>
    <xdr:to>
      <xdr:col>52</xdr:col>
      <xdr:colOff>0</xdr:colOff>
      <xdr:row>18</xdr:row>
      <xdr:rowOff>0</xdr:rowOff>
    </xdr:to>
    <xdr:grpSp>
      <xdr:nvGrpSpPr>
        <xdr:cNvPr id="87" name="Grup 86">
          <a:extLst>
            <a:ext uri="{FF2B5EF4-FFF2-40B4-BE49-F238E27FC236}">
              <a16:creationId xmlns:a16="http://schemas.microsoft.com/office/drawing/2014/main" id="{E4FC9E59-3D38-2B96-8513-CF9C868D9DEB}"/>
            </a:ext>
          </a:extLst>
        </xdr:cNvPr>
        <xdr:cNvGrpSpPr/>
      </xdr:nvGrpSpPr>
      <xdr:grpSpPr>
        <a:xfrm>
          <a:off x="5498950" y="184873"/>
          <a:ext cx="7455050" cy="3112242"/>
          <a:chOff x="4477577" y="182675"/>
          <a:chExt cx="7411088" cy="3074875"/>
        </a:xfrm>
      </xdr:grpSpPr>
      <xdr:sp macro="" textlink="">
        <xdr:nvSpPr>
          <xdr:cNvPr id="52" name="Dikdörtgen: Köşeleri Yuvarlatılmış 51">
            <a:extLst>
              <a:ext uri="{FF2B5EF4-FFF2-40B4-BE49-F238E27FC236}">
                <a16:creationId xmlns:a16="http://schemas.microsoft.com/office/drawing/2014/main" id="{813E0033-8D96-4556-9136-D11EBE4DE26E}"/>
              </a:ext>
            </a:extLst>
          </xdr:cNvPr>
          <xdr:cNvSpPr/>
        </xdr:nvSpPr>
        <xdr:spPr>
          <a:xfrm>
            <a:off x="4477577" y="182675"/>
            <a:ext cx="7411088" cy="3074875"/>
          </a:xfrm>
          <a:prstGeom prst="roundRect">
            <a:avLst/>
          </a:prstGeom>
          <a:solidFill>
            <a:schemeClr val="bg1"/>
          </a:solidFill>
          <a:ln w="3175"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62" name="Grafik 61">
            <a:extLst>
              <a:ext uri="{FF2B5EF4-FFF2-40B4-BE49-F238E27FC236}">
                <a16:creationId xmlns:a16="http://schemas.microsoft.com/office/drawing/2014/main" id="{CD4A2D80-3482-440C-AAF0-04407426C302}"/>
              </a:ext>
            </a:extLst>
          </xdr:cNvPr>
          <xdr:cNvGraphicFramePr>
            <a:graphicFrameLocks/>
          </xdr:cNvGraphicFramePr>
        </xdr:nvGraphicFramePr>
        <xdr:xfrm>
          <a:off x="4596911" y="183195"/>
          <a:ext cx="7187802" cy="30743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22</xdr:col>
      <xdr:colOff>18412</xdr:colOff>
      <xdr:row>19</xdr:row>
      <xdr:rowOff>1700</xdr:rowOff>
    </xdr:from>
    <xdr:to>
      <xdr:col>52</xdr:col>
      <xdr:colOff>0</xdr:colOff>
      <xdr:row>36</xdr:row>
      <xdr:rowOff>0</xdr:rowOff>
    </xdr:to>
    <xdr:grpSp>
      <xdr:nvGrpSpPr>
        <xdr:cNvPr id="89" name="Grup 88">
          <a:extLst>
            <a:ext uri="{FF2B5EF4-FFF2-40B4-BE49-F238E27FC236}">
              <a16:creationId xmlns:a16="http://schemas.microsoft.com/office/drawing/2014/main" id="{7FF2B907-9DE7-9094-ED6A-5A70932E8E9F}"/>
            </a:ext>
          </a:extLst>
        </xdr:cNvPr>
        <xdr:cNvGrpSpPr/>
      </xdr:nvGrpSpPr>
      <xdr:grpSpPr>
        <a:xfrm>
          <a:off x="5498950" y="3481988"/>
          <a:ext cx="7455050" cy="3112243"/>
          <a:chOff x="4476112" y="3440225"/>
          <a:chExt cx="7411088" cy="3074875"/>
        </a:xfrm>
      </xdr:grpSpPr>
      <xdr:sp macro="" textlink="">
        <xdr:nvSpPr>
          <xdr:cNvPr id="67" name="Dikdörtgen: Köşeleri Yuvarlatılmış 66">
            <a:extLst>
              <a:ext uri="{FF2B5EF4-FFF2-40B4-BE49-F238E27FC236}">
                <a16:creationId xmlns:a16="http://schemas.microsoft.com/office/drawing/2014/main" id="{0221448E-46DA-417C-9B4B-E11407EC2BB9}"/>
              </a:ext>
            </a:extLst>
          </xdr:cNvPr>
          <xdr:cNvSpPr/>
        </xdr:nvSpPr>
        <xdr:spPr>
          <a:xfrm>
            <a:off x="4476112" y="3440225"/>
            <a:ext cx="7411088" cy="3074875"/>
          </a:xfrm>
          <a:prstGeom prst="roundRect">
            <a:avLst/>
          </a:prstGeom>
          <a:solidFill>
            <a:schemeClr val="bg1"/>
          </a:solidFill>
          <a:ln w="3175"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63" name="Grafik 62">
            <a:extLst>
              <a:ext uri="{FF2B5EF4-FFF2-40B4-BE49-F238E27FC236}">
                <a16:creationId xmlns:a16="http://schemas.microsoft.com/office/drawing/2014/main" id="{60481121-5C5E-4E72-9921-B846BF314072}"/>
              </a:ext>
            </a:extLst>
          </xdr:cNvPr>
          <xdr:cNvGraphicFramePr>
            <a:graphicFrameLocks/>
          </xdr:cNvGraphicFramePr>
        </xdr:nvGraphicFramePr>
        <xdr:xfrm>
          <a:off x="4711975" y="3542605"/>
          <a:ext cx="7051400" cy="2791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54</xdr:col>
      <xdr:colOff>0</xdr:colOff>
      <xdr:row>1</xdr:row>
      <xdr:rowOff>0</xdr:rowOff>
    </xdr:from>
    <xdr:to>
      <xdr:col>74</xdr:col>
      <xdr:colOff>0</xdr:colOff>
      <xdr:row>18</xdr:row>
      <xdr:rowOff>0</xdr:rowOff>
    </xdr:to>
    <xdr:grpSp>
      <xdr:nvGrpSpPr>
        <xdr:cNvPr id="88" name="Grup 87">
          <a:extLst>
            <a:ext uri="{FF2B5EF4-FFF2-40B4-BE49-F238E27FC236}">
              <a16:creationId xmlns:a16="http://schemas.microsoft.com/office/drawing/2014/main" id="{8321BE41-C8CB-CBE0-5B95-482B9368EA13}"/>
            </a:ext>
          </a:extLst>
        </xdr:cNvPr>
        <xdr:cNvGrpSpPr/>
      </xdr:nvGrpSpPr>
      <xdr:grpSpPr>
        <a:xfrm>
          <a:off x="13452231" y="183173"/>
          <a:ext cx="4982307" cy="3113942"/>
          <a:chOff x="12134850" y="180975"/>
          <a:chExt cx="4953000" cy="3076575"/>
        </a:xfrm>
      </xdr:grpSpPr>
      <xdr:sp macro="" textlink="">
        <xdr:nvSpPr>
          <xdr:cNvPr id="55" name="Dikdörtgen: Köşeleri Yuvarlatılmış 54">
            <a:extLst>
              <a:ext uri="{FF2B5EF4-FFF2-40B4-BE49-F238E27FC236}">
                <a16:creationId xmlns:a16="http://schemas.microsoft.com/office/drawing/2014/main" id="{5AB64E70-5A9C-495E-92B3-35DE23EE3037}"/>
              </a:ext>
            </a:extLst>
          </xdr:cNvPr>
          <xdr:cNvSpPr/>
        </xdr:nvSpPr>
        <xdr:spPr>
          <a:xfrm>
            <a:off x="12146445" y="180975"/>
            <a:ext cx="4198455" cy="3076575"/>
          </a:xfrm>
          <a:prstGeom prst="roundRect">
            <a:avLst/>
          </a:prstGeom>
          <a:solidFill>
            <a:schemeClr val="bg1"/>
          </a:solidFill>
          <a:ln w="3175"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solidFill>
                <a:schemeClr val="lt1"/>
              </a:solidFill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65" name="Grafik 64">
            <a:extLst>
              <a:ext uri="{FF2B5EF4-FFF2-40B4-BE49-F238E27FC236}">
                <a16:creationId xmlns:a16="http://schemas.microsoft.com/office/drawing/2014/main" id="{42708722-2D8C-480A-93C0-AB964323EACD}"/>
              </a:ext>
            </a:extLst>
          </xdr:cNvPr>
          <xdr:cNvGraphicFramePr>
            <a:graphicFrameLocks/>
          </xdr:cNvGraphicFramePr>
        </xdr:nvGraphicFramePr>
        <xdr:xfrm>
          <a:off x="12134850" y="192149"/>
          <a:ext cx="4953000" cy="30630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54</xdr:col>
      <xdr:colOff>827</xdr:colOff>
      <xdr:row>19</xdr:row>
      <xdr:rowOff>0</xdr:rowOff>
    </xdr:from>
    <xdr:to>
      <xdr:col>73</xdr:col>
      <xdr:colOff>0</xdr:colOff>
      <xdr:row>36</xdr:row>
      <xdr:rowOff>1241</xdr:rowOff>
    </xdr:to>
    <xdr:grpSp>
      <xdr:nvGrpSpPr>
        <xdr:cNvPr id="90" name="Grup 89">
          <a:extLst>
            <a:ext uri="{FF2B5EF4-FFF2-40B4-BE49-F238E27FC236}">
              <a16:creationId xmlns:a16="http://schemas.microsoft.com/office/drawing/2014/main" id="{29A458CD-FB3E-1406-C908-6DFB800C9783}"/>
            </a:ext>
          </a:extLst>
        </xdr:cNvPr>
        <xdr:cNvGrpSpPr/>
      </xdr:nvGrpSpPr>
      <xdr:grpSpPr>
        <a:xfrm>
          <a:off x="13453058" y="3480288"/>
          <a:ext cx="4732365" cy="3115184"/>
          <a:chOff x="13373927" y="3438525"/>
          <a:chExt cx="4704523" cy="3077816"/>
        </a:xfrm>
      </xdr:grpSpPr>
      <xdr:sp macro="" textlink="">
        <xdr:nvSpPr>
          <xdr:cNvPr id="68" name="Dikdörtgen: Köşeleri Yuvarlatılmış 67">
            <a:extLst>
              <a:ext uri="{FF2B5EF4-FFF2-40B4-BE49-F238E27FC236}">
                <a16:creationId xmlns:a16="http://schemas.microsoft.com/office/drawing/2014/main" id="{1DF5BCBE-30E2-4D97-8B26-B3C51F79134A}"/>
              </a:ext>
            </a:extLst>
          </xdr:cNvPr>
          <xdr:cNvSpPr/>
        </xdr:nvSpPr>
        <xdr:spPr>
          <a:xfrm>
            <a:off x="13384695" y="3438525"/>
            <a:ext cx="4198455" cy="3076575"/>
          </a:xfrm>
          <a:prstGeom prst="roundRect">
            <a:avLst/>
          </a:prstGeom>
          <a:solidFill>
            <a:schemeClr val="bg1"/>
          </a:solidFill>
          <a:ln w="3175"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solidFill>
                <a:schemeClr val="lt1"/>
              </a:solidFill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69" name="Grafik 68">
            <a:extLst>
              <a:ext uri="{FF2B5EF4-FFF2-40B4-BE49-F238E27FC236}">
                <a16:creationId xmlns:a16="http://schemas.microsoft.com/office/drawing/2014/main" id="{F13C9790-3E65-4B89-B7A0-14E083EA2831}"/>
              </a:ext>
            </a:extLst>
          </xdr:cNvPr>
          <xdr:cNvGraphicFramePr>
            <a:graphicFrameLocks/>
          </xdr:cNvGraphicFramePr>
        </xdr:nvGraphicFramePr>
        <xdr:xfrm>
          <a:off x="13373927" y="3438525"/>
          <a:ext cx="4704523" cy="30778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>
    <xdr:from>
      <xdr:col>7</xdr:col>
      <xdr:colOff>0</xdr:colOff>
      <xdr:row>3</xdr:row>
      <xdr:rowOff>8282</xdr:rowOff>
    </xdr:from>
    <xdr:to>
      <xdr:col>14</xdr:col>
      <xdr:colOff>0</xdr:colOff>
      <xdr:row>4</xdr:row>
      <xdr:rowOff>169825</xdr:rowOff>
    </xdr:to>
    <xdr:sp macro="" textlink="">
      <xdr:nvSpPr>
        <xdr:cNvPr id="70" name="Dikdörtgen: Köşeleri Yuvarlatılmış 69">
          <a:extLst>
            <a:ext uri="{FF2B5EF4-FFF2-40B4-BE49-F238E27FC236}">
              <a16:creationId xmlns:a16="http://schemas.microsoft.com/office/drawing/2014/main" id="{5B802246-3A3C-400D-933C-C9B1A33F7140}"/>
            </a:ext>
          </a:extLst>
        </xdr:cNvPr>
        <xdr:cNvSpPr/>
      </xdr:nvSpPr>
      <xdr:spPr>
        <a:xfrm>
          <a:off x="1747345" y="560075"/>
          <a:ext cx="1747345" cy="345474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8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Total Revenue</a:t>
          </a:r>
          <a:endParaRPr lang="tr-TR" sz="1800" b="1">
            <a:solidFill>
              <a:schemeClr val="tx1">
                <a:lumMod val="65000"/>
                <a:lumOff val="35000"/>
              </a:schemeClr>
            </a:solidFill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78828</xdr:colOff>
      <xdr:row>5</xdr:row>
      <xdr:rowOff>70369</xdr:rowOff>
    </xdr:from>
    <xdr:to>
      <xdr:col>13</xdr:col>
      <xdr:colOff>78828</xdr:colOff>
      <xdr:row>7</xdr:row>
      <xdr:rowOff>49695</xdr:rowOff>
    </xdr:to>
    <xdr:sp macro="" textlink="Database!C1">
      <xdr:nvSpPr>
        <xdr:cNvPr id="71" name="Dikdörtgen: Köşeleri Yuvarlatılmış 70">
          <a:extLst>
            <a:ext uri="{FF2B5EF4-FFF2-40B4-BE49-F238E27FC236}">
              <a16:creationId xmlns:a16="http://schemas.microsoft.com/office/drawing/2014/main" id="{AB47F9C3-E53B-4C83-8A38-640717D36ADF}"/>
            </a:ext>
          </a:extLst>
        </xdr:cNvPr>
        <xdr:cNvSpPr/>
      </xdr:nvSpPr>
      <xdr:spPr>
        <a:xfrm>
          <a:off x="1826173" y="990024"/>
          <a:ext cx="1497724" cy="347188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3D4BDCE-EF42-419E-B547-E531C5C4C064}" type="TxLink">
            <a:rPr lang="en-US" sz="1600" b="0" i="0" u="none" strike="noStrike">
              <a:solidFill>
                <a:srgbClr val="000000"/>
              </a:solidFill>
              <a:latin typeface="Bahnschrift" panose="020B0502040204020203" pitchFamily="34" charset="0"/>
            </a:rPr>
            <a:pPr algn="l"/>
            <a:t> ₺100.911.500 </a:t>
          </a:fld>
          <a:endParaRPr lang="tr-TR" sz="2800" b="1">
            <a:solidFill>
              <a:schemeClr val="tx1">
                <a:lumMod val="65000"/>
                <a:lumOff val="35000"/>
              </a:schemeClr>
            </a:solidFill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ahnschrift" panose="020B0502040204020203" pitchFamily="34" charset="0"/>
          </a:endParaRPr>
        </a:p>
      </xdr:txBody>
    </xdr:sp>
    <xdr:clientData/>
  </xdr:twoCellAnchor>
  <xdr:twoCellAnchor editAs="oneCell">
    <xdr:from>
      <xdr:col>16</xdr:col>
      <xdr:colOff>223630</xdr:colOff>
      <xdr:row>3</xdr:row>
      <xdr:rowOff>33337</xdr:rowOff>
    </xdr:from>
    <xdr:to>
      <xdr:col>20</xdr:col>
      <xdr:colOff>0</xdr:colOff>
      <xdr:row>7</xdr:row>
      <xdr:rowOff>73508</xdr:rowOff>
    </xdr:to>
    <xdr:pic>
      <xdr:nvPicPr>
        <xdr:cNvPr id="77" name="Grafik 76" descr="Dolar ana hat">
          <a:extLst>
            <a:ext uri="{FF2B5EF4-FFF2-40B4-BE49-F238E27FC236}">
              <a16:creationId xmlns:a16="http://schemas.microsoft.com/office/drawing/2014/main" id="{9785C725-2B0C-E1C2-157D-1AAE0CB1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7561" y="585130"/>
          <a:ext cx="774853" cy="7758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11</xdr:row>
      <xdr:rowOff>160301</xdr:rowOff>
    </xdr:to>
    <xdr:sp macro="" textlink="">
      <xdr:nvSpPr>
        <xdr:cNvPr id="78" name="Dikdörtgen: Köşeleri Yuvarlatılmış 77">
          <a:extLst>
            <a:ext uri="{FF2B5EF4-FFF2-40B4-BE49-F238E27FC236}">
              <a16:creationId xmlns:a16="http://schemas.microsoft.com/office/drawing/2014/main" id="{8839E2FD-DC35-4188-9784-BBADBB1AD193}"/>
            </a:ext>
          </a:extLst>
        </xdr:cNvPr>
        <xdr:cNvSpPr/>
      </xdr:nvSpPr>
      <xdr:spPr>
        <a:xfrm>
          <a:off x="1747345" y="1839310"/>
          <a:ext cx="1747345" cy="344232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8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Total Units Sold</a:t>
          </a:r>
          <a:endParaRPr lang="tr-TR" sz="1800" b="1">
            <a:solidFill>
              <a:schemeClr val="tx1">
                <a:lumMod val="65000"/>
                <a:lumOff val="35000"/>
              </a:schemeClr>
            </a:solidFill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ahnschrift" panose="020B0502040204020203" pitchFamily="34" charset="0"/>
          </a:endParaRPr>
        </a:p>
      </xdr:txBody>
    </xdr:sp>
    <xdr:clientData/>
  </xdr:twoCellAnchor>
  <xdr:twoCellAnchor>
    <xdr:from>
      <xdr:col>8</xdr:col>
      <xdr:colOff>0</xdr:colOff>
      <xdr:row>12</xdr:row>
      <xdr:rowOff>91556</xdr:rowOff>
    </xdr:from>
    <xdr:to>
      <xdr:col>10</xdr:col>
      <xdr:colOff>0</xdr:colOff>
      <xdr:row>14</xdr:row>
      <xdr:rowOff>72124</xdr:rowOff>
    </xdr:to>
    <xdr:sp macro="" textlink="Database!C2">
      <xdr:nvSpPr>
        <xdr:cNvPr id="79" name="Dikdörtgen: Köşeleri Yuvarlatılmış 78">
          <a:extLst>
            <a:ext uri="{FF2B5EF4-FFF2-40B4-BE49-F238E27FC236}">
              <a16:creationId xmlns:a16="http://schemas.microsoft.com/office/drawing/2014/main" id="{8BF56DED-B286-46D1-AFD4-DFA279140555}"/>
            </a:ext>
          </a:extLst>
        </xdr:cNvPr>
        <xdr:cNvSpPr/>
      </xdr:nvSpPr>
      <xdr:spPr>
        <a:xfrm>
          <a:off x="1996966" y="2298728"/>
          <a:ext cx="499241" cy="348430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0A96F6FE-C2A5-4BDE-B166-CE1A03865942}" type="TxLink">
            <a:rPr lang="en-US" sz="1600" b="0" i="0" u="none" strike="noStrike">
              <a:solidFill>
                <a:srgbClr val="000000"/>
              </a:solidFill>
              <a:latin typeface="Bahnschrift" panose="020B0502040204020203" pitchFamily="34" charset="0"/>
            </a:rPr>
            <a:pPr algn="l"/>
            <a:t>47</a:t>
          </a:fld>
          <a:endParaRPr lang="tr-TR" sz="2800" b="1">
            <a:solidFill>
              <a:schemeClr val="tx1">
                <a:lumMod val="65000"/>
                <a:lumOff val="35000"/>
              </a:schemeClr>
            </a:solidFill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ahnschrift" panose="020B0502040204020203" pitchFamily="34" charset="0"/>
          </a:endParaRPr>
        </a:p>
      </xdr:txBody>
    </xdr:sp>
    <xdr:clientData/>
  </xdr:twoCellAnchor>
  <xdr:twoCellAnchor>
    <xdr:from>
      <xdr:col>6</xdr:col>
      <xdr:colOff>228600</xdr:colOff>
      <xdr:row>18</xdr:row>
      <xdr:rowOff>0</xdr:rowOff>
    </xdr:from>
    <xdr:to>
      <xdr:col>20</xdr:col>
      <xdr:colOff>0</xdr:colOff>
      <xdr:row>23</xdr:row>
      <xdr:rowOff>1</xdr:rowOff>
    </xdr:to>
    <xdr:sp macro="" textlink="">
      <xdr:nvSpPr>
        <xdr:cNvPr id="82" name="Dikdörtgen: Köşeleri Yuvarlatılmış 81">
          <a:extLst>
            <a:ext uri="{FF2B5EF4-FFF2-40B4-BE49-F238E27FC236}">
              <a16:creationId xmlns:a16="http://schemas.microsoft.com/office/drawing/2014/main" id="{FFE72D68-4A2C-4693-9923-78E985E4C97B}"/>
            </a:ext>
          </a:extLst>
        </xdr:cNvPr>
        <xdr:cNvSpPr/>
      </xdr:nvSpPr>
      <xdr:spPr>
        <a:xfrm>
          <a:off x="1726324" y="3310759"/>
          <a:ext cx="3266090" cy="919656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8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Top 3 Best-Selling Products</a:t>
          </a:r>
          <a:endParaRPr lang="tr-TR" sz="1800" b="1">
            <a:solidFill>
              <a:schemeClr val="tx1">
                <a:lumMod val="65000"/>
                <a:lumOff val="35000"/>
              </a:schemeClr>
            </a:solidFill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ahnschrift" panose="020B0502040204020203" pitchFamily="34" charset="0"/>
          </a:endParaRPr>
        </a:p>
      </xdr:txBody>
    </xdr:sp>
    <xdr:clientData/>
  </xdr:twoCellAnchor>
  <xdr:twoCellAnchor editAs="oneCell">
    <xdr:from>
      <xdr:col>16</xdr:col>
      <xdr:colOff>229371</xdr:colOff>
      <xdr:row>9</xdr:row>
      <xdr:rowOff>152400</xdr:rowOff>
    </xdr:from>
    <xdr:to>
      <xdr:col>20</xdr:col>
      <xdr:colOff>0</xdr:colOff>
      <xdr:row>14</xdr:row>
      <xdr:rowOff>10725</xdr:rowOff>
    </xdr:to>
    <xdr:pic>
      <xdr:nvPicPr>
        <xdr:cNvPr id="84" name="Grafik 83" descr="Gelen Kutusu Onay işareti düz dolguyla">
          <a:extLst>
            <a:ext uri="{FF2B5EF4-FFF2-40B4-BE49-F238E27FC236}">
              <a16:creationId xmlns:a16="http://schemas.microsoft.com/office/drawing/2014/main" id="{128FA511-895D-4F49-085B-62E4D9A08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23302" y="1807779"/>
          <a:ext cx="769112" cy="77798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191510</xdr:colOff>
          <xdr:row>22</xdr:row>
          <xdr:rowOff>181840</xdr:rowOff>
        </xdr:from>
        <xdr:to>
          <xdr:col>19</xdr:col>
          <xdr:colOff>6158</xdr:colOff>
          <xdr:row>27</xdr:row>
          <xdr:rowOff>77930</xdr:rowOff>
        </xdr:to>
        <xdr:pic>
          <xdr:nvPicPr>
            <xdr:cNvPr id="86" name="Resim 85">
              <a:extLst>
                <a:ext uri="{FF2B5EF4-FFF2-40B4-BE49-F238E27FC236}">
                  <a16:creationId xmlns:a16="http://schemas.microsoft.com/office/drawing/2014/main" id="{E16D2584-0940-C54E-BB70-CE15FBD004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base!$A$56:$B$59" spid="_x0000_s1038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1949305" y="4182340"/>
              <a:ext cx="2828012" cy="80529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8287</xdr:rowOff>
    </xdr:from>
    <xdr:to>
      <xdr:col>5</xdr:col>
      <xdr:colOff>219356</xdr:colOff>
      <xdr:row>5</xdr:row>
      <xdr:rowOff>128416</xdr:rowOff>
    </xdr:to>
    <xdr:sp macro="" textlink="">
      <xdr:nvSpPr>
        <xdr:cNvPr id="37" name="Dikdörtgen: Köşeleri Yuvarlatılmış 36">
          <a:extLst>
            <a:ext uri="{FF2B5EF4-FFF2-40B4-BE49-F238E27FC236}">
              <a16:creationId xmlns:a16="http://schemas.microsoft.com/office/drawing/2014/main" id="{AEB7C143-DE17-49B8-A4E4-44A912CB1145}"/>
            </a:ext>
          </a:extLst>
        </xdr:cNvPr>
        <xdr:cNvSpPr/>
      </xdr:nvSpPr>
      <xdr:spPr>
        <a:xfrm>
          <a:off x="0" y="190504"/>
          <a:ext cx="1461747" cy="848999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1">
              <a:solidFill>
                <a:schemeClr val="bg1"/>
              </a:solidFill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</a:rPr>
            <a:t>Sales Tracking</a:t>
          </a:r>
        </a:p>
      </xdr:txBody>
    </xdr:sp>
    <xdr:clientData/>
  </xdr:twoCellAnchor>
  <xdr:twoCellAnchor>
    <xdr:from>
      <xdr:col>0</xdr:col>
      <xdr:colOff>134025</xdr:colOff>
      <xdr:row>6</xdr:row>
      <xdr:rowOff>181111</xdr:rowOff>
    </xdr:from>
    <xdr:to>
      <xdr:col>5</xdr:col>
      <xdr:colOff>81315</xdr:colOff>
      <xdr:row>18</xdr:row>
      <xdr:rowOff>171995</xdr:rowOff>
    </xdr:to>
    <xdr:grpSp>
      <xdr:nvGrpSpPr>
        <xdr:cNvPr id="38" name="Grup 37">
          <a:extLst>
            <a:ext uri="{FF2B5EF4-FFF2-40B4-BE49-F238E27FC236}">
              <a16:creationId xmlns:a16="http://schemas.microsoft.com/office/drawing/2014/main" id="{FBAA177B-4BFF-4580-8EB4-B3EFF4639287}"/>
            </a:ext>
          </a:extLst>
        </xdr:cNvPr>
        <xdr:cNvGrpSpPr/>
      </xdr:nvGrpSpPr>
      <xdr:grpSpPr>
        <a:xfrm>
          <a:off x="134025" y="1280149"/>
          <a:ext cx="1192867" cy="2188961"/>
          <a:chOff x="191752" y="917657"/>
          <a:chExt cx="1189681" cy="2177493"/>
        </a:xfrm>
      </xdr:grpSpPr>
      <xdr:sp macro="" textlink="">
        <xdr:nvSpPr>
          <xdr:cNvPr id="39" name="Dikdörtgen: Çapraz Köşeleri Yuvarlatılmış 3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17F3168-D533-5458-5587-B51C6E3F12C3}"/>
              </a:ext>
            </a:extLst>
          </xdr:cNvPr>
          <xdr:cNvSpPr/>
        </xdr:nvSpPr>
        <xdr:spPr>
          <a:xfrm>
            <a:off x="191752" y="2736382"/>
            <a:ext cx="1170449" cy="313596"/>
          </a:xfrm>
          <a:prstGeom prst="round2Diag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76200" dist="12700" dir="2700000" sy="-23000" kx="-800400" algn="bl" rotWithShape="0">
              <a:prstClr val="black">
                <a:alpha val="20000"/>
              </a:prstClr>
            </a:outerShdw>
          </a:effectLst>
          <a:scene3d>
            <a:camera prst="obliqueTopRight"/>
            <a:lightRig rig="threePt" dir="t"/>
          </a:scene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tr-TR" sz="1200"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  <a:outerShdw blurRad="50800" dist="38100" dir="18900000" algn="bl" rotWithShape="0">
                    <a:prstClr val="black">
                      <a:alpha val="40000"/>
                    </a:prstClr>
                  </a:outerShdw>
                </a:effectLst>
                <a:latin typeface="Bahnschrift" panose="020B0502040204020203" pitchFamily="34" charset="0"/>
              </a:rPr>
              <a:t>Staff</a:t>
            </a:r>
          </a:p>
        </xdr:txBody>
      </xdr:sp>
      <xdr:pic>
        <xdr:nvPicPr>
          <xdr:cNvPr id="40" name="Resim 39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79A7922-3954-0EF5-C1E9-C4FD1B4624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6874" y="2720750"/>
            <a:ext cx="380280" cy="374400"/>
          </a:xfrm>
          <a:prstGeom prst="rect">
            <a:avLst/>
          </a:prstGeom>
        </xdr:spPr>
      </xdr:pic>
      <xdr:grpSp>
        <xdr:nvGrpSpPr>
          <xdr:cNvPr id="41" name="Grup 40">
            <a:extLst>
              <a:ext uri="{FF2B5EF4-FFF2-40B4-BE49-F238E27FC236}">
                <a16:creationId xmlns:a16="http://schemas.microsoft.com/office/drawing/2014/main" id="{31173DB4-17B5-D681-8CD6-4429F583C60A}"/>
              </a:ext>
            </a:extLst>
          </xdr:cNvPr>
          <xdr:cNvGrpSpPr/>
        </xdr:nvGrpSpPr>
        <xdr:grpSpPr>
          <a:xfrm>
            <a:off x="191752" y="917657"/>
            <a:ext cx="1189681" cy="1576116"/>
            <a:chOff x="191752" y="917657"/>
            <a:chExt cx="1189681" cy="1576116"/>
          </a:xfrm>
        </xdr:grpSpPr>
        <xdr:sp macro="" textlink="">
          <xdr:nvSpPr>
            <xdr:cNvPr id="42" name="Dikdörtgen: Çapraz Köşeleri Yuvarlatılmış 4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D463ECE9-A24E-9B1B-70F7-81878D8EA142}"/>
                </a:ext>
              </a:extLst>
            </xdr:cNvPr>
            <xdr:cNvSpPr/>
          </xdr:nvSpPr>
          <xdr:spPr>
            <a:xfrm>
              <a:off x="191752" y="2150783"/>
              <a:ext cx="1170449" cy="305314"/>
            </a:xfrm>
            <a:prstGeom prst="round2Diag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  <a:scene3d>
              <a:camera prst="obliqueTopRight"/>
              <a:lightRig rig="threePt" dir="t"/>
            </a:scene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tr-TR" sz="1200">
                  <a:effectLst>
                    <a:glow rad="63500">
                      <a:schemeClr val="accent3">
                        <a:satMod val="175000"/>
                        <a:alpha val="40000"/>
                      </a:schemeClr>
                    </a:glow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Bahnschrift" panose="020B0502040204020203" pitchFamily="34" charset="0"/>
                </a:rPr>
                <a:t>Sales</a:t>
              </a:r>
            </a:p>
          </xdr:txBody>
        </xdr:sp>
        <xdr:grpSp>
          <xdr:nvGrpSpPr>
            <xdr:cNvPr id="43" name="Grup 42">
              <a:extLst>
                <a:ext uri="{FF2B5EF4-FFF2-40B4-BE49-F238E27FC236}">
                  <a16:creationId xmlns:a16="http://schemas.microsoft.com/office/drawing/2014/main" id="{EC229EE9-82CE-775E-2866-B25BE445AB3F}"/>
                </a:ext>
              </a:extLst>
            </xdr:cNvPr>
            <xdr:cNvGrpSpPr/>
          </xdr:nvGrpSpPr>
          <xdr:grpSpPr>
            <a:xfrm>
              <a:off x="191752" y="917657"/>
              <a:ext cx="1189681" cy="984569"/>
              <a:chOff x="191752" y="917657"/>
              <a:chExt cx="1189681" cy="984569"/>
            </a:xfrm>
          </xdr:grpSpPr>
          <xdr:sp macro="" textlink="">
            <xdr:nvSpPr>
              <xdr:cNvPr id="45" name="Dikdörtgen: Çapraz Köşeleri Yuvarlatılmış 44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A0506BD5-2D6E-9F4A-B61A-2EAFA8D04D18}"/>
                  </a:ext>
                </a:extLst>
              </xdr:cNvPr>
              <xdr:cNvSpPr/>
            </xdr:nvSpPr>
            <xdr:spPr>
              <a:xfrm>
                <a:off x="191752" y="1556903"/>
                <a:ext cx="1170449" cy="305314"/>
              </a:xfrm>
              <a:prstGeom prst="round2DiagRect">
                <a:avLst/>
              </a:prstGeom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76200" dist="12700" dir="2700000" sy="-23000" kx="-800400" algn="bl" rotWithShape="0">
                  <a:prstClr val="black">
                    <a:alpha val="20000"/>
                  </a:prstClr>
                </a:outerShdw>
              </a:effectLst>
              <a:scene3d>
                <a:camera prst="obliqueTopRight"/>
                <a:lightRig rig="threePt" dir="t"/>
              </a:scene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rPr>
                  <a:t>Products</a:t>
                </a:r>
              </a:p>
            </xdr:txBody>
          </xdr:sp>
          <xdr:grpSp>
            <xdr:nvGrpSpPr>
              <xdr:cNvPr id="46" name="Grup 45">
                <a:extLst>
                  <a:ext uri="{FF2B5EF4-FFF2-40B4-BE49-F238E27FC236}">
                    <a16:creationId xmlns:a16="http://schemas.microsoft.com/office/drawing/2014/main" id="{A95F555C-6E2F-DAA7-2F6F-4B5289835F19}"/>
                  </a:ext>
                </a:extLst>
              </xdr:cNvPr>
              <xdr:cNvGrpSpPr/>
            </xdr:nvGrpSpPr>
            <xdr:grpSpPr>
              <a:xfrm>
                <a:off x="191752" y="917657"/>
                <a:ext cx="1189681" cy="374432"/>
                <a:chOff x="191752" y="917657"/>
                <a:chExt cx="1189681" cy="374432"/>
              </a:xfrm>
            </xdr:grpSpPr>
            <xdr:sp macro="" textlink="">
              <xdr:nvSpPr>
                <xdr:cNvPr id="48" name="Dikdörtgen: Çapraz Köşeleri Yuvarlatılmış 47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D5FB3B55-788A-ED27-16C3-8BBF67EC53B9}"/>
                    </a:ext>
                  </a:extLst>
                </xdr:cNvPr>
                <xdr:cNvSpPr/>
              </xdr:nvSpPr>
              <xdr:spPr>
                <a:xfrm>
                  <a:off x="191752" y="963023"/>
                  <a:ext cx="1170449" cy="313596"/>
                </a:xfrm>
                <a:prstGeom prst="round2DiagRect">
                  <a:avLst/>
                </a:prstGeom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>
                  <a:outerShdw blurRad="76200" dist="12700" dir="2700000" sy="-23000" kx="-800400" algn="bl" rotWithShape="0">
                    <a:prstClr val="black">
                      <a:alpha val="20000"/>
                    </a:prstClr>
                  </a:outerShdw>
                </a:effectLst>
                <a:scene3d>
                  <a:camera prst="obliqueTopRight"/>
                  <a:lightRig rig="threePt" dir="t"/>
                </a:scene3d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tr-TR" sz="120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Main</a:t>
                  </a:r>
                  <a:r>
                    <a:rPr lang="tr-TR" sz="1200" baseline="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 Page</a:t>
                  </a:r>
                  <a:endPara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endParaRPr>
                </a:p>
              </xdr:txBody>
            </xdr:sp>
            <xdr:pic>
              <xdr:nvPicPr>
                <xdr:cNvPr id="49" name="Resim 48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8D4CF2E5-FEDF-CFBE-296B-37059583E8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05422" y="917657"/>
                  <a:ext cx="376011" cy="374432"/>
                </a:xfrm>
                <a:prstGeom prst="rect">
                  <a:avLst/>
                </a:prstGeom>
              </xdr:spPr>
            </xdr:pic>
          </xdr:grpSp>
          <xdr:pic>
            <xdr:nvPicPr>
              <xdr:cNvPr id="47" name="Resim 46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8C6A98F0-E711-A54C-2E94-BE640A2ABD9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05438" y="1527826"/>
                <a:ext cx="375979" cy="374400"/>
              </a:xfrm>
              <a:prstGeom prst="rect">
                <a:avLst/>
              </a:prstGeom>
            </xdr:spPr>
          </xdr:pic>
        </xdr:grpSp>
        <xdr:pic>
          <xdr:nvPicPr>
            <xdr:cNvPr id="44" name="Resim 43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71C7F700-C627-BAEC-8674-8E56B14394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86874" y="2119373"/>
              <a:ext cx="380280" cy="37440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0</xdr:col>
      <xdr:colOff>49521</xdr:colOff>
      <xdr:row>20</xdr:row>
      <xdr:rowOff>42473</xdr:rowOff>
    </xdr:from>
    <xdr:to>
      <xdr:col>5</xdr:col>
      <xdr:colOff>165819</xdr:colOff>
      <xdr:row>27</xdr:row>
      <xdr:rowOff>112302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49CBD888-E7A8-4274-8384-7CF24E3E5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1" y="3686821"/>
          <a:ext cx="1358689" cy="13453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12395</xdr:rowOff>
    </xdr:from>
    <xdr:to>
      <xdr:col>5</xdr:col>
      <xdr:colOff>219356</xdr:colOff>
      <xdr:row>5</xdr:row>
      <xdr:rowOff>132524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881DA4F2-1727-4D14-8AEE-82A8C2AE35D2}"/>
            </a:ext>
          </a:extLst>
        </xdr:cNvPr>
        <xdr:cNvSpPr/>
      </xdr:nvSpPr>
      <xdr:spPr>
        <a:xfrm>
          <a:off x="0" y="194612"/>
          <a:ext cx="1461747" cy="848999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1">
              <a:solidFill>
                <a:schemeClr val="bg1"/>
              </a:solidFill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</a:rPr>
            <a:t>Sales Tracking</a:t>
          </a:r>
        </a:p>
      </xdr:txBody>
    </xdr:sp>
    <xdr:clientData/>
  </xdr:twoCellAnchor>
  <xdr:twoCellAnchor>
    <xdr:from>
      <xdr:col>0</xdr:col>
      <xdr:colOff>134025</xdr:colOff>
      <xdr:row>7</xdr:row>
      <xdr:rowOff>3001</xdr:rowOff>
    </xdr:from>
    <xdr:to>
      <xdr:col>5</xdr:col>
      <xdr:colOff>81315</xdr:colOff>
      <xdr:row>18</xdr:row>
      <xdr:rowOff>176103</xdr:rowOff>
    </xdr:to>
    <xdr:grpSp>
      <xdr:nvGrpSpPr>
        <xdr:cNvPr id="25" name="Grup 24">
          <a:extLst>
            <a:ext uri="{FF2B5EF4-FFF2-40B4-BE49-F238E27FC236}">
              <a16:creationId xmlns:a16="http://schemas.microsoft.com/office/drawing/2014/main" id="{5E3D8F80-F453-E28D-55DA-9744622F59B2}"/>
            </a:ext>
          </a:extLst>
        </xdr:cNvPr>
        <xdr:cNvGrpSpPr/>
      </xdr:nvGrpSpPr>
      <xdr:grpSpPr>
        <a:xfrm>
          <a:off x="134025" y="1292539"/>
          <a:ext cx="1192867" cy="2202660"/>
          <a:chOff x="191752" y="917657"/>
          <a:chExt cx="1189681" cy="2177493"/>
        </a:xfrm>
      </xdr:grpSpPr>
      <xdr:sp macro="" textlink="">
        <xdr:nvSpPr>
          <xdr:cNvPr id="16" name="Dikdörtgen: Çapraz Köşeleri Yuvarlatılmış 1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5F9E752-7096-4F26-82F7-F0EC311F3F7E}"/>
              </a:ext>
            </a:extLst>
          </xdr:cNvPr>
          <xdr:cNvSpPr/>
        </xdr:nvSpPr>
        <xdr:spPr>
          <a:xfrm>
            <a:off x="191752" y="2736382"/>
            <a:ext cx="1170449" cy="313596"/>
          </a:xfrm>
          <a:prstGeom prst="round2Diag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76200" dist="12700" dir="2700000" sy="-23000" kx="-800400" algn="bl" rotWithShape="0">
              <a:prstClr val="black">
                <a:alpha val="20000"/>
              </a:prstClr>
            </a:outerShdw>
          </a:effectLst>
          <a:scene3d>
            <a:camera prst="obliqueTopRight"/>
            <a:lightRig rig="threePt" dir="t"/>
          </a:scene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tr-TR" sz="1200"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  <a:outerShdw blurRad="50800" dist="38100" dir="18900000" algn="bl" rotWithShape="0">
                    <a:prstClr val="black">
                      <a:alpha val="40000"/>
                    </a:prstClr>
                  </a:outerShdw>
                </a:effectLst>
                <a:latin typeface="Bahnschrift" panose="020B0502040204020203" pitchFamily="34" charset="0"/>
              </a:rPr>
              <a:t>Staff</a:t>
            </a:r>
          </a:p>
        </xdr:txBody>
      </xdr:sp>
      <xdr:pic>
        <xdr:nvPicPr>
          <xdr:cNvPr id="18" name="Resim 1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C66617F-1A6D-48EC-90F9-6F9D8BE893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6874" y="2720750"/>
            <a:ext cx="380280" cy="374400"/>
          </a:xfrm>
          <a:prstGeom prst="rect">
            <a:avLst/>
          </a:prstGeom>
        </xdr:spPr>
      </xdr:pic>
      <xdr:grpSp>
        <xdr:nvGrpSpPr>
          <xdr:cNvPr id="24" name="Grup 23">
            <a:extLst>
              <a:ext uri="{FF2B5EF4-FFF2-40B4-BE49-F238E27FC236}">
                <a16:creationId xmlns:a16="http://schemas.microsoft.com/office/drawing/2014/main" id="{27A5B0C6-ABF1-B433-6389-F27D965C3FE7}"/>
              </a:ext>
            </a:extLst>
          </xdr:cNvPr>
          <xdr:cNvGrpSpPr/>
        </xdr:nvGrpSpPr>
        <xdr:grpSpPr>
          <a:xfrm>
            <a:off x="191752" y="917657"/>
            <a:ext cx="1189681" cy="1576116"/>
            <a:chOff x="191752" y="917657"/>
            <a:chExt cx="1189681" cy="1576116"/>
          </a:xfrm>
        </xdr:grpSpPr>
        <xdr:sp macro="" textlink="">
          <xdr:nvSpPr>
            <xdr:cNvPr id="15" name="Dikdörtgen: Çapraz Köşeleri Yuvarlatılmış 14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5C280A06-8361-4186-B2D3-8EC62C859E93}"/>
                </a:ext>
              </a:extLst>
            </xdr:cNvPr>
            <xdr:cNvSpPr/>
          </xdr:nvSpPr>
          <xdr:spPr>
            <a:xfrm>
              <a:off x="191752" y="2150783"/>
              <a:ext cx="1170449" cy="305314"/>
            </a:xfrm>
            <a:prstGeom prst="round2Diag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  <a:scene3d>
              <a:camera prst="obliqueTopRight"/>
              <a:lightRig rig="threePt" dir="t"/>
            </a:scene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tr-TR" sz="1200">
                  <a:effectLst>
                    <a:glow rad="63500">
                      <a:schemeClr val="accent3">
                        <a:satMod val="175000"/>
                        <a:alpha val="40000"/>
                      </a:schemeClr>
                    </a:glow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Bahnschrift" panose="020B0502040204020203" pitchFamily="34" charset="0"/>
                </a:rPr>
                <a:t>Sales</a:t>
              </a:r>
            </a:p>
          </xdr:txBody>
        </xdr:sp>
        <xdr:grpSp>
          <xdr:nvGrpSpPr>
            <xdr:cNvPr id="23" name="Grup 22">
              <a:extLst>
                <a:ext uri="{FF2B5EF4-FFF2-40B4-BE49-F238E27FC236}">
                  <a16:creationId xmlns:a16="http://schemas.microsoft.com/office/drawing/2014/main" id="{2C6308FC-D141-AF43-F3A7-C1C96A788B8C}"/>
                </a:ext>
              </a:extLst>
            </xdr:cNvPr>
            <xdr:cNvGrpSpPr/>
          </xdr:nvGrpSpPr>
          <xdr:grpSpPr>
            <a:xfrm>
              <a:off x="191752" y="917657"/>
              <a:ext cx="1189681" cy="984569"/>
              <a:chOff x="191752" y="917657"/>
              <a:chExt cx="1189681" cy="984569"/>
            </a:xfrm>
          </xdr:grpSpPr>
          <xdr:sp macro="" textlink="">
            <xdr:nvSpPr>
              <xdr:cNvPr id="14" name="Dikdörtgen: Çapraz Köşeleri Yuvarlatılmış 13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5304FE02-1DB0-46FB-9880-767BFED9C250}"/>
                  </a:ext>
                </a:extLst>
              </xdr:cNvPr>
              <xdr:cNvSpPr/>
            </xdr:nvSpPr>
            <xdr:spPr>
              <a:xfrm>
                <a:off x="191752" y="1556903"/>
                <a:ext cx="1170449" cy="305314"/>
              </a:xfrm>
              <a:prstGeom prst="round2DiagRect">
                <a:avLst/>
              </a:prstGeom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76200" dist="12700" dir="2700000" sy="-23000" kx="-800400" algn="bl" rotWithShape="0">
                  <a:prstClr val="black">
                    <a:alpha val="20000"/>
                  </a:prstClr>
                </a:outerShdw>
              </a:effectLst>
              <a:scene3d>
                <a:camera prst="obliqueTopRight"/>
                <a:lightRig rig="threePt" dir="t"/>
              </a:scene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rPr>
                  <a:t>Products</a:t>
                </a:r>
              </a:p>
            </xdr:txBody>
          </xdr:sp>
          <xdr:grpSp>
            <xdr:nvGrpSpPr>
              <xdr:cNvPr id="22" name="Grup 21">
                <a:extLst>
                  <a:ext uri="{FF2B5EF4-FFF2-40B4-BE49-F238E27FC236}">
                    <a16:creationId xmlns:a16="http://schemas.microsoft.com/office/drawing/2014/main" id="{15141014-5577-737F-6B7A-B96538E09C2C}"/>
                  </a:ext>
                </a:extLst>
              </xdr:cNvPr>
              <xdr:cNvGrpSpPr/>
            </xdr:nvGrpSpPr>
            <xdr:grpSpPr>
              <a:xfrm>
                <a:off x="191752" y="917657"/>
                <a:ext cx="1189681" cy="374432"/>
                <a:chOff x="191752" y="917657"/>
                <a:chExt cx="1189681" cy="374432"/>
              </a:xfrm>
            </xdr:grpSpPr>
            <xdr:sp macro="" textlink="">
              <xdr:nvSpPr>
                <xdr:cNvPr id="13" name="Dikdörtgen: Çapraz Köşeleri Yuvarlatılmış 12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6DB7DD30-0146-4291-A2E7-26CE910032CB}"/>
                    </a:ext>
                  </a:extLst>
                </xdr:cNvPr>
                <xdr:cNvSpPr/>
              </xdr:nvSpPr>
              <xdr:spPr>
                <a:xfrm>
                  <a:off x="191752" y="963023"/>
                  <a:ext cx="1170449" cy="313596"/>
                </a:xfrm>
                <a:prstGeom prst="round2DiagRect">
                  <a:avLst/>
                </a:prstGeom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>
                  <a:outerShdw blurRad="76200" dist="12700" dir="2700000" sy="-23000" kx="-800400" algn="bl" rotWithShape="0">
                    <a:prstClr val="black">
                      <a:alpha val="20000"/>
                    </a:prstClr>
                  </a:outerShdw>
                </a:effectLst>
                <a:scene3d>
                  <a:camera prst="obliqueTopRight"/>
                  <a:lightRig rig="threePt" dir="t"/>
                </a:scene3d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tr-TR" sz="120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Main</a:t>
                  </a:r>
                  <a:r>
                    <a:rPr lang="tr-TR" sz="1200" baseline="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 Page</a:t>
                  </a:r>
                  <a:endPara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endParaRPr>
                </a:p>
              </xdr:txBody>
            </xdr:sp>
            <xdr:pic>
              <xdr:nvPicPr>
                <xdr:cNvPr id="17" name="Resim 16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C6E280F8-1C79-4178-B88E-26172081AB1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05422" y="917657"/>
                  <a:ext cx="376011" cy="374432"/>
                </a:xfrm>
                <a:prstGeom prst="rect">
                  <a:avLst/>
                </a:prstGeom>
              </xdr:spPr>
            </xdr:pic>
          </xdr:grpSp>
          <xdr:pic>
            <xdr:nvPicPr>
              <xdr:cNvPr id="19" name="Resim 18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6C4339DC-0CCB-4F40-917D-69F8B5025C1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05438" y="1527826"/>
                <a:ext cx="375979" cy="374400"/>
              </a:xfrm>
              <a:prstGeom prst="rect">
                <a:avLst/>
              </a:prstGeom>
            </xdr:spPr>
          </xdr:pic>
        </xdr:grpSp>
        <xdr:pic>
          <xdr:nvPicPr>
            <xdr:cNvPr id="20" name="Resim 19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CEA9ACB3-3668-4357-8C15-1C9AB84D4C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86874" y="2119373"/>
              <a:ext cx="380280" cy="37440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0</xdr:col>
      <xdr:colOff>49521</xdr:colOff>
      <xdr:row>20</xdr:row>
      <xdr:rowOff>46581</xdr:rowOff>
    </xdr:from>
    <xdr:to>
      <xdr:col>5</xdr:col>
      <xdr:colOff>165819</xdr:colOff>
      <xdr:row>27</xdr:row>
      <xdr:rowOff>116412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96A8A12A-9755-4093-88AB-17FD7733B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1" y="3690929"/>
          <a:ext cx="1358689" cy="13453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8287</xdr:rowOff>
    </xdr:from>
    <xdr:to>
      <xdr:col>5</xdr:col>
      <xdr:colOff>219356</xdr:colOff>
      <xdr:row>5</xdr:row>
      <xdr:rowOff>128416</xdr:rowOff>
    </xdr:to>
    <xdr:sp macro="" textlink="">
      <xdr:nvSpPr>
        <xdr:cNvPr id="23" name="Dikdörtgen: Köşeleri Yuvarlatılmış 22">
          <a:extLst>
            <a:ext uri="{FF2B5EF4-FFF2-40B4-BE49-F238E27FC236}">
              <a16:creationId xmlns:a16="http://schemas.microsoft.com/office/drawing/2014/main" id="{1E3302E9-CAA0-4DB4-8826-010CAE1F2664}"/>
            </a:ext>
          </a:extLst>
        </xdr:cNvPr>
        <xdr:cNvSpPr/>
      </xdr:nvSpPr>
      <xdr:spPr>
        <a:xfrm>
          <a:off x="0" y="190504"/>
          <a:ext cx="1461747" cy="848999"/>
        </a:xfrm>
        <a:prstGeom prst="round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1">
              <a:solidFill>
                <a:schemeClr val="bg1"/>
              </a:solidFill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</a:rPr>
            <a:t>Sales Tracking</a:t>
          </a:r>
        </a:p>
      </xdr:txBody>
    </xdr:sp>
    <xdr:clientData/>
  </xdr:twoCellAnchor>
  <xdr:twoCellAnchor>
    <xdr:from>
      <xdr:col>0</xdr:col>
      <xdr:colOff>134025</xdr:colOff>
      <xdr:row>6</xdr:row>
      <xdr:rowOff>181111</xdr:rowOff>
    </xdr:from>
    <xdr:to>
      <xdr:col>5</xdr:col>
      <xdr:colOff>81315</xdr:colOff>
      <xdr:row>18</xdr:row>
      <xdr:rowOff>171995</xdr:rowOff>
    </xdr:to>
    <xdr:grpSp>
      <xdr:nvGrpSpPr>
        <xdr:cNvPr id="24" name="Grup 23">
          <a:extLst>
            <a:ext uri="{FF2B5EF4-FFF2-40B4-BE49-F238E27FC236}">
              <a16:creationId xmlns:a16="http://schemas.microsoft.com/office/drawing/2014/main" id="{A86AC3B6-5280-433D-8ED2-185595D87CC3}"/>
            </a:ext>
          </a:extLst>
        </xdr:cNvPr>
        <xdr:cNvGrpSpPr/>
      </xdr:nvGrpSpPr>
      <xdr:grpSpPr>
        <a:xfrm>
          <a:off x="134025" y="1280149"/>
          <a:ext cx="1192867" cy="2240250"/>
          <a:chOff x="191752" y="917657"/>
          <a:chExt cx="1189681" cy="2177493"/>
        </a:xfrm>
      </xdr:grpSpPr>
      <xdr:sp macro="" textlink="">
        <xdr:nvSpPr>
          <xdr:cNvPr id="25" name="Dikdörtgen: Çapraz Köşeleri Yuvarlatılmış 2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6070CE77-760A-2794-F6BD-88CF5E4780BB}"/>
              </a:ext>
            </a:extLst>
          </xdr:cNvPr>
          <xdr:cNvSpPr/>
        </xdr:nvSpPr>
        <xdr:spPr>
          <a:xfrm>
            <a:off x="191752" y="2736382"/>
            <a:ext cx="1170449" cy="313596"/>
          </a:xfrm>
          <a:prstGeom prst="round2Diag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76200" dist="12700" dir="2700000" sy="-23000" kx="-800400" algn="bl" rotWithShape="0">
              <a:prstClr val="black">
                <a:alpha val="20000"/>
              </a:prstClr>
            </a:outerShdw>
          </a:effectLst>
          <a:scene3d>
            <a:camera prst="obliqueTopRight"/>
            <a:lightRig rig="threePt" dir="t"/>
          </a:scene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tr-TR" sz="1200"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  <a:outerShdw blurRad="50800" dist="38100" dir="18900000" algn="bl" rotWithShape="0">
                    <a:prstClr val="black">
                      <a:alpha val="40000"/>
                    </a:prstClr>
                  </a:outerShdw>
                </a:effectLst>
                <a:latin typeface="Bahnschrift" panose="020B0502040204020203" pitchFamily="34" charset="0"/>
              </a:rPr>
              <a:t>Staff</a:t>
            </a:r>
          </a:p>
        </xdr:txBody>
      </xdr:sp>
      <xdr:pic>
        <xdr:nvPicPr>
          <xdr:cNvPr id="26" name="Resim 2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CED972C-EF6C-13AE-2DC2-580A781CA0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6874" y="2720750"/>
            <a:ext cx="380280" cy="374400"/>
          </a:xfrm>
          <a:prstGeom prst="rect">
            <a:avLst/>
          </a:prstGeom>
        </xdr:spPr>
      </xdr:pic>
      <xdr:grpSp>
        <xdr:nvGrpSpPr>
          <xdr:cNvPr id="27" name="Grup 26">
            <a:extLst>
              <a:ext uri="{FF2B5EF4-FFF2-40B4-BE49-F238E27FC236}">
                <a16:creationId xmlns:a16="http://schemas.microsoft.com/office/drawing/2014/main" id="{94BF57DE-CFB7-4FFA-F641-C1D6666920DE}"/>
              </a:ext>
            </a:extLst>
          </xdr:cNvPr>
          <xdr:cNvGrpSpPr/>
        </xdr:nvGrpSpPr>
        <xdr:grpSpPr>
          <a:xfrm>
            <a:off x="191752" y="917657"/>
            <a:ext cx="1189681" cy="1576116"/>
            <a:chOff x="191752" y="917657"/>
            <a:chExt cx="1189681" cy="1576116"/>
          </a:xfrm>
        </xdr:grpSpPr>
        <xdr:sp macro="" textlink="">
          <xdr:nvSpPr>
            <xdr:cNvPr id="28" name="Dikdörtgen: Çapraz Köşeleri Yuvarlatılmış 27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66BFBBCD-1317-BFDD-374E-96AFDE7FD8A9}"/>
                </a:ext>
              </a:extLst>
            </xdr:cNvPr>
            <xdr:cNvSpPr/>
          </xdr:nvSpPr>
          <xdr:spPr>
            <a:xfrm>
              <a:off x="191752" y="2150783"/>
              <a:ext cx="1170449" cy="305314"/>
            </a:xfrm>
            <a:prstGeom prst="round2Diag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  <a:scene3d>
              <a:camera prst="obliqueTopRight"/>
              <a:lightRig rig="threePt" dir="t"/>
            </a:scene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tr-TR" sz="1200">
                  <a:effectLst>
                    <a:glow rad="63500">
                      <a:schemeClr val="accent3">
                        <a:satMod val="175000"/>
                        <a:alpha val="40000"/>
                      </a:schemeClr>
                    </a:glow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Bahnschrift" panose="020B0502040204020203" pitchFamily="34" charset="0"/>
                </a:rPr>
                <a:t>Sales</a:t>
              </a:r>
            </a:p>
          </xdr:txBody>
        </xdr:sp>
        <xdr:grpSp>
          <xdr:nvGrpSpPr>
            <xdr:cNvPr id="29" name="Grup 28">
              <a:extLst>
                <a:ext uri="{FF2B5EF4-FFF2-40B4-BE49-F238E27FC236}">
                  <a16:creationId xmlns:a16="http://schemas.microsoft.com/office/drawing/2014/main" id="{E74CE10B-24DF-0686-E2D6-8F21331A6E45}"/>
                </a:ext>
              </a:extLst>
            </xdr:cNvPr>
            <xdr:cNvGrpSpPr/>
          </xdr:nvGrpSpPr>
          <xdr:grpSpPr>
            <a:xfrm>
              <a:off x="191752" y="917657"/>
              <a:ext cx="1189681" cy="984569"/>
              <a:chOff x="191752" y="917657"/>
              <a:chExt cx="1189681" cy="984569"/>
            </a:xfrm>
          </xdr:grpSpPr>
          <xdr:sp macro="" textlink="">
            <xdr:nvSpPr>
              <xdr:cNvPr id="31" name="Dikdörtgen: Çapraz Köşeleri Yuvarlatılmış 30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712DEC10-06DA-38B5-346A-7D125369888E}"/>
                  </a:ext>
                </a:extLst>
              </xdr:cNvPr>
              <xdr:cNvSpPr/>
            </xdr:nvSpPr>
            <xdr:spPr>
              <a:xfrm>
                <a:off x="191752" y="1556903"/>
                <a:ext cx="1170449" cy="305314"/>
              </a:xfrm>
              <a:prstGeom prst="round2DiagRect">
                <a:avLst/>
              </a:prstGeom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76200" dist="12700" dir="2700000" sy="-23000" kx="-800400" algn="bl" rotWithShape="0">
                  <a:prstClr val="black">
                    <a:alpha val="20000"/>
                  </a:prstClr>
                </a:outerShdw>
              </a:effectLst>
              <a:scene3d>
                <a:camera prst="obliqueTopRight"/>
                <a:lightRig rig="threePt" dir="t"/>
              </a:scene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rPr>
                  <a:t>Products</a:t>
                </a:r>
              </a:p>
            </xdr:txBody>
          </xdr:sp>
          <xdr:grpSp>
            <xdr:nvGrpSpPr>
              <xdr:cNvPr id="32" name="Grup 31">
                <a:extLst>
                  <a:ext uri="{FF2B5EF4-FFF2-40B4-BE49-F238E27FC236}">
                    <a16:creationId xmlns:a16="http://schemas.microsoft.com/office/drawing/2014/main" id="{7559E41C-CC17-E766-CDBC-5A658CFC69D9}"/>
                  </a:ext>
                </a:extLst>
              </xdr:cNvPr>
              <xdr:cNvGrpSpPr/>
            </xdr:nvGrpSpPr>
            <xdr:grpSpPr>
              <a:xfrm>
                <a:off x="191752" y="917657"/>
                <a:ext cx="1189681" cy="374432"/>
                <a:chOff x="191752" y="917657"/>
                <a:chExt cx="1189681" cy="374432"/>
              </a:xfrm>
            </xdr:grpSpPr>
            <xdr:sp macro="" textlink="">
              <xdr:nvSpPr>
                <xdr:cNvPr id="34" name="Dikdörtgen: Çapraz Köşeleri Yuvarlatılmış 33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629EBC70-4E6B-71E0-C252-580047750CD6}"/>
                    </a:ext>
                  </a:extLst>
                </xdr:cNvPr>
                <xdr:cNvSpPr/>
              </xdr:nvSpPr>
              <xdr:spPr>
                <a:xfrm>
                  <a:off x="191752" y="963023"/>
                  <a:ext cx="1170449" cy="313596"/>
                </a:xfrm>
                <a:prstGeom prst="round2DiagRect">
                  <a:avLst/>
                </a:prstGeom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>
                  <a:outerShdw blurRad="76200" dist="12700" dir="2700000" sy="-23000" kx="-800400" algn="bl" rotWithShape="0">
                    <a:prstClr val="black">
                      <a:alpha val="20000"/>
                    </a:prstClr>
                  </a:outerShdw>
                </a:effectLst>
                <a:scene3d>
                  <a:camera prst="obliqueTopRight"/>
                  <a:lightRig rig="threePt" dir="t"/>
                </a:scene3d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tr-TR" sz="120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Main</a:t>
                  </a:r>
                  <a:r>
                    <a:rPr lang="tr-TR" sz="1200" baseline="0">
                      <a:effectLst>
                        <a:glow rad="63500">
                          <a:schemeClr val="accent3">
                            <a:satMod val="175000"/>
                            <a:alpha val="40000"/>
                          </a:schemeClr>
                        </a:glow>
                        <a:outerShdw blurRad="50800" dist="38100" dir="18900000" algn="bl" rotWithShape="0">
                          <a:prstClr val="black">
                            <a:alpha val="40000"/>
                          </a:prstClr>
                        </a:outerShdw>
                      </a:effectLst>
                      <a:latin typeface="Bahnschrift" panose="020B0502040204020203" pitchFamily="34" charset="0"/>
                    </a:rPr>
                    <a:t> Page</a:t>
                  </a:r>
                  <a:endParaRPr lang="tr-TR" sz="1200"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Bahnschrift" panose="020B0502040204020203" pitchFamily="34" charset="0"/>
                  </a:endParaRPr>
                </a:p>
              </xdr:txBody>
            </xdr:sp>
            <xdr:pic>
              <xdr:nvPicPr>
                <xdr:cNvPr id="35" name="Resim 34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873EC65A-9826-270D-0707-830BA506496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05422" y="917657"/>
                  <a:ext cx="376011" cy="374432"/>
                </a:xfrm>
                <a:prstGeom prst="rect">
                  <a:avLst/>
                </a:prstGeom>
              </xdr:spPr>
            </xdr:pic>
          </xdr:grpSp>
          <xdr:pic>
            <xdr:nvPicPr>
              <xdr:cNvPr id="33" name="Resim 32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1D7B20C1-3F55-4176-0CA6-F12A190829E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05438" y="1527826"/>
                <a:ext cx="375979" cy="374400"/>
              </a:xfrm>
              <a:prstGeom prst="rect">
                <a:avLst/>
              </a:prstGeom>
            </xdr:spPr>
          </xdr:pic>
        </xdr:grpSp>
        <xdr:pic>
          <xdr:nvPicPr>
            <xdr:cNvPr id="30" name="Resim 29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F9745F8E-FADB-024B-A104-EC0A57E1D9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86874" y="2119373"/>
              <a:ext cx="380280" cy="37440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0</xdr:col>
      <xdr:colOff>49521</xdr:colOff>
      <xdr:row>20</xdr:row>
      <xdr:rowOff>42473</xdr:rowOff>
    </xdr:from>
    <xdr:to>
      <xdr:col>5</xdr:col>
      <xdr:colOff>165819</xdr:colOff>
      <xdr:row>27</xdr:row>
      <xdr:rowOff>112302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1DAB9220-9D96-4821-A6C7-8F92C1AED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1" y="3686821"/>
          <a:ext cx="1358689" cy="13453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304800</xdr:colOff>
      <xdr:row>24</xdr:row>
      <xdr:rowOff>123825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8878E65-71D2-72AA-225F-D4A045ADE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28E269C1-9D14-BFFE-7743-6F492DB46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601266</xdr:colOff>
      <xdr:row>5</xdr:row>
      <xdr:rowOff>83343</xdr:rowOff>
    </xdr:from>
    <xdr:to>
      <xdr:col>25</xdr:col>
      <xdr:colOff>601266</xdr:colOff>
      <xdr:row>22</xdr:row>
      <xdr:rowOff>83343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62D20625-C920-7D1D-8BF8-353BB956E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582706</xdr:colOff>
      <xdr:row>28</xdr:row>
      <xdr:rowOff>0</xdr:rowOff>
    </xdr:from>
    <xdr:to>
      <xdr:col>30</xdr:col>
      <xdr:colOff>0</xdr:colOff>
      <xdr:row>50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5217583D-F911-4718-BB6A-078AD81B0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44</xdr:row>
      <xdr:rowOff>187569</xdr:rowOff>
    </xdr:from>
    <xdr:to>
      <xdr:col>12</xdr:col>
      <xdr:colOff>315057</xdr:colOff>
      <xdr:row>59</xdr:row>
      <xdr:rowOff>73269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96BF4305-F09E-4D7D-FD63-E656DFC06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emrea/Documents/Sat&#305;&#351;%20Takip%20Program&#305;%20V1.xlsx" TargetMode="External"/><Relationship Id="rId2" Type="http://schemas.openxmlformats.org/officeDocument/2006/relationships/externalLinkPath" Target="file:///C:\Users\emrea\Documents\Sat&#305;&#351;%20Takip%20Program&#305;%20V1.xlsx" TargetMode="External"/><Relationship Id="rId1" Type="http://schemas.openxmlformats.org/officeDocument/2006/relationships/externalLinkPath" Target="/Users/emrea/Documents/Sat&#305;&#351;%20Takip%20Program&#305;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a Sayfa"/>
      <sheetName val="Ürünler"/>
      <sheetName val="Satışlar"/>
      <sheetName val="Personeller"/>
      <sheetName val="Veri Tabanı"/>
      <sheetName val="Satış Takip Programı V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Tekin" refreshedDate="46121.039302430552" createdVersion="8" refreshedVersion="8" minRefreshableVersion="3" recordCount="10" xr:uid="{76311CBF-CBA6-43F1-955E-AB164797CC80}">
  <cacheSource type="worksheet">
    <worksheetSource name="Tablo4"/>
  </cacheSource>
  <cacheFields count="13">
    <cacheField name="Tarih" numFmtId="14">
      <sharedItems containsSemiMixedTypes="0" containsNonDate="0" containsDate="1" containsString="0" minDate="2023-01-01T00:00:00" maxDate="2023-10-08T00:00:00" count="10">
        <d v="2023-08-17T00:00:00"/>
        <d v="2023-09-01T00:00:00"/>
        <d v="2023-09-06T00:00:00"/>
        <d v="2023-09-08T00:00:00"/>
        <d v="2023-10-07T00:00:00"/>
        <d v="2023-01-01T00:00:00"/>
        <d v="2023-02-01T00:00:00"/>
        <d v="2023-02-06T00:00:00"/>
        <d v="2023-03-08T00:00:00"/>
        <d v="2023-03-07T00:00:00"/>
      </sharedItems>
      <fieldGroup par="12"/>
    </cacheField>
    <cacheField name="Satış Personeli" numFmtId="0">
      <sharedItems count="4">
        <s v="Emre Akyüz"/>
        <s v="Akif Karaca"/>
        <s v="Zeynep Yılmaz"/>
        <s v="Ahmet Yavuz"/>
      </sharedItems>
    </cacheField>
    <cacheField name="Müşteri Adı" numFmtId="0">
      <sharedItems/>
    </cacheField>
    <cacheField name="Müşteri Konumu" numFmtId="0">
      <sharedItems/>
    </cacheField>
    <cacheField name="Marka" numFmtId="0">
      <sharedItems count="7">
        <s v="Audi"/>
        <s v="Hyundai"/>
        <s v="Renault"/>
        <s v="Nissan"/>
        <s v="Opel"/>
        <s v="Ford"/>
        <s v="Volkswagen"/>
      </sharedItems>
    </cacheField>
    <cacheField name="Modeli" numFmtId="0">
      <sharedItems count="8">
        <s v="A5"/>
        <s v="i20"/>
        <s v="Megane"/>
        <s v="Astra"/>
        <s v="Corsa-e"/>
        <s v="Kuga"/>
        <s v="Arteon"/>
        <s v="Tiguan"/>
      </sharedItems>
    </cacheField>
    <cacheField name="Liste Fiyatı" numFmtId="42">
      <sharedItems containsSemiMixedTypes="0" containsString="0" containsNumber="1" containsInteger="1" minValue="1050000" maxValue="3500000"/>
    </cacheField>
    <cacheField name="İskonto" numFmtId="10">
      <sharedItems containsSemiMixedTypes="0" containsString="0" containsNumber="1" minValue="5.0000000000000001E-3" maxValue="0.02"/>
    </cacheField>
    <cacheField name="Satış Fiyatı" numFmtId="166">
      <sharedItems containsSemiMixedTypes="0" containsString="0" containsNumber="1" containsInteger="1" minValue="1029000" maxValue="3465000"/>
    </cacheField>
    <cacheField name="Adet" numFmtId="0">
      <sharedItems containsSemiMixedTypes="0" containsString="0" containsNumber="1" containsInteger="1" minValue="2" maxValue="8"/>
    </cacheField>
    <cacheField name="Toplam Tutar" numFmtId="166">
      <sharedItems containsSemiMixedTypes="0" containsString="0" containsNumber="1" containsInteger="1" minValue="2058000" maxValue="25480000"/>
    </cacheField>
    <cacheField name="Gün (Tarih)" numFmtId="0" databaseField="0">
      <fieldGroup base="0">
        <rangePr groupBy="days" startDate="2023-01-01T00:00:00" endDate="2023-10-08T00:00:00"/>
        <groupItems count="368">
          <s v="&lt;1.01.2023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8.10.2023"/>
        </groupItems>
      </fieldGroup>
    </cacheField>
    <cacheField name="Ay (Tarih)" numFmtId="0" databaseField="0">
      <fieldGroup base="0">
        <rangePr groupBy="months" startDate="2023-01-01T00:00:00" endDate="2023-10-08T00:00:00"/>
        <groupItems count="14">
          <s v="&lt;1.01.2023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8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Ahmet Tekin"/>
    <s v="İzmir"/>
    <x v="0"/>
    <x v="0"/>
    <n v="3500000"/>
    <n v="0.01"/>
    <n v="3465000"/>
    <n v="5"/>
    <n v="17325000"/>
  </r>
  <r>
    <x v="1"/>
    <x v="0"/>
    <s v="Emre  Ağmil"/>
    <s v="İzmir"/>
    <x v="1"/>
    <x v="1"/>
    <n v="1050000"/>
    <n v="0.02"/>
    <n v="1029000"/>
    <n v="2"/>
    <n v="2058000"/>
  </r>
  <r>
    <x v="2"/>
    <x v="1"/>
    <s v="Betül  Alpaslan"/>
    <s v="İzmir"/>
    <x v="2"/>
    <x v="2"/>
    <n v="1050000"/>
    <n v="0.01"/>
    <n v="1039500"/>
    <n v="3"/>
    <n v="3118500"/>
  </r>
  <r>
    <x v="3"/>
    <x v="1"/>
    <s v="Bekir  Çolak"/>
    <s v="Ankara"/>
    <x v="3"/>
    <x v="1"/>
    <n v="1050000"/>
    <n v="0.02"/>
    <n v="1029000"/>
    <n v="6"/>
    <n v="6174000"/>
  </r>
  <r>
    <x v="4"/>
    <x v="2"/>
    <s v="Emine  Karahan"/>
    <s v="Erzurum"/>
    <x v="4"/>
    <x v="3"/>
    <n v="1450000"/>
    <n v="5.0000000000000001E-3"/>
    <n v="1442750"/>
    <n v="3"/>
    <n v="4328250"/>
  </r>
  <r>
    <x v="5"/>
    <x v="2"/>
    <s v="Ayça Ersoy"/>
    <s v="Trabzon"/>
    <x v="4"/>
    <x v="4"/>
    <n v="1850000"/>
    <n v="0.02"/>
    <n v="1813000"/>
    <n v="2"/>
    <n v="3626000"/>
  </r>
  <r>
    <x v="6"/>
    <x v="3"/>
    <s v="Emre  Saydık"/>
    <s v="Bursa"/>
    <x v="5"/>
    <x v="5"/>
    <n v="2550000"/>
    <n v="0.01"/>
    <n v="2524500"/>
    <n v="6"/>
    <n v="15147000"/>
  </r>
  <r>
    <x v="7"/>
    <x v="0"/>
    <s v="Arif Bilen"/>
    <s v="İzmir"/>
    <x v="1"/>
    <x v="1"/>
    <n v="1050000"/>
    <n v="0.01"/>
    <n v="1039500"/>
    <n v="5"/>
    <n v="5197500"/>
  </r>
  <r>
    <x v="8"/>
    <x v="1"/>
    <s v="Deniz Karahan"/>
    <s v="İstanbul"/>
    <x v="6"/>
    <x v="6"/>
    <n v="3250000"/>
    <n v="0.02"/>
    <n v="3185000"/>
    <n v="8"/>
    <n v="25480000"/>
  </r>
  <r>
    <x v="9"/>
    <x v="0"/>
    <s v="Berat El"/>
    <s v="Bursa"/>
    <x v="6"/>
    <x v="7"/>
    <n v="2650000"/>
    <n v="5.0000000000000001E-3"/>
    <n v="2636750"/>
    <n v="7"/>
    <n v="18457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2EFCD-1041-4333-9F12-7FFC9A1E534E}" name="PivotTable6" cacheId="0" applyNumberFormats="0" applyBorderFormats="0" applyFontFormats="0" applyPatternFormats="0" applyAlignmentFormats="0" applyWidthHeightFormats="1" dataCaption="Değerler" grandTotalCaption="General" updatedVersion="8" minRefreshableVersion="3" useAutoFormatting="1" itemPrintTitles="1" createdVersion="8" indent="0" outline="1" outlineData="1" multipleFieldFilters="0" chartFormat="35">
  <location ref="A44:B53" firstHeaderRow="1" firstDataRow="1" firstDataCol="1"/>
  <pivotFields count="13">
    <pivotField numFmtId="14" showAll="0">
      <items count="11">
        <item x="5"/>
        <item x="6"/>
        <item x="7"/>
        <item x="9"/>
        <item x="8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axis="axisRow" showAll="0" sortType="descending">
      <items count="9">
        <item x="0"/>
        <item x="6"/>
        <item x="3"/>
        <item x="4"/>
        <item x="1"/>
        <item x="5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2" showAll="0"/>
    <pivotField numFmtId="10" showAll="0"/>
    <pivotField numFmtId="166" showAll="0"/>
    <pivotField dataField="1" showAll="0"/>
    <pivotField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9">
    <i>
      <x v="4"/>
    </i>
    <i>
      <x v="1"/>
    </i>
    <i>
      <x v="7"/>
    </i>
    <i>
      <x v="5"/>
    </i>
    <i>
      <x/>
    </i>
    <i>
      <x v="6"/>
    </i>
    <i>
      <x v="2"/>
    </i>
    <i>
      <x v="3"/>
    </i>
    <i t="grand">
      <x/>
    </i>
  </rowItems>
  <colItems count="1">
    <i/>
  </colItems>
  <dataFields count="1">
    <dataField name="Toplam Adet" fld="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2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C2564-D05C-4997-96C1-27E58958E553}" name="PivotTable4" cacheId="0" applyNumberFormats="0" applyBorderFormats="0" applyFontFormats="0" applyPatternFormats="0" applyAlignmentFormats="0" applyWidthHeightFormats="1" dataCaption="Değerler" grandTotalCaption="General" updatedVersion="8" minRefreshableVersion="3" useAutoFormatting="1" itemPrintTitles="1" createdVersion="8" indent="0" outline="1" outlineData="1" multipleFieldFilters="0" chartFormat="27">
  <location ref="A36:B41" firstHeaderRow="1" firstDataRow="1" firstDataCol="1"/>
  <pivotFields count="13">
    <pivotField numFmtId="14" showAll="0">
      <items count="11">
        <item x="5"/>
        <item x="6"/>
        <item x="7"/>
        <item x="9"/>
        <item x="8"/>
        <item x="0"/>
        <item x="1"/>
        <item x="2"/>
        <item x="3"/>
        <item x="4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numFmtId="42" showAll="0"/>
    <pivotField numFmtId="10" showAll="0"/>
    <pivotField numFmtId="166" showAll="0"/>
    <pivotField showAll="0"/>
    <pivotField dataField="1"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Toplam Tutar" fld="10" baseField="0" baseItem="0"/>
  </dataFields>
  <formats count="8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4ED1-81B4-41A7-AD38-B38594D9F0B4}" name="PivotTable3" cacheId="0" applyNumberFormats="0" applyBorderFormats="0" applyFontFormats="0" applyPatternFormats="0" applyAlignmentFormats="0" applyWidthHeightFormats="1" dataCaption="Değerler" grandTotalCaption="General" updatedVersion="8" minRefreshableVersion="3" useAutoFormatting="1" itemPrintTitles="1" createdVersion="8" indent="0" outline="1" outlineData="1" multipleFieldFilters="0" chartFormat="24">
  <location ref="A25:B33" firstHeaderRow="1" firstDataRow="1" firstDataCol="1"/>
  <pivotFields count="13">
    <pivotField numFmtId="14" showAll="0">
      <items count="11">
        <item x="5"/>
        <item x="6"/>
        <item x="7"/>
        <item x="9"/>
        <item x="8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Row" showAll="0" sortType="ascending">
      <items count="8">
        <item x="0"/>
        <item x="5"/>
        <item x="1"/>
        <item x="3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2" showAll="0"/>
    <pivotField numFmtId="10" showAll="0"/>
    <pivotField numFmtId="166" showAll="0"/>
    <pivotField showAll="0"/>
    <pivotField dataField="1"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8">
    <i>
      <x v="5"/>
    </i>
    <i>
      <x v="3"/>
    </i>
    <i>
      <x v="2"/>
    </i>
    <i>
      <x v="4"/>
    </i>
    <i>
      <x v="1"/>
    </i>
    <i>
      <x/>
    </i>
    <i>
      <x v="6"/>
    </i>
    <i t="grand">
      <x/>
    </i>
  </rowItems>
  <colItems count="1">
    <i/>
  </colItems>
  <dataFields count="1">
    <dataField name="Toplam Toplam Tutar" fld="10" baseField="0" baseItem="0" numFmtId="42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4" type="button" dataOnly="0" labelOnly="1" outline="0" axis="axisRow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3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9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9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0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1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1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1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1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1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45730-6DB0-41CA-A7FF-2716FDCB0CD4}" name="PivotTable2" cacheId="0" applyNumberFormats="0" applyBorderFormats="0" applyFontFormats="0" applyPatternFormats="0" applyAlignmentFormats="0" applyWidthHeightFormats="1" dataCaption="Değerler" grandTotalCaption="General" updatedVersion="8" minRefreshableVersion="3" useAutoFormatting="1" itemPrintTitles="1" createdVersion="8" indent="0" outline="1" outlineData="1" multipleFieldFilters="0" chartFormat="14">
  <location ref="A14:B21" firstHeaderRow="1" firstDataRow="1" firstDataCol="1"/>
  <pivotFields count="13">
    <pivotField numFmtId="14" showAll="0">
      <items count="11">
        <item x="5"/>
        <item x="6"/>
        <item x="7"/>
        <item x="9"/>
        <item x="8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42" showAll="0"/>
    <pivotField numFmtId="10" showAll="0"/>
    <pivotField numFmtId="166" showAll="0"/>
    <pivotField dataField="1" showAll="0"/>
    <pivotField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7">
    <i>
      <x v="1"/>
    </i>
    <i>
      <x v="2"/>
    </i>
    <i>
      <x v="3"/>
    </i>
    <i>
      <x v="8"/>
    </i>
    <i>
      <x v="9"/>
    </i>
    <i>
      <x v="10"/>
    </i>
    <i t="grand">
      <x/>
    </i>
  </rowItems>
  <colItems count="1">
    <i/>
  </colItems>
  <dataFields count="1">
    <dataField name="Total Sales" fld="9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2" type="button" dataOnly="0" labelOnly="1" outline="0" axis="axisRow" fieldPosition="0"/>
    </format>
    <format dxfId="22">
      <pivotArea dataOnly="0" labelOnly="1" fieldPosition="0">
        <references count="1">
          <reference field="12" count="6">
            <x v="1"/>
            <x v="2"/>
            <x v="3"/>
            <x v="8"/>
            <x v="9"/>
            <x v="10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0BE1A-7CCE-47FD-A84F-98D53B4CA758}" name="PivotTable1" cacheId="0" applyNumberFormats="0" applyBorderFormats="0" applyFontFormats="0" applyPatternFormats="0" applyAlignmentFormats="0" applyWidthHeightFormats="1" dataCaption="Değerler" grandTotalCaption="General" updatedVersion="8" minRefreshableVersion="3" useAutoFormatting="1" itemPrintTitles="1" createdVersion="8" indent="0" outline="1" outlineData="1" multipleFieldFilters="0" chartFormat="8">
  <location ref="A6:C11" firstHeaderRow="0" firstDataRow="1" firstDataCol="1"/>
  <pivotFields count="13">
    <pivotField numFmtId="14" showAll="0">
      <items count="11">
        <item x="5"/>
        <item x="6"/>
        <item x="7"/>
        <item x="9"/>
        <item x="8"/>
        <item x="0"/>
        <item x="1"/>
        <item x="2"/>
        <item x="3"/>
        <item x="4"/>
        <item t="default"/>
      </items>
    </pivotField>
    <pivotField axis="axisRow" showAll="0" sortType="a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2" showAll="0"/>
    <pivotField numFmtId="10" showAll="0"/>
    <pivotField numFmtId="166" showAll="0"/>
    <pivotField dataField="1" showAll="0"/>
    <pivotField dataField="1"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3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Price" fld="10" baseField="0" baseItem="0" numFmtId="42"/>
    <dataField name="Total Sales" fld="9" baseField="0" baseItem="0"/>
  </dataFields>
  <formats count="9">
    <format dxfId="34">
      <pivotArea collapsedLevelsAreSubtotals="1" fieldPosition="0">
        <references count="1">
          <reference field="1" count="1">
            <x v="1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0073E-F510-4E95-9E07-A87AE4F5F80E}" name="Tablo1" displayName="Tablo1" ref="I3:L50" totalsRowShown="0" headerRowDxfId="69" dataDxfId="67" headerRowBorderDxfId="68" tableBorderDxfId="66" totalsRowBorderDxfId="65">
  <autoFilter ref="I3:L50" xr:uid="{9D70073E-F510-4E95-9E07-A87AE4F5F80E}"/>
  <tableColumns count="4">
    <tableColumn id="1" xr3:uid="{CEA532FE-E0D0-49F3-BA38-B4DDD4BFAB8F}" name="Product Name" dataDxfId="64"/>
    <tableColumn id="2" xr3:uid="{EF7DC329-A9BD-4609-97D1-AC279937D4FB}" name="Product Model" dataDxfId="63"/>
    <tableColumn id="3" xr3:uid="{BC6F4263-B667-4F3E-A1C9-B37F9F56AFA5}" name="Price" dataDxfId="62" dataCellStyle="ParaBirimi"/>
    <tableColumn id="4" xr3:uid="{B0AD9AFE-2ED7-490A-B8C3-23B81D0CCC2F}" name="Stock" dataDxfId="6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650165-F712-4078-B86F-C5743D92B474}" name="Tablo4" displayName="Tablo4" ref="I7:S17" totalsRowShown="0" headerRowDxfId="60" dataDxfId="58" headerRowBorderDxfId="59" tableBorderDxfId="57" totalsRowBorderDxfId="56">
  <autoFilter ref="I7:S17" xr:uid="{28650165-F712-4078-B86F-C5743D92B474}"/>
  <tableColumns count="11">
    <tableColumn id="1" xr3:uid="{7C68FDEE-8D1A-468D-A0E9-B5BED9C92D92}" name="Tarih" dataDxfId="55"/>
    <tableColumn id="2" xr3:uid="{AAF9097B-B032-459D-900D-1771535B9C64}" name="Satış Personeli" dataDxfId="54"/>
    <tableColumn id="3" xr3:uid="{630BE258-477D-4D2F-B010-725170A07D4E}" name="Müşteri Adı" dataDxfId="53"/>
    <tableColumn id="4" xr3:uid="{D66D644B-AD5F-4E3B-A4C9-F0E46620C5BE}" name="Müşteri Konumu" dataDxfId="52"/>
    <tableColumn id="5" xr3:uid="{08CD3A5B-806E-42BF-BF81-67CC6D15E0A0}" name="Marka" dataDxfId="51"/>
    <tableColumn id="6" xr3:uid="{36EB50DB-D98F-4D75-9E1B-2EFDC3D4A636}" name="Modeli" dataDxfId="50"/>
    <tableColumn id="7" xr3:uid="{F927E464-2C7B-4A3B-9F88-32464FCBAF2C}" name="Liste Fiyatı" dataDxfId="49" dataCellStyle="ParaBirimi">
      <calculatedColumnFormula>VLOOKUP(Tablo4[[#This Row],[Modeli]],Products!J4:K48,2,0)</calculatedColumnFormula>
    </tableColumn>
    <tableColumn id="8" xr3:uid="{36409E02-12F6-43E0-AE12-56B968BF93DD}" name="İskonto" dataDxfId="48" dataCellStyle="Virgül"/>
    <tableColumn id="9" xr3:uid="{FC2E70A0-F842-432C-BE78-B33314E5DF2A}" name="Satış Fiyatı" dataDxfId="47">
      <calculatedColumnFormula>Tablo4[[#This Row],[Liste Fiyatı]]*(1-Tablo4[[#This Row],[İskonto]])</calculatedColumnFormula>
    </tableColumn>
    <tableColumn id="10" xr3:uid="{CF5E1625-0F34-4F97-A513-E97E3A3A4000}" name="Adet" dataDxfId="46"/>
    <tableColumn id="11" xr3:uid="{3EB62848-E6AA-4ADE-96FB-E5EE417416AF}" name="Toplam Tutar" dataDxfId="45">
      <calculatedColumnFormula>Tablo4[[#This Row],[Satış Fiyatı]]*Tablo4[[#This Row],[Adet]]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1AEC5A-7310-4C14-B400-888154F547BC}" name="Tablo5" displayName="Tablo5" ref="I7:N13" totalsRowShown="0" headerRowDxfId="44" headerRowBorderDxfId="43" tableBorderDxfId="42" totalsRowBorderDxfId="41">
  <autoFilter ref="I7:N13" xr:uid="{A01AEC5A-7310-4C14-B400-888154F547BC}"/>
  <tableColumns count="6">
    <tableColumn id="1" xr3:uid="{8493EAF5-57B0-4CA2-9CB6-606C2A21E1C6}" name="Ad Soyad" dataDxfId="40"/>
    <tableColumn id="2" xr3:uid="{0CA67C57-549A-487E-A26E-10A403610312}" name="Bölge" dataDxfId="39"/>
    <tableColumn id="3" xr3:uid="{C3B063C9-ED76-4F03-9845-1BD6B4EC76B1}" name="Prim Limiti" dataDxfId="38"/>
    <tableColumn id="4" xr3:uid="{2983BBF8-04E5-45C5-95A5-18ADC66C984E}" name="Prim Yüzdesi" dataDxfId="37"/>
    <tableColumn id="5" xr3:uid="{1C47E55D-73D9-4399-86A5-731A9DCB2023}" name="Toplam Satış Tutarı" dataDxfId="36" dataCellStyle="ParaBirimi">
      <calculatedColumnFormula>IFERROR(
      SUMIFS(
           Tablo4[Toplam Tutar],
           Tablo4[Satış Personeli],
           Tablo4[[#This Row],[Satış Personeli]]),
           "Satış Bulunamadı")</calculatedColumnFormula>
    </tableColumn>
    <tableColumn id="6" xr3:uid="{68070601-EC49-46FB-B7A0-D91809274759}" name="Hakedilen Prim" dataDxfId="35">
      <calculatedColumnFormula>IFERROR(Tablo5[[#This Row],[Toplam Satış Tutarı]]*Tablo5[[#This Row],[Prim Yüzdesi]],"Satış Bulunamadı")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DBF1-423D-4014-BEFA-2CB7088F672A}">
  <dimension ref="A12:H12"/>
  <sheetViews>
    <sheetView showGridLines="0" tabSelected="1" zoomScale="130" zoomScaleNormal="130" workbookViewId="0"/>
  </sheetViews>
  <sheetFormatPr defaultRowHeight="14.25" x14ac:dyDescent="0.2"/>
  <cols>
    <col min="1" max="6" width="3.7109375" style="1" customWidth="1"/>
    <col min="7" max="116" width="3.7109375" style="16" customWidth="1"/>
    <col min="117" max="16384" width="9.140625" style="16"/>
  </cols>
  <sheetData>
    <row r="12" spans="8:8" x14ac:dyDescent="0.2">
      <c r="H12" s="16" t="e" vm="1">
        <v>#VALUE!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661C-4AA2-4079-942F-0C06202D4582}">
  <dimension ref="A3:L55"/>
  <sheetViews>
    <sheetView showGridLines="0" zoomScale="130" zoomScaleNormal="130" workbookViewId="0"/>
  </sheetViews>
  <sheetFormatPr defaultRowHeight="14.25" x14ac:dyDescent="0.2"/>
  <cols>
    <col min="1" max="6" width="3.7109375" style="1" customWidth="1"/>
    <col min="7" max="8" width="9.140625" style="2"/>
    <col min="9" max="10" width="17.28515625" style="2" bestFit="1" customWidth="1"/>
    <col min="11" max="11" width="13.7109375" style="2" bestFit="1" customWidth="1"/>
    <col min="12" max="12" width="8.85546875" style="2" bestFit="1" customWidth="1"/>
    <col min="13" max="16384" width="9.140625" style="2"/>
  </cols>
  <sheetData>
    <row r="3" spans="8:12" x14ac:dyDescent="0.2">
      <c r="I3" s="33" t="s">
        <v>0</v>
      </c>
      <c r="J3" s="33" t="s">
        <v>1</v>
      </c>
      <c r="K3" s="33" t="s">
        <v>2</v>
      </c>
      <c r="L3" s="33" t="s">
        <v>3</v>
      </c>
    </row>
    <row r="4" spans="8:12" x14ac:dyDescent="0.2">
      <c r="I4" s="9" t="s">
        <v>4</v>
      </c>
      <c r="J4" s="10" t="s">
        <v>5</v>
      </c>
      <c r="K4" s="11">
        <v>6000000</v>
      </c>
      <c r="L4" s="12">
        <v>2</v>
      </c>
    </row>
    <row r="5" spans="8:12" x14ac:dyDescent="0.2">
      <c r="I5" s="9" t="s">
        <v>4</v>
      </c>
      <c r="J5" s="10" t="s">
        <v>6</v>
      </c>
      <c r="K5" s="11">
        <v>3500000</v>
      </c>
      <c r="L5" s="12">
        <v>5</v>
      </c>
    </row>
    <row r="6" spans="8:12" x14ac:dyDescent="0.2">
      <c r="I6" s="9" t="s">
        <v>7</v>
      </c>
      <c r="J6" s="10" t="s">
        <v>8</v>
      </c>
      <c r="K6" s="11">
        <v>2100000</v>
      </c>
      <c r="L6" s="12">
        <v>1</v>
      </c>
    </row>
    <row r="7" spans="8:12" x14ac:dyDescent="0.2">
      <c r="I7" s="9" t="s">
        <v>9</v>
      </c>
      <c r="J7" s="10" t="s">
        <v>10</v>
      </c>
      <c r="K7" s="11">
        <v>1630000</v>
      </c>
      <c r="L7" s="12">
        <v>2</v>
      </c>
    </row>
    <row r="8" spans="8:12" x14ac:dyDescent="0.2">
      <c r="I8" s="2" t="s">
        <v>14</v>
      </c>
      <c r="J8" s="5" t="s">
        <v>15</v>
      </c>
      <c r="K8" s="6">
        <v>1850000</v>
      </c>
      <c r="L8" s="7">
        <v>3</v>
      </c>
    </row>
    <row r="9" spans="8:12" x14ac:dyDescent="0.2">
      <c r="I9" s="9" t="s">
        <v>14</v>
      </c>
      <c r="J9" s="10" t="s">
        <v>16</v>
      </c>
      <c r="K9" s="11">
        <v>2950000</v>
      </c>
      <c r="L9" s="12">
        <v>2</v>
      </c>
    </row>
    <row r="10" spans="8:12" x14ac:dyDescent="0.2">
      <c r="I10" s="9" t="s">
        <v>14</v>
      </c>
      <c r="J10" s="10" t="s">
        <v>17</v>
      </c>
      <c r="K10" s="11">
        <v>3100000</v>
      </c>
      <c r="L10" s="12">
        <v>1</v>
      </c>
    </row>
    <row r="11" spans="8:12" x14ac:dyDescent="0.2">
      <c r="I11" s="9" t="s">
        <v>14</v>
      </c>
      <c r="J11" s="10" t="s">
        <v>18</v>
      </c>
      <c r="K11" s="11">
        <v>4650000</v>
      </c>
      <c r="L11" s="12">
        <v>2</v>
      </c>
    </row>
    <row r="12" spans="8:12" x14ac:dyDescent="0.2">
      <c r="H12" s="2" t="e" vm="1">
        <v>#VALUE!</v>
      </c>
      <c r="I12" s="9" t="s">
        <v>14</v>
      </c>
      <c r="J12" s="10" t="s">
        <v>19</v>
      </c>
      <c r="K12" s="11">
        <v>6250000</v>
      </c>
      <c r="L12" s="12">
        <v>1</v>
      </c>
    </row>
    <row r="13" spans="8:12" x14ac:dyDescent="0.2">
      <c r="I13" s="9" t="s">
        <v>20</v>
      </c>
      <c r="J13" s="10" t="s">
        <v>21</v>
      </c>
      <c r="K13" s="11">
        <v>1550000</v>
      </c>
      <c r="L13" s="12">
        <v>4</v>
      </c>
    </row>
    <row r="14" spans="8:12" x14ac:dyDescent="0.2">
      <c r="I14" s="9" t="s">
        <v>20</v>
      </c>
      <c r="J14" s="10" t="s">
        <v>22</v>
      </c>
      <c r="K14" s="11">
        <v>2450000</v>
      </c>
      <c r="L14" s="12">
        <v>3</v>
      </c>
    </row>
    <row r="15" spans="8:12" x14ac:dyDescent="0.2">
      <c r="I15" s="9" t="s">
        <v>20</v>
      </c>
      <c r="J15" s="10" t="s">
        <v>23</v>
      </c>
      <c r="K15" s="11">
        <v>4100000</v>
      </c>
      <c r="L15" s="12">
        <v>2</v>
      </c>
    </row>
    <row r="16" spans="8:12" x14ac:dyDescent="0.2">
      <c r="I16" s="9" t="s">
        <v>20</v>
      </c>
      <c r="J16" s="10" t="s">
        <v>24</v>
      </c>
      <c r="K16" s="11">
        <v>2850000</v>
      </c>
      <c r="L16" s="12">
        <v>3</v>
      </c>
    </row>
    <row r="17" spans="9:12" x14ac:dyDescent="0.2">
      <c r="I17" s="9" t="s">
        <v>20</v>
      </c>
      <c r="J17" s="10" t="s">
        <v>25</v>
      </c>
      <c r="K17" s="11">
        <v>5200000</v>
      </c>
      <c r="L17" s="12">
        <v>1</v>
      </c>
    </row>
    <row r="18" spans="9:12" x14ac:dyDescent="0.2">
      <c r="I18" s="9" t="s">
        <v>9</v>
      </c>
      <c r="J18" s="10" t="s">
        <v>26</v>
      </c>
      <c r="K18" s="11">
        <v>2650000</v>
      </c>
      <c r="L18" s="12">
        <v>3</v>
      </c>
    </row>
    <row r="19" spans="9:12" x14ac:dyDescent="0.2">
      <c r="I19" s="9" t="s">
        <v>9</v>
      </c>
      <c r="J19" s="10" t="s">
        <v>27</v>
      </c>
      <c r="K19" s="11">
        <v>4350000</v>
      </c>
      <c r="L19" s="12">
        <v>2</v>
      </c>
    </row>
    <row r="20" spans="9:12" x14ac:dyDescent="0.2">
      <c r="I20" s="9" t="s">
        <v>9</v>
      </c>
      <c r="J20" s="10" t="s">
        <v>28</v>
      </c>
      <c r="K20" s="11">
        <v>2950000</v>
      </c>
      <c r="L20" s="12">
        <v>4</v>
      </c>
    </row>
    <row r="21" spans="9:12" x14ac:dyDescent="0.2">
      <c r="I21" s="9" t="s">
        <v>9</v>
      </c>
      <c r="J21" s="10" t="s">
        <v>29</v>
      </c>
      <c r="K21" s="11">
        <v>3850000</v>
      </c>
      <c r="L21" s="12">
        <v>2</v>
      </c>
    </row>
    <row r="22" spans="9:12" x14ac:dyDescent="0.2">
      <c r="I22" s="9" t="s">
        <v>9</v>
      </c>
      <c r="J22" s="10" t="s">
        <v>30</v>
      </c>
      <c r="K22" s="11">
        <v>7850000</v>
      </c>
      <c r="L22" s="12">
        <v>1</v>
      </c>
    </row>
    <row r="23" spans="9:12" x14ac:dyDescent="0.2">
      <c r="I23" s="9" t="s">
        <v>31</v>
      </c>
      <c r="J23" s="10" t="s">
        <v>32</v>
      </c>
      <c r="K23" s="11">
        <v>1450000</v>
      </c>
      <c r="L23" s="12">
        <v>5</v>
      </c>
    </row>
    <row r="24" spans="9:12" x14ac:dyDescent="0.2">
      <c r="I24" s="9" t="s">
        <v>31</v>
      </c>
      <c r="J24" s="10" t="s">
        <v>33</v>
      </c>
      <c r="K24" s="11">
        <v>2150000</v>
      </c>
      <c r="L24" s="12">
        <v>3</v>
      </c>
    </row>
    <row r="25" spans="9:12" x14ac:dyDescent="0.2">
      <c r="I25" s="9" t="s">
        <v>31</v>
      </c>
      <c r="J25" s="10" t="s">
        <v>121</v>
      </c>
      <c r="K25" s="11">
        <v>2650000</v>
      </c>
      <c r="L25" s="12">
        <v>4</v>
      </c>
    </row>
    <row r="26" spans="9:12" x14ac:dyDescent="0.2">
      <c r="I26" s="9" t="s">
        <v>31</v>
      </c>
      <c r="J26" s="10" t="s">
        <v>119</v>
      </c>
      <c r="K26" s="11">
        <v>3250000</v>
      </c>
      <c r="L26" s="12">
        <v>2</v>
      </c>
    </row>
    <row r="27" spans="9:12" x14ac:dyDescent="0.2">
      <c r="I27" s="9" t="s">
        <v>34</v>
      </c>
      <c r="J27" s="10" t="s">
        <v>35</v>
      </c>
      <c r="K27" s="11">
        <v>1250000</v>
      </c>
      <c r="L27" s="12">
        <v>6</v>
      </c>
    </row>
    <row r="28" spans="9:12" x14ac:dyDescent="0.2">
      <c r="I28" s="9" t="s">
        <v>34</v>
      </c>
      <c r="J28" s="10" t="s">
        <v>36</v>
      </c>
      <c r="K28" s="11">
        <v>2250000</v>
      </c>
      <c r="L28" s="12">
        <v>3</v>
      </c>
    </row>
    <row r="29" spans="9:12" x14ac:dyDescent="0.2">
      <c r="I29" s="9" t="s">
        <v>34</v>
      </c>
      <c r="J29" s="10" t="s">
        <v>37</v>
      </c>
      <c r="K29" s="11">
        <v>2850000</v>
      </c>
      <c r="L29" s="12">
        <v>2</v>
      </c>
    </row>
    <row r="30" spans="9:12" x14ac:dyDescent="0.2">
      <c r="I30" s="9" t="s">
        <v>34</v>
      </c>
      <c r="J30" s="10" t="s">
        <v>38</v>
      </c>
      <c r="K30" s="11">
        <v>6450000</v>
      </c>
      <c r="L30" s="12">
        <v>1</v>
      </c>
    </row>
    <row r="31" spans="9:12" x14ac:dyDescent="0.2">
      <c r="I31" s="9" t="s">
        <v>11</v>
      </c>
      <c r="J31" s="10" t="s">
        <v>39</v>
      </c>
      <c r="K31" s="11">
        <v>1350000</v>
      </c>
      <c r="L31" s="12">
        <v>5</v>
      </c>
    </row>
    <row r="32" spans="9:12" x14ac:dyDescent="0.2">
      <c r="I32" s="9" t="s">
        <v>11</v>
      </c>
      <c r="J32" s="10" t="s">
        <v>40</v>
      </c>
      <c r="K32" s="11">
        <v>2150000</v>
      </c>
      <c r="L32" s="12">
        <v>3</v>
      </c>
    </row>
    <row r="33" spans="9:12" x14ac:dyDescent="0.2">
      <c r="I33" s="9" t="s">
        <v>11</v>
      </c>
      <c r="J33" s="10" t="s">
        <v>41</v>
      </c>
      <c r="K33" s="11">
        <v>2750000</v>
      </c>
      <c r="L33" s="12">
        <v>2</v>
      </c>
    </row>
    <row r="34" spans="9:12" x14ac:dyDescent="0.2">
      <c r="I34" s="9" t="s">
        <v>12</v>
      </c>
      <c r="J34" s="10" t="s">
        <v>118</v>
      </c>
      <c r="K34" s="11">
        <v>1150000</v>
      </c>
      <c r="L34" s="12">
        <v>6</v>
      </c>
    </row>
    <row r="35" spans="9:12" x14ac:dyDescent="0.2">
      <c r="I35" s="9" t="s">
        <v>12</v>
      </c>
      <c r="J35" s="10" t="s">
        <v>117</v>
      </c>
      <c r="K35" s="11">
        <v>1950000</v>
      </c>
      <c r="L35" s="12">
        <v>3</v>
      </c>
    </row>
    <row r="36" spans="9:12" x14ac:dyDescent="0.2">
      <c r="I36" s="9" t="s">
        <v>12</v>
      </c>
      <c r="J36" s="10" t="s">
        <v>116</v>
      </c>
      <c r="K36" s="11">
        <v>2550000</v>
      </c>
      <c r="L36" s="12">
        <v>2</v>
      </c>
    </row>
    <row r="37" spans="9:12" x14ac:dyDescent="0.2">
      <c r="I37" s="9" t="s">
        <v>12</v>
      </c>
      <c r="J37" s="10" t="s">
        <v>42</v>
      </c>
      <c r="K37" s="11">
        <v>4950000</v>
      </c>
      <c r="L37" s="12">
        <v>1</v>
      </c>
    </row>
    <row r="38" spans="9:12" x14ac:dyDescent="0.2">
      <c r="I38" s="9" t="s">
        <v>43</v>
      </c>
      <c r="J38" s="10" t="s">
        <v>44</v>
      </c>
      <c r="K38" s="11">
        <v>1100000</v>
      </c>
      <c r="L38" s="12">
        <v>7</v>
      </c>
    </row>
    <row r="39" spans="9:12" x14ac:dyDescent="0.2">
      <c r="I39" s="9" t="s">
        <v>43</v>
      </c>
      <c r="J39" s="10" t="s">
        <v>45</v>
      </c>
      <c r="K39" s="11">
        <v>2350000</v>
      </c>
      <c r="L39" s="12">
        <v>3</v>
      </c>
    </row>
    <row r="40" spans="9:12" x14ac:dyDescent="0.2">
      <c r="I40" s="9" t="s">
        <v>43</v>
      </c>
      <c r="J40" s="10" t="s">
        <v>46</v>
      </c>
      <c r="K40" s="11">
        <v>3150000</v>
      </c>
      <c r="L40" s="12">
        <v>2</v>
      </c>
    </row>
    <row r="41" spans="9:12" x14ac:dyDescent="0.2">
      <c r="I41" s="9" t="s">
        <v>13</v>
      </c>
      <c r="J41" s="10" t="s">
        <v>47</v>
      </c>
      <c r="K41" s="11">
        <v>1450000</v>
      </c>
      <c r="L41" s="12">
        <v>4</v>
      </c>
    </row>
    <row r="42" spans="9:12" x14ac:dyDescent="0.2">
      <c r="I42" s="9" t="s">
        <v>13</v>
      </c>
      <c r="J42" s="10" t="s">
        <v>48</v>
      </c>
      <c r="K42" s="11">
        <v>2150000</v>
      </c>
      <c r="L42" s="12">
        <v>3</v>
      </c>
    </row>
    <row r="43" spans="9:12" x14ac:dyDescent="0.2">
      <c r="I43" s="9" t="s">
        <v>49</v>
      </c>
      <c r="J43" s="10" t="s">
        <v>50</v>
      </c>
      <c r="K43" s="11">
        <v>2450000</v>
      </c>
      <c r="L43" s="12">
        <v>2</v>
      </c>
    </row>
    <row r="44" spans="9:12" x14ac:dyDescent="0.2">
      <c r="I44" s="9" t="s">
        <v>49</v>
      </c>
      <c r="J44" s="10" t="s">
        <v>51</v>
      </c>
      <c r="K44" s="11">
        <v>1950000</v>
      </c>
      <c r="L44" s="12">
        <v>3</v>
      </c>
    </row>
    <row r="45" spans="9:12" x14ac:dyDescent="0.2">
      <c r="I45" s="9" t="s">
        <v>52</v>
      </c>
      <c r="J45" s="10" t="s">
        <v>120</v>
      </c>
      <c r="K45" s="11">
        <v>1050000</v>
      </c>
      <c r="L45" s="12">
        <v>6</v>
      </c>
    </row>
    <row r="46" spans="9:12" x14ac:dyDescent="0.2">
      <c r="I46" s="9" t="s">
        <v>52</v>
      </c>
      <c r="J46" s="10" t="s">
        <v>53</v>
      </c>
      <c r="K46" s="11">
        <v>1850000</v>
      </c>
      <c r="L46" s="12">
        <v>3</v>
      </c>
    </row>
    <row r="47" spans="9:12" x14ac:dyDescent="0.2">
      <c r="I47" s="9" t="s">
        <v>52</v>
      </c>
      <c r="J47" s="10" t="s">
        <v>54</v>
      </c>
      <c r="K47" s="11">
        <v>2650000</v>
      </c>
      <c r="L47" s="12">
        <v>2</v>
      </c>
    </row>
    <row r="48" spans="9:12" x14ac:dyDescent="0.2">
      <c r="I48" s="4" t="s">
        <v>63</v>
      </c>
      <c r="J48" s="5" t="s">
        <v>66</v>
      </c>
      <c r="K48" s="11">
        <v>1850000</v>
      </c>
      <c r="L48" s="7">
        <v>3</v>
      </c>
    </row>
    <row r="49" spans="9:12" x14ac:dyDescent="0.2">
      <c r="I49" s="10" t="s">
        <v>43</v>
      </c>
      <c r="J49" s="12" t="s">
        <v>59</v>
      </c>
      <c r="K49" s="11">
        <v>1050000</v>
      </c>
      <c r="L49" s="7">
        <v>5</v>
      </c>
    </row>
    <row r="50" spans="9:12" x14ac:dyDescent="0.2">
      <c r="I50" s="59" t="s">
        <v>63</v>
      </c>
      <c r="J50" s="60" t="s">
        <v>64</v>
      </c>
      <c r="K50" s="6">
        <v>1450000</v>
      </c>
      <c r="L50" s="7">
        <v>6</v>
      </c>
    </row>
    <row r="55" spans="9:12" x14ac:dyDescent="0.2">
      <c r="I55" s="34"/>
      <c r="J55" s="34"/>
      <c r="K55" s="3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E45F-2030-4398-B53D-84B3F1446CFF}">
  <dimension ref="A7:S18"/>
  <sheetViews>
    <sheetView showGridLines="0" zoomScale="130" zoomScaleNormal="130" workbookViewId="0"/>
  </sheetViews>
  <sheetFormatPr defaultRowHeight="14.25" x14ac:dyDescent="0.2"/>
  <cols>
    <col min="1" max="6" width="3.7109375" style="1" customWidth="1"/>
    <col min="7" max="7" width="9.140625" style="2"/>
    <col min="8" max="8" width="10.85546875" style="2" bestFit="1" customWidth="1"/>
    <col min="9" max="9" width="11.140625" style="2" bestFit="1" customWidth="1"/>
    <col min="10" max="10" width="16.85546875" style="2" bestFit="1" customWidth="1"/>
    <col min="11" max="11" width="15" style="2" bestFit="1" customWidth="1"/>
    <col min="12" max="12" width="18.140625" style="2" bestFit="1" customWidth="1"/>
    <col min="13" max="13" width="12.85546875" style="2" bestFit="1" customWidth="1"/>
    <col min="14" max="14" width="10" style="2" bestFit="1" customWidth="1"/>
    <col min="15" max="15" width="15.140625" style="2" bestFit="1" customWidth="1"/>
    <col min="16" max="16" width="10" style="2" bestFit="1" customWidth="1"/>
    <col min="17" max="17" width="23.5703125" style="2" bestFit="1" customWidth="1"/>
    <col min="18" max="18" width="7.42578125" style="2" bestFit="1" customWidth="1"/>
    <col min="19" max="19" width="16.42578125" style="2" bestFit="1" customWidth="1"/>
    <col min="20" max="16384" width="9.140625" style="2"/>
  </cols>
  <sheetData>
    <row r="7" spans="8:19" ht="15" x14ac:dyDescent="0.25">
      <c r="H7"/>
      <c r="I7" s="17" t="s">
        <v>55</v>
      </c>
      <c r="J7" s="18" t="s">
        <v>69</v>
      </c>
      <c r="K7" s="18" t="s">
        <v>70</v>
      </c>
      <c r="L7" s="18" t="s">
        <v>71</v>
      </c>
      <c r="M7" s="18" t="s">
        <v>56</v>
      </c>
      <c r="N7" s="19" t="s">
        <v>57</v>
      </c>
      <c r="O7" s="18" t="s">
        <v>97</v>
      </c>
      <c r="P7" s="18" t="s">
        <v>98</v>
      </c>
      <c r="Q7" s="18" t="s">
        <v>99</v>
      </c>
      <c r="R7" s="18" t="s">
        <v>100</v>
      </c>
      <c r="S7" s="18" t="s">
        <v>101</v>
      </c>
    </row>
    <row r="8" spans="8:19" ht="15" x14ac:dyDescent="0.25">
      <c r="H8"/>
      <c r="I8" s="37">
        <v>45155</v>
      </c>
      <c r="J8" s="38" t="s">
        <v>72</v>
      </c>
      <c r="K8" s="38" t="s">
        <v>73</v>
      </c>
      <c r="L8" s="38" t="s">
        <v>58</v>
      </c>
      <c r="M8" s="38" t="s">
        <v>4</v>
      </c>
      <c r="N8" s="39" t="s">
        <v>6</v>
      </c>
      <c r="O8" s="40">
        <f>VLOOKUP(Tablo4[[#This Row],[Modeli]],Products!J4:K48,2,0)</f>
        <v>3500000</v>
      </c>
      <c r="P8" s="41">
        <v>0.01</v>
      </c>
      <c r="Q8" s="42">
        <f>Tablo4[[#This Row],[Liste Fiyatı]]*(1-Tablo4[[#This Row],[İskonto]])</f>
        <v>3465000</v>
      </c>
      <c r="R8" s="43">
        <v>5</v>
      </c>
      <c r="S8" s="55">
        <f>Tablo4[[#This Row],[Satış Fiyatı]]*Tablo4[[#This Row],[Adet]]</f>
        <v>17325000</v>
      </c>
    </row>
    <row r="9" spans="8:19" ht="15" x14ac:dyDescent="0.25">
      <c r="H9"/>
      <c r="I9" s="44">
        <v>45170</v>
      </c>
      <c r="J9" s="45" t="s">
        <v>72</v>
      </c>
      <c r="K9" s="45" t="s">
        <v>74</v>
      </c>
      <c r="L9" s="45" t="s">
        <v>58</v>
      </c>
      <c r="M9" s="45" t="s">
        <v>43</v>
      </c>
      <c r="N9" s="46" t="s">
        <v>59</v>
      </c>
      <c r="O9" s="47">
        <f>VLOOKUP(Tablo4[[#This Row],[Modeli]],Products!J5:K49,2,0)</f>
        <v>1050000</v>
      </c>
      <c r="P9" s="48">
        <v>0.02</v>
      </c>
      <c r="Q9" s="49">
        <f>Tablo4[[#This Row],[Liste Fiyatı]]*(1-Tablo4[[#This Row],[İskonto]])</f>
        <v>1029000</v>
      </c>
      <c r="R9" s="10">
        <v>2</v>
      </c>
      <c r="S9" s="35">
        <f>Tablo4[[#This Row],[Satış Fiyatı]]*Tablo4[[#This Row],[Adet]]</f>
        <v>2058000</v>
      </c>
    </row>
    <row r="10" spans="8:19" x14ac:dyDescent="0.2">
      <c r="H10" s="13"/>
      <c r="I10" s="50">
        <v>45175</v>
      </c>
      <c r="J10" s="51" t="s">
        <v>75</v>
      </c>
      <c r="K10" s="51" t="s">
        <v>76</v>
      </c>
      <c r="L10" s="51" t="s">
        <v>58</v>
      </c>
      <c r="M10" s="52" t="s">
        <v>52</v>
      </c>
      <c r="N10" s="52" t="s">
        <v>120</v>
      </c>
      <c r="O10" s="40">
        <f>VLOOKUP(Tablo4[[#This Row],[Modeli]],Products!J6:K50,2,0)</f>
        <v>1050000</v>
      </c>
      <c r="P10" s="41">
        <v>0.01</v>
      </c>
      <c r="Q10" s="42">
        <f>Tablo4[[#This Row],[Liste Fiyatı]]*(1-Tablo4[[#This Row],[İskonto]])</f>
        <v>1039500</v>
      </c>
      <c r="R10" s="43">
        <v>3</v>
      </c>
      <c r="S10" s="55">
        <f>Tablo4[[#This Row],[Satış Fiyatı]]*Tablo4[[#This Row],[Adet]]</f>
        <v>3118500</v>
      </c>
    </row>
    <row r="11" spans="8:19" x14ac:dyDescent="0.2">
      <c r="H11" s="13"/>
      <c r="I11" s="44">
        <v>45177</v>
      </c>
      <c r="J11" s="45" t="s">
        <v>75</v>
      </c>
      <c r="K11" s="45" t="s">
        <v>77</v>
      </c>
      <c r="L11" s="45" t="s">
        <v>60</v>
      </c>
      <c r="M11" s="45" t="s">
        <v>61</v>
      </c>
      <c r="N11" s="46" t="s">
        <v>59</v>
      </c>
      <c r="O11" s="47">
        <f>VLOOKUP(Tablo4[[#This Row],[Modeli]],Products!J7:K55,2,0)</f>
        <v>1050000</v>
      </c>
      <c r="P11" s="48">
        <v>0.02</v>
      </c>
      <c r="Q11" s="49">
        <f>Tablo4[[#This Row],[Liste Fiyatı]]*(1-Tablo4[[#This Row],[İskonto]])</f>
        <v>1029000</v>
      </c>
      <c r="R11" s="10">
        <v>6</v>
      </c>
      <c r="S11" s="35">
        <f>Tablo4[[#This Row],[Satış Fiyatı]]*Tablo4[[#This Row],[Adet]]</f>
        <v>6174000</v>
      </c>
    </row>
    <row r="12" spans="8:19" x14ac:dyDescent="0.2">
      <c r="H12" s="13"/>
      <c r="I12" s="50">
        <v>45206</v>
      </c>
      <c r="J12" s="51" t="s">
        <v>78</v>
      </c>
      <c r="K12" s="51" t="s">
        <v>79</v>
      </c>
      <c r="L12" s="51" t="s">
        <v>62</v>
      </c>
      <c r="M12" s="51" t="s">
        <v>63</v>
      </c>
      <c r="N12" s="52" t="s">
        <v>64</v>
      </c>
      <c r="O12" s="40">
        <f>VLOOKUP(Tablo4[[#This Row],[Modeli]],Products!J8:K56,2,0)</f>
        <v>1450000</v>
      </c>
      <c r="P12" s="41">
        <v>5.0000000000000001E-3</v>
      </c>
      <c r="Q12" s="42">
        <f>Tablo4[[#This Row],[Liste Fiyatı]]*(1-Tablo4[[#This Row],[İskonto]])</f>
        <v>1442750</v>
      </c>
      <c r="R12" s="43">
        <v>3</v>
      </c>
      <c r="S12" s="55">
        <f>Tablo4[[#This Row],[Satış Fiyatı]]*Tablo4[[#This Row],[Adet]]</f>
        <v>4328250</v>
      </c>
    </row>
    <row r="13" spans="8:19" x14ac:dyDescent="0.2">
      <c r="H13" s="13"/>
      <c r="I13" s="44">
        <v>44927</v>
      </c>
      <c r="J13" s="45" t="s">
        <v>78</v>
      </c>
      <c r="K13" s="45" t="s">
        <v>80</v>
      </c>
      <c r="L13" s="45" t="s">
        <v>65</v>
      </c>
      <c r="M13" s="45" t="s">
        <v>63</v>
      </c>
      <c r="N13" s="46" t="s">
        <v>66</v>
      </c>
      <c r="O13" s="47">
        <f>VLOOKUP(Tablo4[[#This Row],[Modeli]],Products!J9:K57,2,0)</f>
        <v>1850000</v>
      </c>
      <c r="P13" s="48">
        <v>0.02</v>
      </c>
      <c r="Q13" s="49">
        <f>Tablo4[[#This Row],[Liste Fiyatı]]*(1-Tablo4[[#This Row],[İskonto]])</f>
        <v>1813000</v>
      </c>
      <c r="R13" s="10">
        <v>2</v>
      </c>
      <c r="S13" s="35">
        <f>Tablo4[[#This Row],[Satış Fiyatı]]*Tablo4[[#This Row],[Adet]]</f>
        <v>3626000</v>
      </c>
    </row>
    <row r="14" spans="8:19" x14ac:dyDescent="0.2">
      <c r="H14" s="13"/>
      <c r="I14" s="50">
        <v>44958</v>
      </c>
      <c r="J14" s="51" t="s">
        <v>81</v>
      </c>
      <c r="K14" s="51" t="s">
        <v>82</v>
      </c>
      <c r="L14" s="51" t="s">
        <v>67</v>
      </c>
      <c r="M14" s="51" t="s">
        <v>12</v>
      </c>
      <c r="N14" s="51" t="s">
        <v>116</v>
      </c>
      <c r="O14" s="40">
        <f>VLOOKUP(Tablo4[[#This Row],[Modeli]],Products!J10:K58,2,0)</f>
        <v>2550000</v>
      </c>
      <c r="P14" s="41">
        <v>0.01</v>
      </c>
      <c r="Q14" s="42">
        <f>Tablo4[[#This Row],[Liste Fiyatı]]*(1-Tablo4[[#This Row],[İskonto]])</f>
        <v>2524500</v>
      </c>
      <c r="R14" s="43">
        <v>6</v>
      </c>
      <c r="S14" s="55">
        <f>Tablo4[[#This Row],[Satış Fiyatı]]*Tablo4[[#This Row],[Adet]]</f>
        <v>15147000</v>
      </c>
    </row>
    <row r="15" spans="8:19" x14ac:dyDescent="0.2">
      <c r="H15" s="13"/>
      <c r="I15" s="44">
        <v>44963</v>
      </c>
      <c r="J15" s="45" t="s">
        <v>72</v>
      </c>
      <c r="K15" s="45" t="s">
        <v>83</v>
      </c>
      <c r="L15" s="45" t="s">
        <v>58</v>
      </c>
      <c r="M15" s="45" t="s">
        <v>43</v>
      </c>
      <c r="N15" s="46" t="s">
        <v>59</v>
      </c>
      <c r="O15" s="47">
        <f>VLOOKUP(Tablo4[[#This Row],[Modeli]],Products!J11:K59,2,0)</f>
        <v>1050000</v>
      </c>
      <c r="P15" s="48">
        <v>0.01</v>
      </c>
      <c r="Q15" s="49">
        <f>Tablo4[[#This Row],[Liste Fiyatı]]*(1-Tablo4[[#This Row],[İskonto]])</f>
        <v>1039500</v>
      </c>
      <c r="R15" s="10">
        <v>5</v>
      </c>
      <c r="S15" s="35">
        <f>Tablo4[[#This Row],[Satış Fiyatı]]*Tablo4[[#This Row],[Adet]]</f>
        <v>5197500</v>
      </c>
    </row>
    <row r="16" spans="8:19" x14ac:dyDescent="0.2">
      <c r="H16" s="13"/>
      <c r="I16" s="50">
        <v>44993</v>
      </c>
      <c r="J16" s="51" t="s">
        <v>75</v>
      </c>
      <c r="K16" s="51" t="s">
        <v>84</v>
      </c>
      <c r="L16" s="51" t="s">
        <v>68</v>
      </c>
      <c r="M16" s="51" t="s">
        <v>31</v>
      </c>
      <c r="N16" s="51" t="s">
        <v>119</v>
      </c>
      <c r="O16" s="40">
        <f>VLOOKUP(Tablo4[[#This Row],[Modeli]],Products!J12:K60,2,0)</f>
        <v>3250000</v>
      </c>
      <c r="P16" s="41">
        <v>0.02</v>
      </c>
      <c r="Q16" s="42">
        <f>Tablo4[[#This Row],[Liste Fiyatı]]*(1-Tablo4[[#This Row],[İskonto]])</f>
        <v>3185000</v>
      </c>
      <c r="R16" s="43">
        <v>8</v>
      </c>
      <c r="S16" s="55">
        <f>Tablo4[[#This Row],[Satış Fiyatı]]*Tablo4[[#This Row],[Adet]]</f>
        <v>25480000</v>
      </c>
    </row>
    <row r="17" spans="8:19" x14ac:dyDescent="0.2">
      <c r="H17" s="13"/>
      <c r="I17" s="53">
        <v>44992</v>
      </c>
      <c r="J17" s="54" t="s">
        <v>72</v>
      </c>
      <c r="K17" s="54" t="s">
        <v>85</v>
      </c>
      <c r="L17" s="54" t="s">
        <v>67</v>
      </c>
      <c r="M17" s="54" t="s">
        <v>31</v>
      </c>
      <c r="N17" s="54" t="s">
        <v>121</v>
      </c>
      <c r="O17" s="47">
        <f>VLOOKUP(Tablo4[[#This Row],[Modeli]],Products!J13:K61,2,0)</f>
        <v>2650000</v>
      </c>
      <c r="P17" s="48">
        <v>5.0000000000000001E-3</v>
      </c>
      <c r="Q17" s="49">
        <f>Tablo4[[#This Row],[Liste Fiyatı]]*(1-Tablo4[[#This Row],[İskonto]])</f>
        <v>2636750</v>
      </c>
      <c r="R17" s="5">
        <v>7</v>
      </c>
      <c r="S17" s="36">
        <f>Tablo4[[#This Row],[Satış Fiyatı]]*Tablo4[[#This Row],[Adet]]</f>
        <v>18457250</v>
      </c>
    </row>
    <row r="18" spans="8:19" x14ac:dyDescent="0.2">
      <c r="H18" s="13"/>
    </row>
  </sheetData>
  <dataConsolidate>
    <dataRefs count="1">
      <dataRef ref="I8:J18" sheet="Sales"/>
    </dataRefs>
  </dataConsolidate>
  <dataValidations count="1">
    <dataValidation type="list" allowBlank="1" showInputMessage="1" showErrorMessage="1" sqref="J8:J17" xr:uid="{6C636C7D-5647-4165-BCF8-CBF1B393124A}">
      <formula1>Personeller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1BCB-FC76-4AA5-B44C-219C1EB76420}">
  <dimension ref="A7:N50"/>
  <sheetViews>
    <sheetView showGridLines="0" zoomScale="130" zoomScaleNormal="130" workbookViewId="0"/>
  </sheetViews>
  <sheetFormatPr defaultRowHeight="14.25" x14ac:dyDescent="0.2"/>
  <cols>
    <col min="1" max="6" width="3.7109375" style="1" customWidth="1"/>
    <col min="7" max="7" width="9.140625" style="2"/>
    <col min="8" max="8" width="17.28515625" style="2" bestFit="1" customWidth="1"/>
    <col min="9" max="9" width="12" style="2" bestFit="1" customWidth="1"/>
    <col min="10" max="10" width="9.85546875" style="3" bestFit="1" customWidth="1"/>
    <col min="11" max="11" width="13" style="2" bestFit="1" customWidth="1"/>
    <col min="12" max="12" width="14.85546875" style="2" bestFit="1" customWidth="1"/>
    <col min="13" max="13" width="20.5703125" style="2" bestFit="1" customWidth="1"/>
    <col min="14" max="14" width="17.140625" style="2" bestFit="1" customWidth="1"/>
    <col min="15" max="16384" width="9.140625" style="2"/>
  </cols>
  <sheetData>
    <row r="7" spans="9:14" ht="15" x14ac:dyDescent="0.25">
      <c r="I7" s="17" t="s">
        <v>86</v>
      </c>
      <c r="J7" s="18" t="s">
        <v>87</v>
      </c>
      <c r="K7" s="18" t="s">
        <v>88</v>
      </c>
      <c r="L7" s="19" t="s">
        <v>89</v>
      </c>
      <c r="M7" s="18" t="s">
        <v>95</v>
      </c>
      <c r="N7" s="18" t="s">
        <v>96</v>
      </c>
    </row>
    <row r="8" spans="9:14" ht="15" x14ac:dyDescent="0.25">
      <c r="I8" s="24" t="s">
        <v>72</v>
      </c>
      <c r="J8" s="14" t="s">
        <v>90</v>
      </c>
      <c r="K8" s="21">
        <v>3000000</v>
      </c>
      <c r="L8" s="27">
        <v>0.01</v>
      </c>
      <c r="M8" s="57">
        <f>IFERROR(
      SUMIFS(
           Tablo4[Toplam Tutar],
           Tablo4[Satış Personeli],
           Tablo4[[#This Row],[Satış Personeli]]),
           "Satış Bulunamadı")</f>
        <v>43037750</v>
      </c>
      <c r="N8" s="56">
        <f>IFERROR(Tablo5[[#This Row],[Toplam Satış Tutarı]]*Tablo5[[#This Row],[Prim Yüzdesi]],"Satış Bulunamadı")</f>
        <v>430377.5</v>
      </c>
    </row>
    <row r="9" spans="9:14" ht="15" x14ac:dyDescent="0.25">
      <c r="I9" s="25" t="s">
        <v>81</v>
      </c>
      <c r="J9" s="8" t="s">
        <v>90</v>
      </c>
      <c r="K9" s="22">
        <v>4000000</v>
      </c>
      <c r="L9" s="28">
        <v>0.02</v>
      </c>
      <c r="M9" s="58">
        <f>IFERROR(
      SUMIFS(
           Tablo4[Toplam Tutar],
           Tablo4[Satış Personeli],
           Tablo4[[#This Row],[Satış Personeli]]),
           "Satış Bulunamadı")</f>
        <v>43037750</v>
      </c>
      <c r="N9" s="58">
        <f>IFERROR(Tablo5[[#This Row],[Toplam Satış Tutarı]]*Tablo5[[#This Row],[Prim Yüzdesi]],"Satış Bulunamadı")</f>
        <v>860755</v>
      </c>
    </row>
    <row r="10" spans="9:14" ht="15" x14ac:dyDescent="0.25">
      <c r="I10" s="26" t="s">
        <v>91</v>
      </c>
      <c r="J10" s="15" t="s">
        <v>92</v>
      </c>
      <c r="K10" s="23">
        <v>4000000</v>
      </c>
      <c r="L10" s="29">
        <v>0.01</v>
      </c>
      <c r="M10" s="57">
        <f>IFERROR(
      SUMIFS(
           Tablo4[Toplam Tutar],
           Tablo4[Satış Personeli],
           Tablo4[[#This Row],[Satış Personeli]]),
           "Satış Bulunamadı")</f>
        <v>34772500</v>
      </c>
      <c r="N10" s="56">
        <f>IFERROR(Tablo5[[#This Row],[Toplam Satış Tutarı]]*Tablo5[[#This Row],[Prim Yüzdesi]],"Satış Bulunamadı")</f>
        <v>347725</v>
      </c>
    </row>
    <row r="11" spans="9:14" ht="15" x14ac:dyDescent="0.25">
      <c r="I11" s="25" t="s">
        <v>75</v>
      </c>
      <c r="J11" s="8" t="s">
        <v>92</v>
      </c>
      <c r="K11" s="22">
        <v>4500000</v>
      </c>
      <c r="L11" s="28">
        <v>0.02</v>
      </c>
      <c r="M11" s="58">
        <f>IFERROR(
      SUMIFS(
           Tablo4[Toplam Tutar],
           Tablo4[Satış Personeli],
           Tablo4[[#This Row],[Satış Personeli]]),
           "Satış Bulunamadı")</f>
        <v>34772500</v>
      </c>
      <c r="N11" s="58">
        <f>IFERROR(Tablo5[[#This Row],[Toplam Satış Tutarı]]*Tablo5[[#This Row],[Prim Yüzdesi]],"Satış Bulunamadı")</f>
        <v>695450</v>
      </c>
    </row>
    <row r="12" spans="9:14" ht="15" x14ac:dyDescent="0.25">
      <c r="I12" s="26" t="s">
        <v>93</v>
      </c>
      <c r="J12" s="15" t="s">
        <v>92</v>
      </c>
      <c r="K12" s="23">
        <v>3000000</v>
      </c>
      <c r="L12" s="29">
        <v>0.02</v>
      </c>
      <c r="M12" s="57">
        <f>IFERROR(
      SUMIFS(
           Tablo4[Toplam Tutar],
           Tablo4[Satış Personeli],
           Tablo4[[#This Row],[Satış Personeli]]),
           "Satış Bulunamadı")</f>
        <v>7954250</v>
      </c>
      <c r="N12" s="56">
        <f>IFERROR(Tablo5[[#This Row],[Toplam Satış Tutarı]]*Tablo5[[#This Row],[Prim Yüzdesi]],"Satış Bulunamadı")</f>
        <v>159085</v>
      </c>
    </row>
    <row r="13" spans="9:14" ht="15" x14ac:dyDescent="0.25">
      <c r="I13" s="30" t="s">
        <v>78</v>
      </c>
      <c r="J13" s="20" t="s">
        <v>94</v>
      </c>
      <c r="K13" s="31">
        <v>4000000</v>
      </c>
      <c r="L13" s="32">
        <v>0.01</v>
      </c>
      <c r="M13" s="58">
        <f>IFERROR(
      SUMIFS(
           Tablo4[Toplam Tutar],
           Tablo4[Satış Personeli],
           Tablo4[[#This Row],[Satış Personeli]]),
           "Satış Bulunamadı")</f>
        <v>7954250</v>
      </c>
      <c r="N13" s="58">
        <f>IFERROR(Tablo5[[#This Row],[Toplam Satış Tutarı]]*Tablo5[[#This Row],[Prim Yüzdesi]],"Satış Bulunamadı")</f>
        <v>79542.5</v>
      </c>
    </row>
    <row r="14" spans="9:14" x14ac:dyDescent="0.2">
      <c r="M14" s="3"/>
    </row>
    <row r="15" spans="9:14" x14ac:dyDescent="0.2">
      <c r="M15" s="3"/>
    </row>
    <row r="16" spans="9:14" x14ac:dyDescent="0.2">
      <c r="M16" s="3"/>
    </row>
    <row r="17" spans="13:13" x14ac:dyDescent="0.2">
      <c r="M17" s="3"/>
    </row>
    <row r="18" spans="13:13" x14ac:dyDescent="0.2">
      <c r="M18" s="3"/>
    </row>
    <row r="19" spans="13:13" x14ac:dyDescent="0.2">
      <c r="M19" s="3"/>
    </row>
    <row r="20" spans="13:13" x14ac:dyDescent="0.2">
      <c r="M20" s="3"/>
    </row>
    <row r="21" spans="13:13" x14ac:dyDescent="0.2">
      <c r="M21" s="3"/>
    </row>
    <row r="22" spans="13:13" x14ac:dyDescent="0.2">
      <c r="M22" s="3"/>
    </row>
    <row r="23" spans="13:13" x14ac:dyDescent="0.2">
      <c r="M23" s="3"/>
    </row>
    <row r="24" spans="13:13" x14ac:dyDescent="0.2">
      <c r="M24" s="3"/>
    </row>
    <row r="25" spans="13:13" x14ac:dyDescent="0.2">
      <c r="M25" s="3"/>
    </row>
    <row r="26" spans="13:13" x14ac:dyDescent="0.2">
      <c r="M26" s="3"/>
    </row>
    <row r="27" spans="13:13" x14ac:dyDescent="0.2">
      <c r="M27" s="3"/>
    </row>
    <row r="28" spans="13:13" x14ac:dyDescent="0.2">
      <c r="M28" s="3"/>
    </row>
    <row r="29" spans="13:13" x14ac:dyDescent="0.2">
      <c r="M29" s="3"/>
    </row>
    <row r="30" spans="13:13" x14ac:dyDescent="0.2">
      <c r="M30" s="3"/>
    </row>
    <row r="31" spans="13:13" x14ac:dyDescent="0.2">
      <c r="M31" s="3"/>
    </row>
    <row r="32" spans="13:13" x14ac:dyDescent="0.2">
      <c r="M32" s="3"/>
    </row>
    <row r="33" spans="13:13" x14ac:dyDescent="0.2">
      <c r="M33" s="3"/>
    </row>
    <row r="34" spans="13:13" x14ac:dyDescent="0.2">
      <c r="M34" s="3"/>
    </row>
    <row r="35" spans="13:13" x14ac:dyDescent="0.2">
      <c r="M35" s="3"/>
    </row>
    <row r="36" spans="13:13" x14ac:dyDescent="0.2">
      <c r="M36" s="3"/>
    </row>
    <row r="37" spans="13:13" x14ac:dyDescent="0.2">
      <c r="M37" s="3"/>
    </row>
    <row r="38" spans="13:13" x14ac:dyDescent="0.2">
      <c r="M38" s="3"/>
    </row>
    <row r="39" spans="13:13" x14ac:dyDescent="0.2">
      <c r="M39" s="3"/>
    </row>
    <row r="40" spans="13:13" x14ac:dyDescent="0.2">
      <c r="M40" s="3"/>
    </row>
    <row r="41" spans="13:13" x14ac:dyDescent="0.2">
      <c r="M41" s="3"/>
    </row>
    <row r="42" spans="13:13" x14ac:dyDescent="0.2">
      <c r="M42" s="3"/>
    </row>
    <row r="43" spans="13:13" x14ac:dyDescent="0.2">
      <c r="M43" s="3"/>
    </row>
    <row r="44" spans="13:13" x14ac:dyDescent="0.2">
      <c r="M44" s="3"/>
    </row>
    <row r="45" spans="13:13" x14ac:dyDescent="0.2">
      <c r="M45" s="3"/>
    </row>
    <row r="46" spans="13:13" x14ac:dyDescent="0.2">
      <c r="M46" s="3"/>
    </row>
    <row r="47" spans="13:13" x14ac:dyDescent="0.2">
      <c r="M47" s="3"/>
    </row>
    <row r="48" spans="13:13" x14ac:dyDescent="0.2">
      <c r="M48" s="3"/>
    </row>
    <row r="49" spans="8:13" x14ac:dyDescent="0.2">
      <c r="M49" s="3"/>
    </row>
    <row r="50" spans="8:13" x14ac:dyDescent="0.2">
      <c r="H50" s="2" t="e" vm="1"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43E4-CFA3-4326-9777-911248005CBC}">
  <dimension ref="A1:C59"/>
  <sheetViews>
    <sheetView topLeftCell="A25" zoomScale="130" zoomScaleNormal="130" workbookViewId="0">
      <selection activeCell="B59" sqref="A56:B59"/>
    </sheetView>
  </sheetViews>
  <sheetFormatPr defaultRowHeight="14.25" x14ac:dyDescent="0.2"/>
  <cols>
    <col min="1" max="1" width="17.5703125" style="2" bestFit="1" customWidth="1"/>
    <col min="2" max="2" width="17.28515625" style="2" bestFit="1" customWidth="1"/>
    <col min="3" max="3" width="11.7109375" style="2" bestFit="1" customWidth="1"/>
    <col min="4" max="6" width="9.140625" style="2"/>
    <col min="7" max="7" width="10.140625" style="2" bestFit="1" customWidth="1"/>
    <col min="8" max="11" width="9.140625" style="2"/>
    <col min="12" max="12" width="8.140625" style="2" bestFit="1" customWidth="1"/>
    <col min="13" max="16384" width="9.140625" style="2"/>
  </cols>
  <sheetData>
    <row r="1" spans="1:3" x14ac:dyDescent="0.2">
      <c r="B1" s="2" t="s">
        <v>114</v>
      </c>
      <c r="C1" s="61">
        <f>$B$11</f>
        <v>100911500</v>
      </c>
    </row>
    <row r="2" spans="1:3" x14ac:dyDescent="0.2">
      <c r="B2" s="2" t="s">
        <v>115</v>
      </c>
      <c r="C2" s="2">
        <f>$C$11</f>
        <v>47</v>
      </c>
    </row>
    <row r="6" spans="1:3" x14ac:dyDescent="0.2">
      <c r="A6" s="62" t="s">
        <v>102</v>
      </c>
      <c r="B6" s="2" t="s">
        <v>105</v>
      </c>
      <c r="C6" s="2" t="s">
        <v>106</v>
      </c>
    </row>
    <row r="7" spans="1:3" x14ac:dyDescent="0.2">
      <c r="A7" s="63" t="s">
        <v>78</v>
      </c>
      <c r="B7" s="61">
        <v>7954250</v>
      </c>
      <c r="C7" s="2">
        <v>5</v>
      </c>
    </row>
    <row r="8" spans="1:3" x14ac:dyDescent="0.2">
      <c r="A8" s="63" t="s">
        <v>81</v>
      </c>
      <c r="B8" s="61">
        <v>15147000</v>
      </c>
      <c r="C8" s="2">
        <v>6</v>
      </c>
    </row>
    <row r="9" spans="1:3" x14ac:dyDescent="0.2">
      <c r="A9" s="63" t="s">
        <v>75</v>
      </c>
      <c r="B9" s="61">
        <v>34772500</v>
      </c>
      <c r="C9" s="2">
        <v>17</v>
      </c>
    </row>
    <row r="10" spans="1:3" x14ac:dyDescent="0.2">
      <c r="A10" s="63" t="s">
        <v>72</v>
      </c>
      <c r="B10" s="61">
        <v>43037750</v>
      </c>
      <c r="C10" s="2">
        <v>19</v>
      </c>
    </row>
    <row r="11" spans="1:3" x14ac:dyDescent="0.2">
      <c r="A11" s="63" t="s">
        <v>107</v>
      </c>
      <c r="B11" s="61">
        <v>100911500</v>
      </c>
      <c r="C11" s="2">
        <v>47</v>
      </c>
    </row>
    <row r="14" spans="1:3" x14ac:dyDescent="0.2">
      <c r="A14" s="62" t="s">
        <v>102</v>
      </c>
      <c r="B14" s="2" t="s">
        <v>106</v>
      </c>
    </row>
    <row r="15" spans="1:3" x14ac:dyDescent="0.2">
      <c r="A15" s="63" t="s">
        <v>108</v>
      </c>
      <c r="B15" s="2">
        <v>2</v>
      </c>
    </row>
    <row r="16" spans="1:3" x14ac:dyDescent="0.2">
      <c r="A16" s="63" t="s">
        <v>109</v>
      </c>
      <c r="B16" s="2">
        <v>11</v>
      </c>
    </row>
    <row r="17" spans="1:2" x14ac:dyDescent="0.2">
      <c r="A17" s="63" t="s">
        <v>110</v>
      </c>
      <c r="B17" s="2">
        <v>15</v>
      </c>
    </row>
    <row r="18" spans="1:2" x14ac:dyDescent="0.2">
      <c r="A18" s="63" t="s">
        <v>111</v>
      </c>
      <c r="B18" s="2">
        <v>5</v>
      </c>
    </row>
    <row r="19" spans="1:2" x14ac:dyDescent="0.2">
      <c r="A19" s="63" t="s">
        <v>112</v>
      </c>
      <c r="B19" s="2">
        <v>11</v>
      </c>
    </row>
    <row r="20" spans="1:2" x14ac:dyDescent="0.2">
      <c r="A20" s="63" t="s">
        <v>113</v>
      </c>
      <c r="B20" s="2">
        <v>3</v>
      </c>
    </row>
    <row r="21" spans="1:2" x14ac:dyDescent="0.2">
      <c r="A21" s="63" t="s">
        <v>107</v>
      </c>
      <c r="B21" s="2">
        <v>47</v>
      </c>
    </row>
    <row r="25" spans="1:2" x14ac:dyDescent="0.2">
      <c r="A25" s="62" t="s">
        <v>102</v>
      </c>
      <c r="B25" s="2" t="s">
        <v>103</v>
      </c>
    </row>
    <row r="26" spans="1:2" x14ac:dyDescent="0.2">
      <c r="A26" s="63" t="s">
        <v>52</v>
      </c>
      <c r="B26" s="61">
        <v>3118500</v>
      </c>
    </row>
    <row r="27" spans="1:2" x14ac:dyDescent="0.2">
      <c r="A27" s="63" t="s">
        <v>61</v>
      </c>
      <c r="B27" s="61">
        <v>6174000</v>
      </c>
    </row>
    <row r="28" spans="1:2" x14ac:dyDescent="0.2">
      <c r="A28" s="63" t="s">
        <v>43</v>
      </c>
      <c r="B28" s="61">
        <v>7255500</v>
      </c>
    </row>
    <row r="29" spans="1:2" x14ac:dyDescent="0.2">
      <c r="A29" s="63" t="s">
        <v>63</v>
      </c>
      <c r="B29" s="61">
        <v>7954250</v>
      </c>
    </row>
    <row r="30" spans="1:2" x14ac:dyDescent="0.2">
      <c r="A30" s="63" t="s">
        <v>12</v>
      </c>
      <c r="B30" s="61">
        <v>15147000</v>
      </c>
    </row>
    <row r="31" spans="1:2" x14ac:dyDescent="0.2">
      <c r="A31" s="63" t="s">
        <v>4</v>
      </c>
      <c r="B31" s="61">
        <v>17325000</v>
      </c>
    </row>
    <row r="32" spans="1:2" x14ac:dyDescent="0.2">
      <c r="A32" s="63" t="s">
        <v>31</v>
      </c>
      <c r="B32" s="61">
        <v>43937250</v>
      </c>
    </row>
    <row r="33" spans="1:2" x14ac:dyDescent="0.2">
      <c r="A33" s="63" t="s">
        <v>107</v>
      </c>
      <c r="B33" s="61">
        <v>100911500</v>
      </c>
    </row>
    <row r="36" spans="1:2" x14ac:dyDescent="0.2">
      <c r="A36" s="62" t="s">
        <v>102</v>
      </c>
      <c r="B36" s="2" t="s">
        <v>103</v>
      </c>
    </row>
    <row r="37" spans="1:2" x14ac:dyDescent="0.2">
      <c r="A37" s="63" t="s">
        <v>81</v>
      </c>
      <c r="B37" s="2">
        <v>15147000</v>
      </c>
    </row>
    <row r="38" spans="1:2" x14ac:dyDescent="0.2">
      <c r="A38" s="63" t="s">
        <v>75</v>
      </c>
      <c r="B38" s="2">
        <v>34772500</v>
      </c>
    </row>
    <row r="39" spans="1:2" x14ac:dyDescent="0.2">
      <c r="A39" s="63" t="s">
        <v>72</v>
      </c>
      <c r="B39" s="2">
        <v>43037750</v>
      </c>
    </row>
    <row r="40" spans="1:2" x14ac:dyDescent="0.2">
      <c r="A40" s="63" t="s">
        <v>78</v>
      </c>
      <c r="B40" s="2">
        <v>7954250</v>
      </c>
    </row>
    <row r="41" spans="1:2" x14ac:dyDescent="0.2">
      <c r="A41" s="63" t="s">
        <v>107</v>
      </c>
      <c r="B41" s="2">
        <v>100911500</v>
      </c>
    </row>
    <row r="44" spans="1:2" x14ac:dyDescent="0.2">
      <c r="A44" s="62" t="s">
        <v>102</v>
      </c>
      <c r="B44" s="2" t="s">
        <v>104</v>
      </c>
    </row>
    <row r="45" spans="1:2" x14ac:dyDescent="0.2">
      <c r="A45" s="63" t="s">
        <v>59</v>
      </c>
      <c r="B45" s="2">
        <v>13</v>
      </c>
    </row>
    <row r="46" spans="1:2" x14ac:dyDescent="0.2">
      <c r="A46" s="63" t="s">
        <v>119</v>
      </c>
      <c r="B46" s="2">
        <v>8</v>
      </c>
    </row>
    <row r="47" spans="1:2" x14ac:dyDescent="0.2">
      <c r="A47" s="63" t="s">
        <v>121</v>
      </c>
      <c r="B47" s="2">
        <v>7</v>
      </c>
    </row>
    <row r="48" spans="1:2" x14ac:dyDescent="0.2">
      <c r="A48" s="63" t="s">
        <v>116</v>
      </c>
      <c r="B48" s="2">
        <v>6</v>
      </c>
    </row>
    <row r="49" spans="1:2" x14ac:dyDescent="0.2">
      <c r="A49" s="63" t="s">
        <v>6</v>
      </c>
      <c r="B49" s="2">
        <v>5</v>
      </c>
    </row>
    <row r="50" spans="1:2" x14ac:dyDescent="0.2">
      <c r="A50" s="63" t="s">
        <v>120</v>
      </c>
      <c r="B50" s="2">
        <v>3</v>
      </c>
    </row>
    <row r="51" spans="1:2" x14ac:dyDescent="0.2">
      <c r="A51" s="63" t="s">
        <v>64</v>
      </c>
      <c r="B51" s="2">
        <v>3</v>
      </c>
    </row>
    <row r="52" spans="1:2" x14ac:dyDescent="0.2">
      <c r="A52" s="63" t="s">
        <v>66</v>
      </c>
      <c r="B52" s="2">
        <v>2</v>
      </c>
    </row>
    <row r="53" spans="1:2" x14ac:dyDescent="0.2">
      <c r="A53" s="63" t="s">
        <v>107</v>
      </c>
      <c r="B53" s="2">
        <v>47</v>
      </c>
    </row>
    <row r="56" spans="1:2" x14ac:dyDescent="0.2">
      <c r="A56" s="64" t="s">
        <v>122</v>
      </c>
      <c r="B56" s="65" t="s">
        <v>123</v>
      </c>
    </row>
    <row r="57" spans="1:2" x14ac:dyDescent="0.2">
      <c r="A57" s="2" t="s">
        <v>59</v>
      </c>
      <c r="B57" s="66">
        <f>VLOOKUP(A57,$A$45:$B$52,2,0)</f>
        <v>13</v>
      </c>
    </row>
    <row r="58" spans="1:2" x14ac:dyDescent="0.2">
      <c r="A58" s="2" t="s">
        <v>119</v>
      </c>
      <c r="B58" s="66">
        <f t="shared" ref="B58:B59" si="0">VLOOKUP(A58,$A$45:$B$52,2,0)</f>
        <v>8</v>
      </c>
    </row>
    <row r="59" spans="1:2" x14ac:dyDescent="0.2">
      <c r="A59" s="2" t="s">
        <v>121</v>
      </c>
      <c r="B59" s="66">
        <f t="shared" si="0"/>
        <v>7</v>
      </c>
    </row>
  </sheetData>
  <conditionalFormatting sqref="B57:B59">
    <cfRule type="dataBar" priority="1">
      <dataBar>
        <cfvo type="min"/>
        <cfvo type="max"/>
        <color theme="9" tint="-0.499984740745262"/>
      </dataBar>
      <extLst>
        <ext xmlns:x14="http://schemas.microsoft.com/office/spreadsheetml/2009/9/main" uri="{B025F937-C7B1-47D3-B67F-A62EFF666E3E}">
          <x14:id>{6E566F50-5216-41CD-98DB-9023F0FBE7FF}</x14:id>
        </ext>
      </extLst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566F50-5216-41CD-98DB-9023F0FBE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B57:B59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431DA12EE05DC4298C5A9DB3B7DA0A0" ma:contentTypeVersion="7" ma:contentTypeDescription="Yeni belge oluşturun." ma:contentTypeScope="" ma:versionID="930374f81d868863064fd1b93f6a7c17">
  <xsd:schema xmlns:xsd="http://www.w3.org/2001/XMLSchema" xmlns:xs="http://www.w3.org/2001/XMLSchema" xmlns:p="http://schemas.microsoft.com/office/2006/metadata/properties" xmlns:ns3="6fe32936-0d88-4b0a-9207-c9c6b483e7cd" targetNamespace="http://schemas.microsoft.com/office/2006/metadata/properties" ma:root="true" ma:fieldsID="8a793f0be76a562a7fc4da9a5b1ef420" ns3:_="">
    <xsd:import namespace="6fe32936-0d88-4b0a-9207-c9c6b483e7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32936-0d88-4b0a-9207-c9c6b483e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2FD327-4958-462B-9AF1-E9A771333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32936-0d88-4b0a-9207-c9c6b483e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C90679-00D6-4846-93A8-1ED86B16753F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6fe32936-0d88-4b0a-9207-c9c6b483e7c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3C9155-2484-480D-916B-18A194FF22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Dashboard</vt:lpstr>
      <vt:lpstr>Products</vt:lpstr>
      <vt:lpstr>Sales</vt:lpstr>
      <vt:lpstr>Staff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Tekin</dc:creator>
  <cp:lastModifiedBy>Ali Tekin</cp:lastModifiedBy>
  <dcterms:created xsi:type="dcterms:W3CDTF">2026-04-08T17:08:31Z</dcterms:created>
  <dcterms:modified xsi:type="dcterms:W3CDTF">2026-04-08T22:05:34Z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0x010100F431DA12EE05DC4298C5A9DB3B7DA0A0</vt:lpwstr>
  </property>
</Properties>
</file>