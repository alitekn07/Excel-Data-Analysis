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te\OneDrive\Desktop\"/>
    </mc:Choice>
  </mc:AlternateContent>
  <xr:revisionPtr revIDLastSave="0" documentId="8_{15373FA4-C0D7-45A8-A4C2-116BF867EDF4}" xr6:coauthVersionLast="47" xr6:coauthVersionMax="47" xr10:uidLastSave="{00000000-0000-0000-0000-000000000000}"/>
  <bookViews>
    <workbookView xWindow="-120" yWindow="-120" windowWidth="38640" windowHeight="21120" tabRatio="822" activeTab="5" xr2:uid="{6F9381B3-745F-4FCD-B251-5BEF9BCFF6AE}"/>
  </bookViews>
  <sheets>
    <sheet name="VERİ" sheetId="1" r:id="rId1"/>
    <sheet name="FİRMA BAZLI TOPLAM TUTAR" sheetId="2" r:id="rId2"/>
    <sheet name="TARİHE GÖRE İŞLEM TUTARI" sheetId="3" r:id="rId3"/>
    <sheet name="KULLANILAN ÜRÜN VE ADET LİSTESİ" sheetId="4" r:id="rId4"/>
    <sheet name="ÜRÜNÜN KULLANILDIĞI BİRİM" sheetId="5" r:id="rId5"/>
    <sheet name="DASHBOARD" sheetId="6" r:id="rId6"/>
  </sheets>
  <definedNames>
    <definedName name="Dilimleyici_Ay">#N/A</definedName>
    <definedName name="Dilimleyici_Firma">#N/A</definedName>
    <definedName name="Dilimleyici_İşlemi_Yapan_Personel">#N/A</definedName>
    <definedName name="Dilimleyici_Kullanılan_Birim">#N/A</definedName>
    <definedName name="Dilimleyici_Ürün">#N/A</definedName>
    <definedName name="Ocak">VERİ!$B$4:$B$16</definedName>
    <definedName name="Şubat">VERİ!$B$17:$B$30</definedName>
  </definedNames>
  <calcPr calcId="191029"/>
  <pivotCaches>
    <pivotCache cacheId="3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4" i="1"/>
</calcChain>
</file>

<file path=xl/sharedStrings.xml><?xml version="1.0" encoding="utf-8"?>
<sst xmlns="http://schemas.openxmlformats.org/spreadsheetml/2006/main" count="225" uniqueCount="80">
  <si>
    <t>Firma</t>
  </si>
  <si>
    <t>Ürün</t>
  </si>
  <si>
    <t>Model</t>
  </si>
  <si>
    <t>Kullanılan Birim</t>
  </si>
  <si>
    <t>Adet</t>
  </si>
  <si>
    <t>Birim Fiyat</t>
  </si>
  <si>
    <t>Tarih</t>
  </si>
  <si>
    <t>29.02.2021</t>
  </si>
  <si>
    <t>Yücel Ticaret</t>
  </si>
  <si>
    <t>İznik Hırdavat</t>
  </si>
  <si>
    <t>Mesut Teknik</t>
  </si>
  <si>
    <t>Güvenal Hırdavat</t>
  </si>
  <si>
    <t>Montaj</t>
  </si>
  <si>
    <t>Kaynak</t>
  </si>
  <si>
    <t xml:space="preserve">Kaynakçı Eldiveni </t>
  </si>
  <si>
    <t>5 Beden Siyah</t>
  </si>
  <si>
    <t>Ender Civata</t>
  </si>
  <si>
    <t>Klt. Flanşlı Çelik Cıvata</t>
  </si>
  <si>
    <t>İmbus Civata</t>
  </si>
  <si>
    <t xml:space="preserve">Din 912 M5 x 15 Paslanmaz </t>
  </si>
  <si>
    <t>Din 6921 M12x 60 Inox</t>
  </si>
  <si>
    <t>Din 6921 M8x 60 Inox</t>
  </si>
  <si>
    <t>Din 6921 M10x 60 Inox</t>
  </si>
  <si>
    <t xml:space="preserve">Din 912 M8 x 20 Paslanmaz </t>
  </si>
  <si>
    <t>Sapsız Metre</t>
  </si>
  <si>
    <t>10 Mt. Satellite</t>
  </si>
  <si>
    <t>Sevkiyat</t>
  </si>
  <si>
    <t>Unimatic Metre</t>
  </si>
  <si>
    <t>3 Metre</t>
  </si>
  <si>
    <t>Kalite Kontrol</t>
  </si>
  <si>
    <t>Altı Köşe Baş Cıvata</t>
  </si>
  <si>
    <t>Din 931 M20 x 160 Siyah</t>
  </si>
  <si>
    <t>Din 931 M10 x 120 Paslanmaz</t>
  </si>
  <si>
    <t>Havşa Başlı Cıvata</t>
  </si>
  <si>
    <t>Din 7991 10,9 M20 x 70 Siyah</t>
  </si>
  <si>
    <t>Din 7991 10,9 M10 x 70 Siyah</t>
  </si>
  <si>
    <t>Yuvarlak Baş Cıvata</t>
  </si>
  <si>
    <t>Din 604 Yb. M6 x 25 Paslanmaz</t>
  </si>
  <si>
    <t>Silikon Tabancası</t>
  </si>
  <si>
    <t>Kırmızı</t>
  </si>
  <si>
    <t>Vida Gevşemezlik</t>
  </si>
  <si>
    <t>Yüksek Mukavemet 50 Ml.</t>
  </si>
  <si>
    <t xml:space="preserve">Cıvata Sabitleyici </t>
  </si>
  <si>
    <t>Düşük Mukavemet 120 Ml.</t>
  </si>
  <si>
    <t xml:space="preserve">Hızlı Yapıştırıcı </t>
  </si>
  <si>
    <t>20 Gr.</t>
  </si>
  <si>
    <t>Sprey Boya</t>
  </si>
  <si>
    <t>400 Ml. Gri Renk</t>
  </si>
  <si>
    <t>800 Ml. Siyah Renk</t>
  </si>
  <si>
    <t>400 Ml. Beyaz Renk</t>
  </si>
  <si>
    <t>400 Ml. Kırmızı Renk</t>
  </si>
  <si>
    <t>Kesme Nozulu</t>
  </si>
  <si>
    <t>75-125mm PNME</t>
  </si>
  <si>
    <t>Propan Regülatör</t>
  </si>
  <si>
    <t>Typhoon Lep</t>
  </si>
  <si>
    <t>Dremel Ovma Başlığı</t>
  </si>
  <si>
    <t>Çok Güçlü</t>
  </si>
  <si>
    <t>Kombine Anahtar</t>
  </si>
  <si>
    <t>B01-24 25mm</t>
  </si>
  <si>
    <t>Akülü Deküpaş Testeresi</t>
  </si>
  <si>
    <t>Pst 15 Li</t>
  </si>
  <si>
    <t>Akülü Daire Testere</t>
  </si>
  <si>
    <t>Pks 18 Li</t>
  </si>
  <si>
    <t>Boya</t>
  </si>
  <si>
    <t>Firmalar</t>
  </si>
  <si>
    <t>İskonto Oranı</t>
  </si>
  <si>
    <t>X Firması Ocak - Şubat 2021 Satın Alma Tablosu</t>
  </si>
  <si>
    <t>Ay</t>
  </si>
  <si>
    <t>İşlem Tutarı</t>
  </si>
  <si>
    <t>Ocak</t>
  </si>
  <si>
    <t>Şubat</t>
  </si>
  <si>
    <t>İşlemi Yapan Personel</t>
  </si>
  <si>
    <t>Cansu Düzgün</t>
  </si>
  <si>
    <t>Gaye Kalem</t>
  </si>
  <si>
    <t>Satır Etiketleri</t>
  </si>
  <si>
    <t>Genel Toplam</t>
  </si>
  <si>
    <t>Toplam İşlem Tutarı</t>
  </si>
  <si>
    <t>Toplam Adet</t>
  </si>
  <si>
    <t>Kullanılan Ürün</t>
  </si>
  <si>
    <t>2026 OCAK - ŞUBAT AYLARI SATIN ALMA YÖNETİM PANELİ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</si>
</sst>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6" x14ac:knownFonts="1">
    <font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4" fontId="1" fillId="2" borderId="0" xfId="0" applyNumberFormat="1" applyFont="1" applyFill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4" fontId="0" fillId="3" borderId="0" xfId="0" applyNumberFormat="1" applyFill="1" applyAlignment="1">
      <alignment horizontal="left" indent="1"/>
    </xf>
    <xf numFmtId="0" fontId="0" fillId="0" borderId="0" xfId="0" applyNumberFormat="1"/>
    <xf numFmtId="0" fontId="0" fillId="0" borderId="0" xfId="0" applyAlignme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0"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[Purchasing Management Panel.xlsx]ÜRÜNÜN KULLANILDIĞI BİRİM!PivotTable4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ÜRÜNÜN KULLANILDIĞI BİRİM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61346922795165E-2"/>
              <c:y val="-2.469444444444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229007830504615E-2"/>
              <c:y val="-4.9388888888888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2310465548955664E-2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9972222222222225E-2"/>
              <c:y val="-2.11666666666666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050335134391464E-2"/>
              <c:y val="-2.8222222222222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61346922795165E-2"/>
              <c:y val="-2.469444444444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229007830504615E-2"/>
              <c:y val="-4.9388888888888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2310465548955664E-2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9972222222222225E-2"/>
              <c:y val="-2.11666666666666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050335134391464E-2"/>
              <c:y val="-2.8222222222222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'ÜRÜNÜN KULLANILDIĞI BİRİM'!$B$6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5D3-472D-9713-90492C5657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5D3-472D-9713-90492C5657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5D3-472D-9713-90492C5657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5D3-472D-9713-90492C5657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5D3-472D-9713-90492C565729}"/>
              </c:ext>
            </c:extLst>
          </c:dPt>
          <c:dLbls>
            <c:dLbl>
              <c:idx val="0"/>
              <c:layout>
                <c:manualLayout>
                  <c:x val="1.761346922795165E-2"/>
                  <c:y val="-2.4694444444444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5D3-472D-9713-90492C565729}"/>
                </c:ext>
              </c:extLst>
            </c:dLbl>
            <c:dLbl>
              <c:idx val="1"/>
              <c:layout>
                <c:manualLayout>
                  <c:x val="4.229007830504615E-2"/>
                  <c:y val="-4.93888888888889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5D3-472D-9713-90492C565729}"/>
                </c:ext>
              </c:extLst>
            </c:dLbl>
            <c:dLbl>
              <c:idx val="2"/>
              <c:layout>
                <c:manualLayout>
                  <c:x val="4.2310465548955664E-2"/>
                  <c:y val="3.527777777777777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5D3-472D-9713-90492C565729}"/>
                </c:ext>
              </c:extLst>
            </c:dLbl>
            <c:dLbl>
              <c:idx val="3"/>
              <c:layout>
                <c:manualLayout>
                  <c:x val="-5.9972222222222225E-2"/>
                  <c:y val="-2.11666666666666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5D3-472D-9713-90492C565729}"/>
                </c:ext>
              </c:extLst>
            </c:dLbl>
            <c:dLbl>
              <c:idx val="4"/>
              <c:layout>
                <c:manualLayout>
                  <c:x val="-4.050335134391464E-2"/>
                  <c:y val="-2.822222222222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5D3-472D-9713-90492C565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'ÜRÜNÜN KULLANILDIĞI BİRİM'!$A$7:$A$11</c:f>
              <c:strCache>
                <c:ptCount val="5"/>
                <c:pt idx="0">
                  <c:v>Boya</c:v>
                </c:pt>
                <c:pt idx="1">
                  <c:v>Kalite Kontrol</c:v>
                </c:pt>
                <c:pt idx="2">
                  <c:v>Kaynak</c:v>
                </c:pt>
                <c:pt idx="3">
                  <c:v>Montaj</c:v>
                </c:pt>
                <c:pt idx="4">
                  <c:v>Sevkiyat</c:v>
                </c:pt>
              </c:strCache>
            </c:strRef>
          </c:cat>
          <c:val>
            <c:numRef>
              <c:f>'ÜRÜNÜN KULLANILDIĞI BİRİM'!$B$7:$B$11</c:f>
              <c:numCache>
                <c:formatCode>General</c:formatCode>
                <c:ptCount val="5"/>
                <c:pt idx="0">
                  <c:v>319</c:v>
                </c:pt>
                <c:pt idx="1">
                  <c:v>18</c:v>
                </c:pt>
                <c:pt idx="2">
                  <c:v>135</c:v>
                </c:pt>
                <c:pt idx="3">
                  <c:v>3853</c:v>
                </c:pt>
                <c:pt idx="4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5D3-472D-9713-90492C56572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[Purchasing Management Panel.xlsx]KULLANILAN ÜRÜN VE ADET LİSTESİ!PivotTable3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KULLANILAN ÜRÜN VE ADET LİSTESİ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30000">
                <a:schemeClr val="accent2">
                  <a:lumMod val="97000"/>
                  <a:lumOff val="3000"/>
                </a:schemeClr>
              </a:gs>
              <a:gs pos="100000">
                <a:schemeClr val="accent1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30000">
                <a:schemeClr val="accent2">
                  <a:lumMod val="97000"/>
                  <a:lumOff val="3000"/>
                </a:schemeClr>
              </a:gs>
              <a:gs pos="100000">
                <a:schemeClr val="accent1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'KULLANILAN ÜRÜN VE ADET LİSTESİ'!$B$7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30000">
                  <a:schemeClr val="accent2">
                    <a:lumMod val="97000"/>
                    <a:lumOff val="3000"/>
                  </a:schemeClr>
                </a:gs>
                <a:gs pos="100000">
                  <a:schemeClr val="accent1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cat>
            <c:strRef>
              <c:f>'KULLANILAN ÜRÜN VE ADET LİSTESİ'!$A$8:$A$27</c:f>
              <c:strCache>
                <c:ptCount val="19"/>
                <c:pt idx="0">
                  <c:v>Akülü Daire Testere</c:v>
                </c:pt>
                <c:pt idx="1">
                  <c:v>Akülü Deküpaş Testeresi</c:v>
                </c:pt>
                <c:pt idx="2">
                  <c:v>Altı Köşe Baş Cıvata</c:v>
                </c:pt>
                <c:pt idx="3">
                  <c:v>Cıvata Sabitleyici </c:v>
                </c:pt>
                <c:pt idx="4">
                  <c:v>Dremel Ovma Başlığı</c:v>
                </c:pt>
                <c:pt idx="5">
                  <c:v>Havşa Başlı Cıvata</c:v>
                </c:pt>
                <c:pt idx="6">
                  <c:v>Hızlı Yapıştırıcı </c:v>
                </c:pt>
                <c:pt idx="7">
                  <c:v>İmbus Civata</c:v>
                </c:pt>
                <c:pt idx="8">
                  <c:v>Kaynakçı Eldiveni </c:v>
                </c:pt>
                <c:pt idx="9">
                  <c:v>Kesme Nozulu</c:v>
                </c:pt>
                <c:pt idx="10">
                  <c:v>Klt. Flanşlı Çelik Cıvata</c:v>
                </c:pt>
                <c:pt idx="11">
                  <c:v>Kombine Anahtar</c:v>
                </c:pt>
                <c:pt idx="12">
                  <c:v>Propan Regülatör</c:v>
                </c:pt>
                <c:pt idx="13">
                  <c:v>Sapsız Metre</c:v>
                </c:pt>
                <c:pt idx="14">
                  <c:v>Silikon Tabancası</c:v>
                </c:pt>
                <c:pt idx="15">
                  <c:v>Sprey Boya</c:v>
                </c:pt>
                <c:pt idx="16">
                  <c:v>Unimatic Metre</c:v>
                </c:pt>
                <c:pt idx="17">
                  <c:v>Vida Gevşemezlik</c:v>
                </c:pt>
                <c:pt idx="18">
                  <c:v>Yuvarlak Baş Cıvata</c:v>
                </c:pt>
              </c:strCache>
            </c:strRef>
          </c:cat>
          <c:val>
            <c:numRef>
              <c:f>'KULLANILAN ÜRÜN VE ADET LİSTESİ'!$B$8:$B$27</c:f>
              <c:numCache>
                <c:formatCode>General</c:formatCode>
                <c:ptCount val="19"/>
                <c:pt idx="0">
                  <c:v>4</c:v>
                </c:pt>
                <c:pt idx="1">
                  <c:v>1</c:v>
                </c:pt>
                <c:pt idx="2">
                  <c:v>1300</c:v>
                </c:pt>
                <c:pt idx="3">
                  <c:v>120</c:v>
                </c:pt>
                <c:pt idx="4">
                  <c:v>1</c:v>
                </c:pt>
                <c:pt idx="5">
                  <c:v>370</c:v>
                </c:pt>
                <c:pt idx="6">
                  <c:v>2</c:v>
                </c:pt>
                <c:pt idx="7">
                  <c:v>570</c:v>
                </c:pt>
                <c:pt idx="8">
                  <c:v>130</c:v>
                </c:pt>
                <c:pt idx="9">
                  <c:v>4</c:v>
                </c:pt>
                <c:pt idx="10">
                  <c:v>825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305</c:v>
                </c:pt>
                <c:pt idx="15">
                  <c:v>319</c:v>
                </c:pt>
                <c:pt idx="16">
                  <c:v>16</c:v>
                </c:pt>
                <c:pt idx="17">
                  <c:v>120</c:v>
                </c:pt>
                <c:pt idx="18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A-47F9-8A71-6AD9F17F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725263"/>
        <c:axId val="306730063"/>
      </c:barChart>
      <c:catAx>
        <c:axId val="30672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06730063"/>
        <c:crosses val="autoZero"/>
        <c:auto val="1"/>
        <c:lblAlgn val="ctr"/>
        <c:lblOffset val="100"/>
        <c:noMultiLvlLbl val="0"/>
      </c:catAx>
      <c:valAx>
        <c:axId val="3067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0672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[Purchasing Management Panel.xlsx]TARİHE GÖRE İŞLEM TUTARI!PivotTable2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TARİHE GÖRE İŞLEM TUTARI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96813802494222E-2"/>
              <c:y val="-0.100515277777777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6323188808950104E-2"/>
              <c:y val="-5.4654166666666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5669913710179804E-2"/>
              <c:y val="-4.407083333333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6698568011855909E-2"/>
              <c:y val="-2.29041666666666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7081402154538583E-2"/>
              <c:y val="-0.11815416666666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248055555555553E-2"/>
              <c:y val="-2.9959722222222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4760000000000003E-2"/>
                  <c:h val="5.6391666666666666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gradFill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5362777777777905E-2"/>
              <c:y val="-6.70013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4850555555555559E-2"/>
                  <c:h val="5.2863888888888891E-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0519722222222222E-2"/>
              <c:y val="-9.3459722222222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214166666666668E-2"/>
              <c:y val="-6.87652777777777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654120148871843E-2"/>
              <c:y val="-7.58208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9757747688781813E-2"/>
              <c:y val="-4.40708333333334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141622116801477E-2"/>
              <c:y val="-5.8181944444444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550125262096382E-3"/>
              <c:y val="-0.11462638888888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798102673518085E-3"/>
              <c:y val="-6.87652777777779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696813802494222E-2"/>
              <c:y val="-0.100515277777777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6323188808950104E-2"/>
              <c:y val="-5.4654166666666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5669913710179804E-2"/>
              <c:y val="-4.407083333333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6698568011855909E-2"/>
              <c:y val="-2.29041666666666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7081402154538583E-2"/>
              <c:y val="-0.11815416666666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248055555555553E-2"/>
              <c:y val="-2.9959722222222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4760000000000003E-2"/>
                  <c:h val="5.6391666666666666E-2"/>
                </c:manualLayout>
              </c15:layout>
            </c:ext>
          </c:extLst>
        </c:dLbl>
      </c:pivotFmt>
      <c:pivotFmt>
        <c:idx val="28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9757747688781813E-2"/>
              <c:y val="-4.40708333333334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1654120148871843E-2"/>
              <c:y val="-7.58208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214166666666668E-2"/>
              <c:y val="-6.87652777777777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0519722222222222E-2"/>
              <c:y val="-9.3459722222222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798102673518085E-3"/>
              <c:y val="-6.87652777777779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gradFill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5362777777777905E-2"/>
              <c:y val="-6.70013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4850555555555559E-2"/>
                  <c:h val="5.2863888888888891E-2"/>
                </c:manualLayout>
              </c15:layout>
            </c:ext>
          </c:extLst>
        </c:dLbl>
      </c:pivotFmt>
      <c:pivotFmt>
        <c:idx val="34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141622116801477E-2"/>
              <c:y val="-5.8181944444444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gradFill flip="none" rotWithShape="1"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162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550125262096382E-3"/>
              <c:y val="-0.114626388888888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'TARİHE GÖRE İŞLEM TUTARI'!$B$7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/>
                  </a:gs>
                  <a:gs pos="100000">
                    <a:schemeClr val="accent1"/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8F-4E18-A162-FAC5E744175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8F-4E18-A162-FAC5E744175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8F-4E18-A162-FAC5E744175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8F-4E18-A162-FAC5E744175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8F-4E18-A162-FAC5E744175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8F-4E18-A162-FAC5E744175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8F-4E18-A162-FAC5E744175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C8F-4E18-A162-FAC5E744175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 flip="none" rotWithShape="1"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C8F-4E18-A162-FAC5E7441754}"/>
              </c:ext>
            </c:extLst>
          </c:dPt>
          <c:dPt>
            <c:idx val="16"/>
            <c:marker>
              <c:symbol val="circle"/>
              <c:size val="5"/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0">
                      <a:schemeClr val="accent2"/>
                    </a:gs>
                    <a:gs pos="100000">
                      <a:schemeClr val="accent1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C8F-4E18-A162-FAC5E7441754}"/>
              </c:ext>
            </c:extLst>
          </c:dPt>
          <c:dLbls>
            <c:dLbl>
              <c:idx val="1"/>
              <c:layout>
                <c:manualLayout>
                  <c:x val="-3.696813802494222E-2"/>
                  <c:y val="-0.100515277777777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F-4E18-A162-FAC5E7441754}"/>
                </c:ext>
              </c:extLst>
            </c:dLbl>
            <c:dLbl>
              <c:idx val="3"/>
              <c:layout>
                <c:manualLayout>
                  <c:x val="1.6323188808950104E-2"/>
                  <c:y val="-5.46541666666667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8F-4E18-A162-FAC5E7441754}"/>
                </c:ext>
              </c:extLst>
            </c:dLbl>
            <c:dLbl>
              <c:idx val="4"/>
              <c:layout>
                <c:manualLayout>
                  <c:x val="-8.5669913710179804E-2"/>
                  <c:y val="-4.40708333333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8F-4E18-A162-FAC5E7441754}"/>
                </c:ext>
              </c:extLst>
            </c:dLbl>
            <c:dLbl>
              <c:idx val="6"/>
              <c:layout>
                <c:manualLayout>
                  <c:x val="-8.6698568011855909E-2"/>
                  <c:y val="-2.2904166666666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8F-4E18-A162-FAC5E7441754}"/>
                </c:ext>
              </c:extLst>
            </c:dLbl>
            <c:dLbl>
              <c:idx val="7"/>
              <c:layout>
                <c:manualLayout>
                  <c:x val="-3.7081402154538583E-2"/>
                  <c:y val="-0.11815416666666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8F-4E18-A162-FAC5E7441754}"/>
                </c:ext>
              </c:extLst>
            </c:dLbl>
            <c:dLbl>
              <c:idx val="8"/>
              <c:layout>
                <c:manualLayout>
                  <c:x val="-5.8248055555555553E-2"/>
                  <c:y val="-2.995972222222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760000000000003E-2"/>
                      <c:h val="5.6391666666666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EC8F-4E18-A162-FAC5E7441754}"/>
                </c:ext>
              </c:extLst>
            </c:dLbl>
            <c:dLbl>
              <c:idx val="10"/>
              <c:layout>
                <c:manualLayout>
                  <c:x val="-7.9757747688781813E-2"/>
                  <c:y val="-4.4070833333333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8F-4E18-A162-FAC5E7441754}"/>
                </c:ext>
              </c:extLst>
            </c:dLbl>
            <c:dLbl>
              <c:idx val="11"/>
              <c:layout>
                <c:manualLayout>
                  <c:x val="-5.1654120148871843E-2"/>
                  <c:y val="-7.5820833333333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8F-4E18-A162-FAC5E7441754}"/>
                </c:ext>
              </c:extLst>
            </c:dLbl>
            <c:dLbl>
              <c:idx val="13"/>
              <c:layout>
                <c:manualLayout>
                  <c:x val="-5.5214166666666668E-2"/>
                  <c:y val="-6.8765277777777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8F-4E18-A162-FAC5E7441754}"/>
                </c:ext>
              </c:extLst>
            </c:dLbl>
            <c:dLbl>
              <c:idx val="14"/>
              <c:layout>
                <c:manualLayout>
                  <c:x val="-3.0519722222222222E-2"/>
                  <c:y val="-9.34597222222222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8F-4E18-A162-FAC5E7441754}"/>
                </c:ext>
              </c:extLst>
            </c:dLbl>
            <c:dLbl>
              <c:idx val="15"/>
              <c:layout>
                <c:manualLayout>
                  <c:x val="-1.798102673518085E-3"/>
                  <c:y val="-6.87652777777779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8F-4E18-A162-FAC5E7441754}"/>
                </c:ext>
              </c:extLst>
            </c:dLbl>
            <c:dLbl>
              <c:idx val="16"/>
              <c:layout>
                <c:manualLayout>
                  <c:x val="-4.5362777777777905E-2"/>
                  <c:y val="-6.70013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850555555555559E-2"/>
                      <c:h val="5.28638888888888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EC8F-4E18-A162-FAC5E7441754}"/>
                </c:ext>
              </c:extLst>
            </c:dLbl>
            <c:dLbl>
              <c:idx val="17"/>
              <c:layout>
                <c:manualLayout>
                  <c:x val="-2.1141622116801477E-2"/>
                  <c:y val="-5.81819444444444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8F-4E18-A162-FAC5E7441754}"/>
                </c:ext>
              </c:extLst>
            </c:dLbl>
            <c:dLbl>
              <c:idx val="18"/>
              <c:layout>
                <c:manualLayout>
                  <c:x val="-5.2550125262096382E-3"/>
                  <c:y val="-0.114626388888888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8F-4E18-A162-FAC5E74417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'TARİHE GÖRE İŞLEM TUTARI'!$A$8:$A$29</c:f>
              <c:multiLvlStrCache>
                <c:ptCount val="19"/>
                <c:lvl>
                  <c:pt idx="0">
                    <c:v>2.01.2021</c:v>
                  </c:pt>
                  <c:pt idx="1">
                    <c:v>3.01.2021</c:v>
                  </c:pt>
                  <c:pt idx="2">
                    <c:v>5.01.2021</c:v>
                  </c:pt>
                  <c:pt idx="3">
                    <c:v>7.01.2021</c:v>
                  </c:pt>
                  <c:pt idx="4">
                    <c:v>12.01.2021</c:v>
                  </c:pt>
                  <c:pt idx="5">
                    <c:v>15.01.2021</c:v>
                  </c:pt>
                  <c:pt idx="6">
                    <c:v>19.01.2021</c:v>
                  </c:pt>
                  <c:pt idx="7">
                    <c:v>20.01.2021</c:v>
                  </c:pt>
                  <c:pt idx="8">
                    <c:v>29.01.2021</c:v>
                  </c:pt>
                  <c:pt idx="9">
                    <c:v>29.02.2021</c:v>
                  </c:pt>
                  <c:pt idx="10">
                    <c:v>1.02.2021</c:v>
                  </c:pt>
                  <c:pt idx="11">
                    <c:v>2.02.2021</c:v>
                  </c:pt>
                  <c:pt idx="12">
                    <c:v>3.02.2021</c:v>
                  </c:pt>
                  <c:pt idx="13">
                    <c:v>4.02.2021</c:v>
                  </c:pt>
                  <c:pt idx="14">
                    <c:v>7.02.2021</c:v>
                  </c:pt>
                  <c:pt idx="15">
                    <c:v>12.02.2021</c:v>
                  </c:pt>
                  <c:pt idx="16">
                    <c:v>13.02.2021</c:v>
                  </c:pt>
                  <c:pt idx="17">
                    <c:v>15.02.2021</c:v>
                  </c:pt>
                  <c:pt idx="18">
                    <c:v>20.02.2021</c:v>
                  </c:pt>
                </c:lvl>
                <c:lvl>
                  <c:pt idx="0">
                    <c:v>Ocak</c:v>
                  </c:pt>
                  <c:pt idx="9">
                    <c:v>Şubat</c:v>
                  </c:pt>
                </c:lvl>
              </c:multiLvlStrCache>
            </c:multiLvlStrRef>
          </c:cat>
          <c:val>
            <c:numRef>
              <c:f>'TARİHE GÖRE İŞLEM TUTARI'!$B$8:$B$29</c:f>
              <c:numCache>
                <c:formatCode>"₺"#,##0.00</c:formatCode>
                <c:ptCount val="19"/>
                <c:pt idx="0">
                  <c:v>393.34</c:v>
                </c:pt>
                <c:pt idx="1">
                  <c:v>49.41</c:v>
                </c:pt>
                <c:pt idx="2">
                  <c:v>308.67399999999998</c:v>
                </c:pt>
                <c:pt idx="3">
                  <c:v>2479.59</c:v>
                </c:pt>
                <c:pt idx="4">
                  <c:v>7983.8640000000005</c:v>
                </c:pt>
                <c:pt idx="5">
                  <c:v>14605.195999999998</c:v>
                </c:pt>
                <c:pt idx="6">
                  <c:v>138.24</c:v>
                </c:pt>
                <c:pt idx="7">
                  <c:v>24.57</c:v>
                </c:pt>
                <c:pt idx="8">
                  <c:v>81.224999999999994</c:v>
                </c:pt>
                <c:pt idx="9">
                  <c:v>11309.983999999999</c:v>
                </c:pt>
                <c:pt idx="10">
                  <c:v>174.3192</c:v>
                </c:pt>
                <c:pt idx="11">
                  <c:v>553.60800000000006</c:v>
                </c:pt>
                <c:pt idx="12">
                  <c:v>234.14400000000001</c:v>
                </c:pt>
                <c:pt idx="13">
                  <c:v>838.20899999999995</c:v>
                </c:pt>
                <c:pt idx="14">
                  <c:v>403.33539999999994</c:v>
                </c:pt>
                <c:pt idx="15">
                  <c:v>28.799999999999997</c:v>
                </c:pt>
                <c:pt idx="16">
                  <c:v>8832.1727999999985</c:v>
                </c:pt>
                <c:pt idx="17">
                  <c:v>67.62</c:v>
                </c:pt>
                <c:pt idx="18">
                  <c:v>1101.1500000000001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EC8F-4E18-A162-FAC5E74417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9592191"/>
        <c:axId val="1779593151"/>
      </c:lineChart>
      <c:catAx>
        <c:axId val="1779592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9593151"/>
        <c:crosses val="autoZero"/>
        <c:auto val="1"/>
        <c:lblAlgn val="ctr"/>
        <c:lblOffset val="100"/>
        <c:noMultiLvlLbl val="0"/>
      </c:catAx>
      <c:valAx>
        <c:axId val="1779593151"/>
        <c:scaling>
          <c:orientation val="minMax"/>
        </c:scaling>
        <c:delete val="0"/>
        <c:axPos val="l"/>
        <c:numFmt formatCode="&quot;₺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959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[Purchasing Management Panel.xlsx]FİRMA BAZLI TOPLAM TUTAR!PivotTable1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FİRMA BAZLI TOPLAM TUTAR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67000"/>
                </a:schemeClr>
              </a:gs>
              <a:gs pos="49000">
                <a:schemeClr val="accent2">
                  <a:lumMod val="97000"/>
                  <a:lumOff val="3000"/>
                </a:schemeClr>
              </a:gs>
              <a:gs pos="100000">
                <a:schemeClr val="accent1"/>
              </a:gs>
            </a:gsLst>
            <a:path path="circle">
              <a:fillToRect l="100000" t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>
                  <a:lumMod val="67000"/>
                </a:schemeClr>
              </a:gs>
              <a:gs pos="49000">
                <a:schemeClr val="accent2">
                  <a:lumMod val="97000"/>
                  <a:lumOff val="3000"/>
                </a:schemeClr>
              </a:gs>
              <a:gs pos="100000">
                <a:schemeClr val="accent1"/>
              </a:gs>
            </a:gsLst>
            <a:path path="circle">
              <a:fillToRect l="100000" t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'FİRMA BAZLI TOPLAM TUTAR'!$B$3</c:f>
              <c:strCache>
                <c:ptCount val="1"/>
                <c:pt idx="0">
                  <c:v>Toplam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7000"/>
                  </a:schemeClr>
                </a:gs>
                <a:gs pos="49000">
                  <a:schemeClr val="accent2">
                    <a:lumMod val="97000"/>
                    <a:lumOff val="3000"/>
                  </a:schemeClr>
                </a:gs>
                <a:gs pos="100000">
                  <a:schemeClr val="accent1"/>
                </a:gs>
              </a:gsLst>
              <a:path path="circle">
                <a:fillToRect l="100000" t="100000"/>
              </a:path>
            </a:gradFill>
            <a:ln>
              <a:noFill/>
            </a:ln>
            <a:effectLst/>
          </c:spPr>
          <c:invertIfNegative val="0"/>
          <c:cat>
            <c:strRef>
              <c:f>'FİRMA BAZLI TOPLAM TUTAR'!$A$4:$A$8</c:f>
              <c:strCache>
                <c:ptCount val="5"/>
                <c:pt idx="0">
                  <c:v>Ender Civata</c:v>
                </c:pt>
                <c:pt idx="1">
                  <c:v>Güvenal Hırdavat</c:v>
                </c:pt>
                <c:pt idx="2">
                  <c:v>İznik Hırdavat</c:v>
                </c:pt>
                <c:pt idx="3">
                  <c:v>Mesut Teknik</c:v>
                </c:pt>
                <c:pt idx="4">
                  <c:v>Yücel Ticaret</c:v>
                </c:pt>
              </c:strCache>
            </c:strRef>
          </c:cat>
          <c:val>
            <c:numRef>
              <c:f>'FİRMA BAZLI TOPLAM TUTAR'!$B$4:$B$8</c:f>
              <c:numCache>
                <c:formatCode>"₺"#,##0.00</c:formatCode>
                <c:ptCount val="5"/>
                <c:pt idx="0">
                  <c:v>1001.376</c:v>
                </c:pt>
                <c:pt idx="1">
                  <c:v>24694.159799999998</c:v>
                </c:pt>
                <c:pt idx="2">
                  <c:v>514.995</c:v>
                </c:pt>
                <c:pt idx="3">
                  <c:v>3647.3040000000001</c:v>
                </c:pt>
                <c:pt idx="4">
                  <c:v>19749.616600000001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7-4FCC-96A7-2BF83AE0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9535279"/>
        <c:axId val="1779553039"/>
      </c:barChart>
      <c:catAx>
        <c:axId val="177953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9553039"/>
        <c:crosses val="autoZero"/>
        <c:auto val="1"/>
        <c:lblAlgn val="ctr"/>
        <c:lblOffset val="100"/>
        <c:noMultiLvlLbl val="0"/>
      </c:catAx>
      <c:valAx>
        <c:axId val="1779553039"/>
        <c:scaling>
          <c:orientation val="minMax"/>
        </c:scaling>
        <c:delete val="0"/>
        <c:axPos val="l"/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7953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17</xdr:row>
      <xdr:rowOff>146732</xdr:rowOff>
    </xdr:from>
    <xdr:to>
      <xdr:col>38</xdr:col>
      <xdr:colOff>604800</xdr:colOff>
      <xdr:row>38</xdr:row>
      <xdr:rowOff>106232</xdr:rowOff>
    </xdr:to>
    <xdr:graphicFrame macro="">
      <xdr:nvGraphicFramePr>
        <xdr:cNvPr id="2" name="Grafik 2">
          <a:extLst>
            <a:ext uri="{FF2B5EF4-FFF2-40B4-BE49-F238E27FC236}">
              <a16:creationId xmlns:a16="http://schemas.microsoft.com/office/drawing/2014/main" id="{C13C63A6-F7FD-F5C4-36A9-FEABABDF5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335268</xdr:colOff>
      <xdr:row>39</xdr:row>
      <xdr:rowOff>24268</xdr:rowOff>
    </xdr:from>
    <xdr:to>
      <xdr:col>25</xdr:col>
      <xdr:colOff>330467</xdr:colOff>
      <xdr:row>59</xdr:row>
      <xdr:rowOff>174268</xdr:rowOff>
    </xdr:to>
    <xdr:graphicFrame macro="">
      <xdr:nvGraphicFramePr>
        <xdr:cNvPr id="3" name="Grafik 1">
          <a:extLst>
            <a:ext uri="{FF2B5EF4-FFF2-40B4-BE49-F238E27FC236}">
              <a16:creationId xmlns:a16="http://schemas.microsoft.com/office/drawing/2014/main" id="{60F4C668-D497-FC2B-40A4-D407C3A2E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39</xdr:row>
      <xdr:rowOff>24268</xdr:rowOff>
    </xdr:from>
    <xdr:to>
      <xdr:col>38</xdr:col>
      <xdr:colOff>604800</xdr:colOff>
      <xdr:row>59</xdr:row>
      <xdr:rowOff>174268</xdr:rowOff>
    </xdr:to>
    <xdr:graphicFrame macro="">
      <xdr:nvGraphicFramePr>
        <xdr:cNvPr id="4" name="Grafik 2">
          <a:extLst>
            <a:ext uri="{FF2B5EF4-FFF2-40B4-BE49-F238E27FC236}">
              <a16:creationId xmlns:a16="http://schemas.microsoft.com/office/drawing/2014/main" id="{B9D57B01-9095-1C69-7DEE-19B4541D6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335268</xdr:colOff>
      <xdr:row>17</xdr:row>
      <xdr:rowOff>119518</xdr:rowOff>
    </xdr:from>
    <xdr:to>
      <xdr:col>25</xdr:col>
      <xdr:colOff>330467</xdr:colOff>
      <xdr:row>38</xdr:row>
      <xdr:rowOff>79018</xdr:rowOff>
    </xdr:to>
    <xdr:graphicFrame macro="">
      <xdr:nvGraphicFramePr>
        <xdr:cNvPr id="5" name="Grafik 1">
          <a:extLst>
            <a:ext uri="{FF2B5EF4-FFF2-40B4-BE49-F238E27FC236}">
              <a16:creationId xmlns:a16="http://schemas.microsoft.com/office/drawing/2014/main" id="{7315A87B-E6EA-EF28-067D-E7C27802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308926</xdr:colOff>
      <xdr:row>7</xdr:row>
      <xdr:rowOff>105455</xdr:rowOff>
    </xdr:from>
    <xdr:to>
      <xdr:col>20</xdr:col>
      <xdr:colOff>23863</xdr:colOff>
      <xdr:row>17</xdr:row>
      <xdr:rowOff>455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y">
              <a:extLst>
                <a:ext uri="{FF2B5EF4-FFF2-40B4-BE49-F238E27FC236}">
                  <a16:creationId xmlns:a16="http://schemas.microsoft.com/office/drawing/2014/main" id="{3989D6B2-1EBF-A82E-BE74-7E3A879F7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0808" y="1438955"/>
              <a:ext cx="2135408" cy="18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281177</xdr:colOff>
      <xdr:row>7</xdr:row>
      <xdr:rowOff>105455</xdr:rowOff>
    </xdr:from>
    <xdr:to>
      <xdr:col>23</xdr:col>
      <xdr:colOff>608436</xdr:colOff>
      <xdr:row>17</xdr:row>
      <xdr:rowOff>455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İşlemi Yapan Personel">
              <a:extLst>
                <a:ext uri="{FF2B5EF4-FFF2-40B4-BE49-F238E27FC236}">
                  <a16:creationId xmlns:a16="http://schemas.microsoft.com/office/drawing/2014/main" id="{CD43DD45-019E-C967-1C01-267184B355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İşlemi Yapan Perso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3530" y="1438955"/>
              <a:ext cx="2142612" cy="18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335268</xdr:colOff>
      <xdr:row>7</xdr:row>
      <xdr:rowOff>105455</xdr:rowOff>
    </xdr:from>
    <xdr:to>
      <xdr:col>16</xdr:col>
      <xdr:colOff>51612</xdr:colOff>
      <xdr:row>17</xdr:row>
      <xdr:rowOff>455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Firma">
              <a:extLst>
                <a:ext uri="{FF2B5EF4-FFF2-40B4-BE49-F238E27FC236}">
                  <a16:creationId xmlns:a16="http://schemas.microsoft.com/office/drawing/2014/main" id="{1FFCCE25-07D7-29AC-D795-69BFDD2F4E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r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6680" y="1438955"/>
              <a:ext cx="2136814" cy="18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232530</xdr:colOff>
      <xdr:row>7</xdr:row>
      <xdr:rowOff>105455</xdr:rowOff>
    </xdr:from>
    <xdr:to>
      <xdr:col>38</xdr:col>
      <xdr:colOff>604800</xdr:colOff>
      <xdr:row>17</xdr:row>
      <xdr:rowOff>455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Ürün">
              <a:extLst>
                <a:ext uri="{FF2B5EF4-FFF2-40B4-BE49-F238E27FC236}">
                  <a16:creationId xmlns:a16="http://schemas.microsoft.com/office/drawing/2014/main" id="{83C196F9-026A-A501-3566-A8925F816A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5824" y="1438955"/>
              <a:ext cx="6423447" cy="18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256150</xdr:colOff>
      <xdr:row>7</xdr:row>
      <xdr:rowOff>105455</xdr:rowOff>
    </xdr:from>
    <xdr:to>
      <xdr:col>27</xdr:col>
      <xdr:colOff>584816</xdr:colOff>
      <xdr:row>17</xdr:row>
      <xdr:rowOff>455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Kullanılan Birim">
              <a:extLst>
                <a:ext uri="{FF2B5EF4-FFF2-40B4-BE49-F238E27FC236}">
                  <a16:creationId xmlns:a16="http://schemas.microsoft.com/office/drawing/2014/main" id="{DC8F9FAE-1139-3F49-8EC0-0F571608EA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ullanılan Biri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78974" y="1438955"/>
              <a:ext cx="2144018" cy="18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Tekin" refreshedDate="46119.672136458335" createdVersion="8" refreshedVersion="8" minRefreshableVersion="3" recordCount="27" xr:uid="{DF442573-031F-4D48-B3CC-D02AEE2C7061}">
  <cacheSource type="worksheet">
    <worksheetSource ref="A3:K30" sheet="VERİ"/>
  </cacheSource>
  <cacheFields count="11">
    <cacheField name="Ay" numFmtId="14">
      <sharedItems count="2">
        <s v="Ocak"/>
        <s v="Şubat"/>
      </sharedItems>
    </cacheField>
    <cacheField name="Tarih" numFmtId="14">
      <sharedItems containsDate="1" containsMixedTypes="1" minDate="2021-01-02T00:00:00" maxDate="2021-02-21T00:00:00" count="19">
        <d v="2021-01-02T00:00:00"/>
        <d v="2021-01-03T00:00:00"/>
        <d v="2021-01-05T00:00:00"/>
        <d v="2021-01-07T00:00:00"/>
        <d v="2021-01-12T00:00:00"/>
        <d v="2021-01-15T00:00:00"/>
        <d v="2021-01-19T00:00:00"/>
        <d v="2021-01-20T00:00:00"/>
        <d v="2021-01-29T00:00:00"/>
        <d v="2021-02-01T00:00:00"/>
        <d v="2021-02-02T00:00:00"/>
        <d v="2021-02-03T00:00:00"/>
        <d v="2021-02-04T00:00:00"/>
        <d v="2021-02-07T00:00:00"/>
        <d v="2021-02-12T00:00:00"/>
        <d v="2021-02-13T00:00:00"/>
        <d v="2021-02-15T00:00:00"/>
        <d v="2021-02-20T00:00:00"/>
        <s v="29.02.2021"/>
      </sharedItems>
    </cacheField>
    <cacheField name="İşlemi Yapan Personel" numFmtId="14">
      <sharedItems count="2">
        <s v="Cansu Düzgün"/>
        <s v="Gaye Kalem"/>
      </sharedItems>
    </cacheField>
    <cacheField name="Firma" numFmtId="0">
      <sharedItems count="5">
        <s v="Ender Civata"/>
        <s v="Yücel Ticaret"/>
        <s v="Mesut Teknik"/>
        <s v="İznik Hırdavat"/>
        <s v="Güvenal Hırdavat"/>
      </sharedItems>
    </cacheField>
    <cacheField name="Ürün" numFmtId="0">
      <sharedItems count="19">
        <s v="İmbus Civata"/>
        <s v="Kaynakçı Eldiveni "/>
        <s v="Klt. Flanşlı Çelik Cıvata"/>
        <s v="Sapsız Metre"/>
        <s v="Havşa Başlı Cıvata"/>
        <s v="Silikon Tabancası"/>
        <s v="Vida Gevşemezlik"/>
        <s v="Unimatic Metre"/>
        <s v="Cıvata Sabitleyici "/>
        <s v="Altı Köşe Baş Cıvata"/>
        <s v="Hızlı Yapıştırıcı "/>
        <s v="Sprey Boya"/>
        <s v="Kesme Nozulu"/>
        <s v="Yuvarlak Baş Cıvata"/>
        <s v="Propan Regülatör"/>
        <s v="Dremel Ovma Başlığı"/>
        <s v="Kombine Anahtar"/>
        <s v="Akülü Deküpaş Testeresi"/>
        <s v="Akülü Daire Testere"/>
      </sharedItems>
    </cacheField>
    <cacheField name="Model" numFmtId="0">
      <sharedItems/>
    </cacheField>
    <cacheField name="Kullanılan Birim" numFmtId="0">
      <sharedItems count="5">
        <s v="Montaj"/>
        <s v="Kaynak"/>
        <s v="Sevkiyat"/>
        <s v="Kalite Kontrol"/>
        <s v="Boya"/>
      </sharedItems>
    </cacheField>
    <cacheField name="Adet" numFmtId="0">
      <sharedItems containsSemiMixedTypes="0" containsString="0" containsNumber="1" containsInteger="1" minValue="1" maxValue="900"/>
    </cacheField>
    <cacheField name="Birim Fiyat" numFmtId="164">
      <sharedItems containsSemiMixedTypes="0" containsString="0" containsNumber="1" minValue="0.14000000000000001" maxValue="2885.2"/>
    </cacheField>
    <cacheField name="İşlem Tutarı" numFmtId="164">
      <sharedItems containsSemiMixedTypes="0" containsString="0" containsNumber="1" minValue="24.57" maxValue="14480.099999999999"/>
    </cacheField>
    <cacheField name="İskonto Oranı" numFmtId="0">
      <sharedItems containsSemiMixedTypes="0" containsString="0" containsNumber="1" minValue="0.02" maxValue="0.1"/>
    </cacheField>
  </cacheFields>
  <extLst>
    <ext xmlns:x14="http://schemas.microsoft.com/office/spreadsheetml/2009/9/main" uri="{725AE2AE-9491-48be-B2B4-4EB974FC3084}">
      <x14:pivotCacheDefinition pivotCacheId="13519132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s v="Din 912 M5 x 15 Paslanmaz "/>
    <x v="0"/>
    <n v="120"/>
    <n v="0.34"/>
    <n v="39.167999999999999"/>
    <n v="0.04"/>
  </r>
  <r>
    <x v="0"/>
    <x v="0"/>
    <x v="1"/>
    <x v="1"/>
    <x v="1"/>
    <s v="5 Beden Siyah"/>
    <x v="1"/>
    <n v="130"/>
    <n v="2.78"/>
    <n v="354.17199999999997"/>
    <n v="0.02"/>
  </r>
  <r>
    <x v="0"/>
    <x v="1"/>
    <x v="1"/>
    <x v="2"/>
    <x v="2"/>
    <s v="Din 6921 M12x 60 Inox"/>
    <x v="0"/>
    <n v="305"/>
    <n v="0.18"/>
    <n v="49.41"/>
    <n v="0.1"/>
  </r>
  <r>
    <x v="0"/>
    <x v="2"/>
    <x v="0"/>
    <x v="3"/>
    <x v="3"/>
    <s v="10 Mt. Satellite"/>
    <x v="2"/>
    <n v="4"/>
    <n v="81.23"/>
    <n v="308.67399999999998"/>
    <n v="0.05"/>
  </r>
  <r>
    <x v="0"/>
    <x v="3"/>
    <x v="0"/>
    <x v="0"/>
    <x v="2"/>
    <s v="Din 6921 M10x 60 Inox"/>
    <x v="0"/>
    <n v="400"/>
    <n v="0.14000000000000001"/>
    <n v="53.760000000000005"/>
    <n v="0.04"/>
  </r>
  <r>
    <x v="0"/>
    <x v="3"/>
    <x v="0"/>
    <x v="0"/>
    <x v="4"/>
    <s v="Din 7991 10,9 M10 x 70 Siyah"/>
    <x v="0"/>
    <n v="250"/>
    <n v="0.34"/>
    <n v="81.599999999999994"/>
    <n v="0.04"/>
  </r>
  <r>
    <x v="0"/>
    <x v="3"/>
    <x v="0"/>
    <x v="2"/>
    <x v="5"/>
    <s v="Kırmızı"/>
    <x v="2"/>
    <n v="305"/>
    <n v="8.5399999999999991"/>
    <n v="2344.23"/>
    <n v="0.1"/>
  </r>
  <r>
    <x v="0"/>
    <x v="4"/>
    <x v="0"/>
    <x v="1"/>
    <x v="6"/>
    <s v="Yüksek Mukavemet 50 Ml."/>
    <x v="0"/>
    <n v="120"/>
    <n v="67.89"/>
    <n v="7983.8640000000005"/>
    <n v="0.02"/>
  </r>
  <r>
    <x v="0"/>
    <x v="5"/>
    <x v="1"/>
    <x v="3"/>
    <x v="7"/>
    <s v="3 Metre"/>
    <x v="3"/>
    <n v="16"/>
    <n v="8.23"/>
    <n v="125.096"/>
    <n v="0.05"/>
  </r>
  <r>
    <x v="0"/>
    <x v="5"/>
    <x v="0"/>
    <x v="4"/>
    <x v="8"/>
    <s v="Düşük Mukavemet 120 Ml."/>
    <x v="0"/>
    <n v="120"/>
    <n v="129.75"/>
    <n v="14480.099999999999"/>
    <n v="7.0000000000000007E-2"/>
  </r>
  <r>
    <x v="0"/>
    <x v="6"/>
    <x v="0"/>
    <x v="0"/>
    <x v="9"/>
    <s v="Din 931 M20 x 160 Siyah"/>
    <x v="0"/>
    <n v="400"/>
    <n v="0.36"/>
    <n v="138.24"/>
    <n v="0.04"/>
  </r>
  <r>
    <x v="0"/>
    <x v="7"/>
    <x v="1"/>
    <x v="2"/>
    <x v="10"/>
    <s v="20 Gr."/>
    <x v="3"/>
    <n v="2"/>
    <n v="13.65"/>
    <n v="24.57"/>
    <n v="0.1"/>
  </r>
  <r>
    <x v="0"/>
    <x v="8"/>
    <x v="1"/>
    <x v="3"/>
    <x v="0"/>
    <s v="Din 912 M8 x 20 Paslanmaz "/>
    <x v="0"/>
    <n v="450"/>
    <n v="0.19"/>
    <n v="81.224999999999994"/>
    <n v="0.05"/>
  </r>
  <r>
    <x v="1"/>
    <x v="9"/>
    <x v="1"/>
    <x v="4"/>
    <x v="11"/>
    <s v="400 Ml. Gri Renk"/>
    <x v="4"/>
    <n v="6"/>
    <n v="31.24"/>
    <n v="174.3192"/>
    <n v="7.0000000000000007E-2"/>
  </r>
  <r>
    <x v="1"/>
    <x v="10"/>
    <x v="1"/>
    <x v="0"/>
    <x v="9"/>
    <s v="Din 931 M10 x 120 Paslanmaz"/>
    <x v="0"/>
    <n v="900"/>
    <n v="0.45"/>
    <n v="388.8"/>
    <n v="0.04"/>
  </r>
  <r>
    <x v="1"/>
    <x v="10"/>
    <x v="0"/>
    <x v="2"/>
    <x v="12"/>
    <s v="75-125mm PNME"/>
    <x v="1"/>
    <n v="4"/>
    <n v="45.78"/>
    <n v="164.80800000000002"/>
    <n v="0.1"/>
  </r>
  <r>
    <x v="1"/>
    <x v="11"/>
    <x v="0"/>
    <x v="0"/>
    <x v="13"/>
    <s v="Din 604 Yb. M6 x 25 Paslanmaz"/>
    <x v="0"/>
    <n v="542"/>
    <n v="0.45"/>
    <n v="234.14400000000001"/>
    <n v="0.04"/>
  </r>
  <r>
    <x v="1"/>
    <x v="12"/>
    <x v="0"/>
    <x v="4"/>
    <x v="14"/>
    <s v="Typhoon Lep"/>
    <x v="0"/>
    <n v="2"/>
    <n v="450.65"/>
    <n v="838.20899999999995"/>
    <n v="7.0000000000000007E-2"/>
  </r>
  <r>
    <x v="1"/>
    <x v="13"/>
    <x v="1"/>
    <x v="1"/>
    <x v="15"/>
    <s v="Çok Güçlü"/>
    <x v="0"/>
    <n v="1"/>
    <n v="34.67"/>
    <n v="33.976599999999998"/>
    <n v="0.02"/>
  </r>
  <r>
    <x v="1"/>
    <x v="13"/>
    <x v="1"/>
    <x v="4"/>
    <x v="11"/>
    <s v="800 Ml. Siyah Renk"/>
    <x v="4"/>
    <n v="4"/>
    <n v="60.24"/>
    <n v="224.09279999999998"/>
    <n v="7.0000000000000007E-2"/>
  </r>
  <r>
    <x v="1"/>
    <x v="13"/>
    <x v="1"/>
    <x v="4"/>
    <x v="11"/>
    <s v="400 Ml. Beyaz Renk"/>
    <x v="4"/>
    <n v="5"/>
    <n v="31.24"/>
    <n v="145.26599999999999"/>
    <n v="7.0000000000000007E-2"/>
  </r>
  <r>
    <x v="1"/>
    <x v="14"/>
    <x v="0"/>
    <x v="0"/>
    <x v="2"/>
    <s v="Din 6921 M8x 60 Inox"/>
    <x v="0"/>
    <n v="120"/>
    <n v="0.25"/>
    <n v="28.799999999999997"/>
    <n v="0.04"/>
  </r>
  <r>
    <x v="1"/>
    <x v="15"/>
    <x v="1"/>
    <x v="4"/>
    <x v="11"/>
    <s v="400 Ml. Kırmızı Renk"/>
    <x v="4"/>
    <n v="304"/>
    <n v="31.24"/>
    <n v="8832.1727999999985"/>
    <n v="7.0000000000000007E-2"/>
  </r>
  <r>
    <x v="1"/>
    <x v="16"/>
    <x v="1"/>
    <x v="1"/>
    <x v="16"/>
    <s v="B01-24 25mm"/>
    <x v="0"/>
    <n v="3"/>
    <n v="23"/>
    <n v="67.62"/>
    <n v="0.02"/>
  </r>
  <r>
    <x v="1"/>
    <x v="17"/>
    <x v="0"/>
    <x v="2"/>
    <x v="17"/>
    <s v="Pst 15 Li"/>
    <x v="1"/>
    <n v="1"/>
    <n v="1182.54"/>
    <n v="1064.2860000000001"/>
    <n v="0.1"/>
  </r>
  <r>
    <x v="1"/>
    <x v="17"/>
    <x v="1"/>
    <x v="0"/>
    <x v="4"/>
    <s v="Din 7991 10,9 M20 x 70 Siyah"/>
    <x v="0"/>
    <n v="120"/>
    <n v="0.32"/>
    <n v="36.863999999999997"/>
    <n v="0.04"/>
  </r>
  <r>
    <x v="1"/>
    <x v="18"/>
    <x v="1"/>
    <x v="1"/>
    <x v="18"/>
    <s v="Pks 18 Li"/>
    <x v="2"/>
    <n v="4"/>
    <n v="2885.2"/>
    <n v="11309.983999999999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C1273-B4CF-45DF-ADF9-8450E440358D}" name="PivotTable1" cacheId="3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10">
  <location ref="A3:B8" firstHeaderRow="1" firstDataRow="1" firstDataCol="1"/>
  <pivotFields count="11"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6">
        <item x="0"/>
        <item x="4"/>
        <item x="3"/>
        <item x="2"/>
        <item x="1"/>
        <item t="default"/>
      </items>
    </pivotField>
    <pivotField showAll="0">
      <items count="20">
        <item x="18"/>
        <item x="17"/>
        <item x="9"/>
        <item x="8"/>
        <item x="15"/>
        <item x="4"/>
        <item x="10"/>
        <item x="0"/>
        <item x="1"/>
        <item x="12"/>
        <item x="2"/>
        <item x="16"/>
        <item x="14"/>
        <item x="3"/>
        <item x="5"/>
        <item x="11"/>
        <item x="7"/>
        <item x="6"/>
        <item x="13"/>
        <item t="default"/>
      </items>
    </pivotField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plam İşlem Tutarı" fld="9" baseField="0" baseItem="0" numFmtId="164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CBAF3-44D6-4D12-8455-62A36ADCDD92}" name="PivotTable2" cacheId="3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2">
  <location ref="A7:B29" firstHeaderRow="1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>
      <items count="20"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0"/>
        <item x="4"/>
        <item x="3"/>
        <item x="2"/>
        <item x="1"/>
        <item t="default"/>
      </items>
    </pivotField>
    <pivotField showAll="0">
      <items count="20">
        <item x="18"/>
        <item x="17"/>
        <item x="9"/>
        <item x="8"/>
        <item x="15"/>
        <item x="4"/>
        <item x="10"/>
        <item x="0"/>
        <item x="1"/>
        <item x="12"/>
        <item x="2"/>
        <item x="16"/>
        <item x="14"/>
        <item x="3"/>
        <item x="5"/>
        <item x="11"/>
        <item x="7"/>
        <item x="6"/>
        <item x="13"/>
        <item t="default"/>
      </items>
    </pivotField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</pivotFields>
  <rowFields count="2">
    <field x="0"/>
    <field x="1"/>
  </rowFields>
  <rowItems count="2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grand">
      <x/>
    </i>
  </rowItems>
  <colItems count="1">
    <i/>
  </colItems>
  <dataFields count="1">
    <dataField name="Toplam İşlem Tutarı" fld="9" baseField="0" baseItem="0" numFmtId="164"/>
  </dataFields>
  <formats count="5">
    <format dxfId="109">
      <pivotArea dataOnly="0" fieldPosition="0">
        <references count="1">
          <reference field="0" count="1">
            <x v="0"/>
          </reference>
        </references>
      </pivotArea>
    </format>
    <format dxfId="108">
      <pivotArea dataOnly="0" labelOnly="1" fieldPosition="0">
        <references count="1">
          <reference field="0" count="1">
            <x v="0"/>
          </reference>
        </references>
      </pivotArea>
    </format>
    <format dxfId="107">
      <pivotArea collapsedLevelsAreSubtotals="1" fieldPosition="0">
        <references count="1">
          <reference field="0" count="1">
            <x v="0"/>
          </reference>
        </references>
      </pivotArea>
    </format>
    <format dxfId="106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05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</formats>
  <chartFormats count="18"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1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11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11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1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11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11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11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1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1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678B5-967D-40D6-BE24-0857BCD96DDD}" name="PivotTable3" cacheId="3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 rowHeaderCaption="Kullanılan Ürün">
  <location ref="A7:B27" firstHeaderRow="1" firstDataRow="1" firstDataCol="1"/>
  <pivotFields count="11"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6">
        <item x="0"/>
        <item x="4"/>
        <item x="3"/>
        <item x="2"/>
        <item x="1"/>
        <item t="default"/>
      </items>
    </pivotField>
    <pivotField name="Kullanılan Ürün" axis="axisRow" showAll="0">
      <items count="20">
        <item x="18"/>
        <item x="17"/>
        <item x="9"/>
        <item x="8"/>
        <item x="15"/>
        <item x="4"/>
        <item x="10"/>
        <item x="0"/>
        <item x="1"/>
        <item x="12"/>
        <item x="2"/>
        <item x="16"/>
        <item x="14"/>
        <item x="3"/>
        <item x="5"/>
        <item x="11"/>
        <item x="7"/>
        <item x="6"/>
        <item x="13"/>
        <item t="default"/>
      </items>
    </pivotField>
    <pivotField showAll="0"/>
    <pivotField showAll="0">
      <items count="6">
        <item x="4"/>
        <item x="3"/>
        <item x="1"/>
        <item x="0"/>
        <item x="2"/>
        <item t="default"/>
      </items>
    </pivotField>
    <pivotField dataField="1" showAll="0"/>
    <pivotField numFmtId="164" showAll="0"/>
    <pivotField numFmtId="164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Toplam Adet" fld="7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1146F-2C4D-4C9B-8D86-D0083B9F6432}" name="PivotTable4" cacheId="31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13" rowHeaderCaption="Kullanılan Birim">
  <location ref="A6:B11" firstHeaderRow="1" firstDataRow="1" firstDataCol="1"/>
  <pivotFields count="11"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6">
        <item x="0"/>
        <item x="4"/>
        <item x="3"/>
        <item x="2"/>
        <item x="1"/>
        <item t="default"/>
      </items>
    </pivotField>
    <pivotField showAll="0">
      <items count="20">
        <item x="18"/>
        <item x="17"/>
        <item x="9"/>
        <item x="8"/>
        <item x="15"/>
        <item x="4"/>
        <item x="10"/>
        <item x="0"/>
        <item x="1"/>
        <item x="12"/>
        <item x="2"/>
        <item x="16"/>
        <item x="14"/>
        <item x="3"/>
        <item x="5"/>
        <item x="11"/>
        <item x="7"/>
        <item x="6"/>
        <item x="13"/>
        <item t="default"/>
      </items>
    </pivotField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dataField="1" showAll="0"/>
    <pivotField numFmtId="164" showAll="0"/>
    <pivotField numFmtId="164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plam Adet" fld="7" baseField="0" baseItem="0"/>
  </dataFields>
  <chartFormats count="6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C613D2DC-559F-4F58-A778-0BDB58010A55}" sourceName="Ay">
  <pivotTables>
    <pivotTable tabId="2" name="PivotTable1"/>
    <pivotTable tabId="4" name="PivotTable3"/>
    <pivotTable tabId="3" name="PivotTable2"/>
    <pivotTable tabId="5" name="PivotTable4"/>
  </pivotTables>
  <data>
    <tabular pivotCacheId="135191326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İşlemi_Yapan_Personel" xr10:uid="{41ED4208-2002-4ED7-86D3-6E32D42A4A7D}" sourceName="İşlemi Yapan Personel">
  <pivotTables>
    <pivotTable tabId="2" name="PivotTable1"/>
    <pivotTable tabId="4" name="PivotTable3"/>
    <pivotTable tabId="3" name="PivotTable2"/>
    <pivotTable tabId="5" name="PivotTable4"/>
  </pivotTables>
  <data>
    <tabular pivotCacheId="135191326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Firma" xr10:uid="{3556FA47-7208-47C7-882B-65DE4D62AF42}" sourceName="Firma">
  <pivotTables>
    <pivotTable tabId="2" name="PivotTable1"/>
    <pivotTable tabId="4" name="PivotTable3"/>
    <pivotTable tabId="3" name="PivotTable2"/>
    <pivotTable tabId="5" name="PivotTable4"/>
  </pivotTables>
  <data>
    <tabular pivotCacheId="1351913261">
      <items count="5">
        <i x="0" s="1"/>
        <i x="4" s="1"/>
        <i x="3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" xr10:uid="{07ECBFA2-D59A-4AF2-873E-9CE1D561AAE9}" sourceName="Ürün">
  <pivotTables>
    <pivotTable tabId="2" name="PivotTable1"/>
    <pivotTable tabId="4" name="PivotTable3"/>
    <pivotTable tabId="3" name="PivotTable2"/>
    <pivotTable tabId="5" name="PivotTable4"/>
  </pivotTables>
  <data>
    <tabular pivotCacheId="1351913261">
      <items count="19">
        <i x="18" s="1"/>
        <i x="17" s="1"/>
        <i x="9" s="1"/>
        <i x="8" s="1"/>
        <i x="15" s="1"/>
        <i x="4" s="1"/>
        <i x="10" s="1"/>
        <i x="0" s="1"/>
        <i x="1" s="1"/>
        <i x="12" s="1"/>
        <i x="2" s="1"/>
        <i x="16" s="1"/>
        <i x="14" s="1"/>
        <i x="3" s="1"/>
        <i x="5" s="1"/>
        <i x="11" s="1"/>
        <i x="7" s="1"/>
        <i x="6" s="1"/>
        <i x="1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ullanılan_Birim" xr10:uid="{56222DB6-DA51-4DB8-BEEC-D3411FB4F32F}" sourceName="Kullanılan Birim">
  <pivotTables>
    <pivotTable tabId="2" name="PivotTable1"/>
    <pivotTable tabId="4" name="PivotTable3"/>
    <pivotTable tabId="3" name="PivotTable2"/>
    <pivotTable tabId="5" name="PivotTable4"/>
  </pivotTables>
  <data>
    <tabular pivotCacheId="1351913261">
      <items count="5">
        <i x="4" s="1"/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y" xr10:uid="{CAFBAF87-406B-4CE2-A125-E0D9D014F61E}" cache="Dilimleyici_Ay" caption="Ay" style="SlicerStyleDark5" rowHeight="241300"/>
  <slicer name="İşlemi Yapan Personel" xr10:uid="{5C090B08-BD60-44A1-961E-9008559F29D9}" cache="Dilimleyici_İşlemi_Yapan_Personel" caption="İşlemi Yapan Personel" style="SlicerStyleDark5" rowHeight="241300"/>
  <slicer name="Firma" xr10:uid="{FD4965E0-DE05-430C-8096-5ACB433D24E5}" cache="Dilimleyici_Firma" caption="Firma" style="SlicerStyleDark5" rowHeight="241300"/>
  <slicer name="Ürün" xr10:uid="{57EF569A-E9E8-4784-8441-4DBF110655C1}" cache="Dilimleyici_Ürün" caption="Ürün" columnCount="4" style="SlicerStyleDark5" rowHeight="241300"/>
  <slicer name="Kullanılan Birim" xr10:uid="{70E47159-037F-49C0-9F53-EDA0D7AC46A5}" cache="Dilimleyici_Kullanılan_Birim" caption="Kullanılan Birim" columnCount="2" style="SlicerStyleDark5" rowHeight="241300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2232-39CA-4D3D-8831-46CDE1EABA97}">
  <dimension ref="A2:N30"/>
  <sheetViews>
    <sheetView zoomScale="85" zoomScaleNormal="85" workbookViewId="0">
      <selection activeCell="J59" sqref="J59"/>
    </sheetView>
  </sheetViews>
  <sheetFormatPr defaultRowHeight="15" x14ac:dyDescent="0.25"/>
  <cols>
    <col min="1" max="1" width="5.85546875" bestFit="1" customWidth="1"/>
    <col min="2" max="2" width="10.140625" style="1" bestFit="1" customWidth="1"/>
    <col min="3" max="3" width="24.5703125" style="1" bestFit="1" customWidth="1"/>
    <col min="4" max="4" width="15.5703125" bestFit="1" customWidth="1"/>
    <col min="5" max="5" width="20.140625" bestFit="1" customWidth="1"/>
    <col min="6" max="6" width="27" bestFit="1" customWidth="1"/>
    <col min="7" max="7" width="18.140625" bestFit="1" customWidth="1"/>
    <col min="8" max="8" width="6.140625" bestFit="1" customWidth="1"/>
    <col min="9" max="9" width="12.5703125" style="4" bestFit="1" customWidth="1"/>
    <col min="10" max="10" width="14.85546875" bestFit="1" customWidth="1"/>
    <col min="11" max="11" width="15.85546875" bestFit="1" customWidth="1"/>
    <col min="13" max="13" width="15.140625" bestFit="1" customWidth="1"/>
    <col min="14" max="14" width="15.85546875" bestFit="1" customWidth="1"/>
  </cols>
  <sheetData>
    <row r="2" spans="1:14" ht="21" x14ac:dyDescent="0.35">
      <c r="B2" s="6" t="s">
        <v>66</v>
      </c>
      <c r="C2" s="6"/>
      <c r="D2" s="6"/>
      <c r="E2" s="6"/>
      <c r="F2" s="6"/>
      <c r="G2" s="6"/>
      <c r="H2" s="6"/>
      <c r="I2" s="6"/>
      <c r="J2" s="6"/>
      <c r="K2" s="6"/>
    </row>
    <row r="3" spans="1:14" ht="18.75" x14ac:dyDescent="0.3">
      <c r="A3" s="2" t="s">
        <v>67</v>
      </c>
      <c r="B3" s="5" t="s">
        <v>6</v>
      </c>
      <c r="C3" s="5" t="s">
        <v>71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3" t="s">
        <v>5</v>
      </c>
      <c r="J3" s="2" t="s">
        <v>68</v>
      </c>
      <c r="K3" s="2" t="s">
        <v>65</v>
      </c>
      <c r="M3" s="2" t="s">
        <v>64</v>
      </c>
      <c r="N3" s="2" t="s">
        <v>65</v>
      </c>
    </row>
    <row r="4" spans="1:14" x14ac:dyDescent="0.25">
      <c r="A4" s="1" t="s">
        <v>69</v>
      </c>
      <c r="B4" s="1">
        <v>44198</v>
      </c>
      <c r="C4" s="1" t="s">
        <v>72</v>
      </c>
      <c r="D4" t="s">
        <v>16</v>
      </c>
      <c r="E4" t="s">
        <v>18</v>
      </c>
      <c r="F4" t="s">
        <v>19</v>
      </c>
      <c r="G4" t="s">
        <v>12</v>
      </c>
      <c r="H4">
        <v>120</v>
      </c>
      <c r="I4" s="4">
        <v>0.34</v>
      </c>
      <c r="J4" s="4">
        <f>H4*I4*(1-K4)</f>
        <v>39.167999999999999</v>
      </c>
      <c r="K4">
        <f>VLOOKUP(D4,$M$4:$N$8,2,FALSE)</f>
        <v>0.04</v>
      </c>
      <c r="M4" t="s">
        <v>16</v>
      </c>
      <c r="N4">
        <v>0.04</v>
      </c>
    </row>
    <row r="5" spans="1:14" x14ac:dyDescent="0.25">
      <c r="A5" s="1" t="s">
        <v>69</v>
      </c>
      <c r="B5" s="1">
        <v>44198</v>
      </c>
      <c r="C5" s="1" t="s">
        <v>73</v>
      </c>
      <c r="D5" t="s">
        <v>8</v>
      </c>
      <c r="E5" t="s">
        <v>14</v>
      </c>
      <c r="F5" t="s">
        <v>15</v>
      </c>
      <c r="G5" t="s">
        <v>13</v>
      </c>
      <c r="H5">
        <v>130</v>
      </c>
      <c r="I5" s="4">
        <v>2.78</v>
      </c>
      <c r="J5" s="4">
        <f t="shared" ref="J5:J30" si="0">H5*I5*(1-K5)</f>
        <v>354.17199999999997</v>
      </c>
      <c r="K5">
        <f t="shared" ref="K5:K30" si="1">VLOOKUP(D5,$M$4:$N$8,2,FALSE)</f>
        <v>0.02</v>
      </c>
      <c r="M5" t="s">
        <v>8</v>
      </c>
      <c r="N5">
        <v>0.02</v>
      </c>
    </row>
    <row r="6" spans="1:14" x14ac:dyDescent="0.25">
      <c r="A6" s="1" t="s">
        <v>69</v>
      </c>
      <c r="B6" s="1">
        <v>44199</v>
      </c>
      <c r="C6" s="1" t="s">
        <v>73</v>
      </c>
      <c r="D6" t="s">
        <v>10</v>
      </c>
      <c r="E6" t="s">
        <v>17</v>
      </c>
      <c r="F6" t="s">
        <v>20</v>
      </c>
      <c r="G6" t="s">
        <v>12</v>
      </c>
      <c r="H6">
        <v>305</v>
      </c>
      <c r="I6" s="4">
        <v>0.18</v>
      </c>
      <c r="J6" s="4">
        <f t="shared" si="0"/>
        <v>49.41</v>
      </c>
      <c r="K6">
        <f t="shared" si="1"/>
        <v>0.1</v>
      </c>
      <c r="M6" t="s">
        <v>10</v>
      </c>
      <c r="N6">
        <v>0.1</v>
      </c>
    </row>
    <row r="7" spans="1:14" x14ac:dyDescent="0.25">
      <c r="A7" s="1" t="s">
        <v>69</v>
      </c>
      <c r="B7" s="1">
        <v>44201</v>
      </c>
      <c r="C7" s="1" t="s">
        <v>72</v>
      </c>
      <c r="D7" t="s">
        <v>9</v>
      </c>
      <c r="E7" t="s">
        <v>24</v>
      </c>
      <c r="F7" t="s">
        <v>25</v>
      </c>
      <c r="G7" t="s">
        <v>26</v>
      </c>
      <c r="H7">
        <v>4</v>
      </c>
      <c r="I7" s="4">
        <v>81.23</v>
      </c>
      <c r="J7" s="4">
        <f t="shared" si="0"/>
        <v>308.67399999999998</v>
      </c>
      <c r="K7">
        <f t="shared" si="1"/>
        <v>0.05</v>
      </c>
      <c r="M7" t="s">
        <v>9</v>
      </c>
      <c r="N7">
        <v>0.05</v>
      </c>
    </row>
    <row r="8" spans="1:14" x14ac:dyDescent="0.25">
      <c r="A8" s="1" t="s">
        <v>69</v>
      </c>
      <c r="B8" s="1">
        <v>44203</v>
      </c>
      <c r="C8" s="1" t="s">
        <v>72</v>
      </c>
      <c r="D8" t="s">
        <v>16</v>
      </c>
      <c r="E8" t="s">
        <v>17</v>
      </c>
      <c r="F8" t="s">
        <v>22</v>
      </c>
      <c r="G8" t="s">
        <v>12</v>
      </c>
      <c r="H8">
        <v>400</v>
      </c>
      <c r="I8" s="4">
        <v>0.14000000000000001</v>
      </c>
      <c r="J8" s="4">
        <f t="shared" si="0"/>
        <v>53.760000000000005</v>
      </c>
      <c r="K8">
        <f t="shared" si="1"/>
        <v>0.04</v>
      </c>
      <c r="M8" t="s">
        <v>11</v>
      </c>
      <c r="N8">
        <v>7.0000000000000007E-2</v>
      </c>
    </row>
    <row r="9" spans="1:14" x14ac:dyDescent="0.25">
      <c r="A9" s="1" t="s">
        <v>69</v>
      </c>
      <c r="B9" s="1">
        <v>44203</v>
      </c>
      <c r="C9" s="1" t="s">
        <v>72</v>
      </c>
      <c r="D9" t="s">
        <v>16</v>
      </c>
      <c r="E9" t="s">
        <v>33</v>
      </c>
      <c r="F9" t="s">
        <v>35</v>
      </c>
      <c r="G9" t="s">
        <v>12</v>
      </c>
      <c r="H9">
        <v>250</v>
      </c>
      <c r="I9" s="4">
        <v>0.34</v>
      </c>
      <c r="J9" s="4">
        <f t="shared" si="0"/>
        <v>81.599999999999994</v>
      </c>
      <c r="K9">
        <f t="shared" si="1"/>
        <v>0.04</v>
      </c>
    </row>
    <row r="10" spans="1:14" x14ac:dyDescent="0.25">
      <c r="A10" s="1" t="s">
        <v>69</v>
      </c>
      <c r="B10" s="1">
        <v>44203</v>
      </c>
      <c r="C10" s="1" t="s">
        <v>72</v>
      </c>
      <c r="D10" t="s">
        <v>10</v>
      </c>
      <c r="E10" t="s">
        <v>38</v>
      </c>
      <c r="F10" t="s">
        <v>39</v>
      </c>
      <c r="G10" t="s">
        <v>26</v>
      </c>
      <c r="H10">
        <v>305</v>
      </c>
      <c r="I10" s="4">
        <v>8.5399999999999991</v>
      </c>
      <c r="J10" s="4">
        <f t="shared" si="0"/>
        <v>2344.23</v>
      </c>
      <c r="K10">
        <f t="shared" si="1"/>
        <v>0.1</v>
      </c>
    </row>
    <row r="11" spans="1:14" x14ac:dyDescent="0.25">
      <c r="A11" s="1" t="s">
        <v>69</v>
      </c>
      <c r="B11" s="1">
        <v>44208</v>
      </c>
      <c r="C11" s="1" t="s">
        <v>72</v>
      </c>
      <c r="D11" t="s">
        <v>8</v>
      </c>
      <c r="E11" t="s">
        <v>40</v>
      </c>
      <c r="F11" t="s">
        <v>41</v>
      </c>
      <c r="G11" t="s">
        <v>12</v>
      </c>
      <c r="H11">
        <v>120</v>
      </c>
      <c r="I11" s="4">
        <v>67.89</v>
      </c>
      <c r="J11" s="4">
        <f t="shared" si="0"/>
        <v>7983.8640000000005</v>
      </c>
      <c r="K11">
        <f t="shared" si="1"/>
        <v>0.02</v>
      </c>
    </row>
    <row r="12" spans="1:14" x14ac:dyDescent="0.25">
      <c r="A12" s="1" t="s">
        <v>69</v>
      </c>
      <c r="B12" s="1">
        <v>44211</v>
      </c>
      <c r="C12" s="1" t="s">
        <v>73</v>
      </c>
      <c r="D12" t="s">
        <v>9</v>
      </c>
      <c r="E12" t="s">
        <v>27</v>
      </c>
      <c r="F12" t="s">
        <v>28</v>
      </c>
      <c r="G12" t="s">
        <v>29</v>
      </c>
      <c r="H12">
        <v>16</v>
      </c>
      <c r="I12" s="4">
        <v>8.23</v>
      </c>
      <c r="J12" s="4">
        <f t="shared" si="0"/>
        <v>125.096</v>
      </c>
      <c r="K12">
        <f t="shared" si="1"/>
        <v>0.05</v>
      </c>
    </row>
    <row r="13" spans="1:14" x14ac:dyDescent="0.25">
      <c r="A13" s="1" t="s">
        <v>69</v>
      </c>
      <c r="B13" s="1">
        <v>44211</v>
      </c>
      <c r="C13" s="1" t="s">
        <v>72</v>
      </c>
      <c r="D13" t="s">
        <v>11</v>
      </c>
      <c r="E13" t="s">
        <v>42</v>
      </c>
      <c r="F13" t="s">
        <v>43</v>
      </c>
      <c r="G13" t="s">
        <v>12</v>
      </c>
      <c r="H13">
        <v>120</v>
      </c>
      <c r="I13" s="4">
        <v>129.75</v>
      </c>
      <c r="J13" s="4">
        <f t="shared" si="0"/>
        <v>14480.099999999999</v>
      </c>
      <c r="K13">
        <f t="shared" si="1"/>
        <v>7.0000000000000007E-2</v>
      </c>
    </row>
    <row r="14" spans="1:14" x14ac:dyDescent="0.25">
      <c r="A14" s="1" t="s">
        <v>69</v>
      </c>
      <c r="B14" s="1">
        <v>44215</v>
      </c>
      <c r="C14" s="1" t="s">
        <v>72</v>
      </c>
      <c r="D14" t="s">
        <v>16</v>
      </c>
      <c r="E14" t="s">
        <v>30</v>
      </c>
      <c r="F14" t="s">
        <v>31</v>
      </c>
      <c r="G14" t="s">
        <v>12</v>
      </c>
      <c r="H14">
        <v>400</v>
      </c>
      <c r="I14" s="4">
        <v>0.36</v>
      </c>
      <c r="J14" s="4">
        <f t="shared" si="0"/>
        <v>138.24</v>
      </c>
      <c r="K14">
        <f t="shared" si="1"/>
        <v>0.04</v>
      </c>
    </row>
    <row r="15" spans="1:14" x14ac:dyDescent="0.25">
      <c r="A15" s="1" t="s">
        <v>69</v>
      </c>
      <c r="B15" s="1">
        <v>44216</v>
      </c>
      <c r="C15" s="1" t="s">
        <v>73</v>
      </c>
      <c r="D15" t="s">
        <v>10</v>
      </c>
      <c r="E15" t="s">
        <v>44</v>
      </c>
      <c r="F15" t="s">
        <v>45</v>
      </c>
      <c r="G15" t="s">
        <v>29</v>
      </c>
      <c r="H15">
        <v>2</v>
      </c>
      <c r="I15" s="4">
        <v>13.65</v>
      </c>
      <c r="J15" s="4">
        <f t="shared" si="0"/>
        <v>24.57</v>
      </c>
      <c r="K15">
        <f t="shared" si="1"/>
        <v>0.1</v>
      </c>
    </row>
    <row r="16" spans="1:14" x14ac:dyDescent="0.25">
      <c r="A16" s="1" t="s">
        <v>69</v>
      </c>
      <c r="B16" s="1">
        <v>44225</v>
      </c>
      <c r="C16" s="1" t="s">
        <v>73</v>
      </c>
      <c r="D16" t="s">
        <v>9</v>
      </c>
      <c r="E16" t="s">
        <v>18</v>
      </c>
      <c r="F16" t="s">
        <v>23</v>
      </c>
      <c r="G16" t="s">
        <v>12</v>
      </c>
      <c r="H16">
        <v>450</v>
      </c>
      <c r="I16" s="4">
        <v>0.19</v>
      </c>
      <c r="J16" s="4">
        <f t="shared" si="0"/>
        <v>81.224999999999994</v>
      </c>
      <c r="K16">
        <f t="shared" si="1"/>
        <v>0.05</v>
      </c>
    </row>
    <row r="17" spans="1:11" ht="14.45" customHeight="1" x14ac:dyDescent="0.25">
      <c r="A17" s="1" t="s">
        <v>70</v>
      </c>
      <c r="B17" s="1">
        <v>44228</v>
      </c>
      <c r="C17" s="1" t="s">
        <v>73</v>
      </c>
      <c r="D17" t="s">
        <v>11</v>
      </c>
      <c r="E17" t="s">
        <v>46</v>
      </c>
      <c r="F17" t="s">
        <v>47</v>
      </c>
      <c r="G17" t="s">
        <v>63</v>
      </c>
      <c r="H17">
        <v>6</v>
      </c>
      <c r="I17" s="4">
        <v>31.24</v>
      </c>
      <c r="J17" s="4">
        <f t="shared" si="0"/>
        <v>174.3192</v>
      </c>
      <c r="K17">
        <f t="shared" si="1"/>
        <v>7.0000000000000007E-2</v>
      </c>
    </row>
    <row r="18" spans="1:11" x14ac:dyDescent="0.25">
      <c r="A18" s="1" t="s">
        <v>70</v>
      </c>
      <c r="B18" s="1">
        <v>44229</v>
      </c>
      <c r="C18" s="1" t="s">
        <v>73</v>
      </c>
      <c r="D18" t="s">
        <v>16</v>
      </c>
      <c r="E18" t="s">
        <v>30</v>
      </c>
      <c r="F18" t="s">
        <v>32</v>
      </c>
      <c r="G18" t="s">
        <v>12</v>
      </c>
      <c r="H18">
        <v>900</v>
      </c>
      <c r="I18" s="4">
        <v>0.45</v>
      </c>
      <c r="J18" s="4">
        <f t="shared" si="0"/>
        <v>388.8</v>
      </c>
      <c r="K18">
        <f t="shared" si="1"/>
        <v>0.04</v>
      </c>
    </row>
    <row r="19" spans="1:11" x14ac:dyDescent="0.25">
      <c r="A19" s="1" t="s">
        <v>70</v>
      </c>
      <c r="B19" s="1">
        <v>44229</v>
      </c>
      <c r="C19" s="1" t="s">
        <v>72</v>
      </c>
      <c r="D19" t="s">
        <v>10</v>
      </c>
      <c r="E19" t="s">
        <v>51</v>
      </c>
      <c r="F19" t="s">
        <v>52</v>
      </c>
      <c r="G19" t="s">
        <v>13</v>
      </c>
      <c r="H19">
        <v>4</v>
      </c>
      <c r="I19" s="4">
        <v>45.78</v>
      </c>
      <c r="J19" s="4">
        <f t="shared" si="0"/>
        <v>164.80800000000002</v>
      </c>
      <c r="K19">
        <f t="shared" si="1"/>
        <v>0.1</v>
      </c>
    </row>
    <row r="20" spans="1:11" x14ac:dyDescent="0.25">
      <c r="A20" s="1" t="s">
        <v>70</v>
      </c>
      <c r="B20" s="1">
        <v>44230</v>
      </c>
      <c r="C20" s="1" t="s">
        <v>72</v>
      </c>
      <c r="D20" t="s">
        <v>16</v>
      </c>
      <c r="E20" t="s">
        <v>36</v>
      </c>
      <c r="F20" t="s">
        <v>37</v>
      </c>
      <c r="G20" t="s">
        <v>12</v>
      </c>
      <c r="H20">
        <v>542</v>
      </c>
      <c r="I20" s="4">
        <v>0.45</v>
      </c>
      <c r="J20" s="4">
        <f t="shared" si="0"/>
        <v>234.14400000000001</v>
      </c>
      <c r="K20">
        <f t="shared" si="1"/>
        <v>0.04</v>
      </c>
    </row>
    <row r="21" spans="1:11" x14ac:dyDescent="0.25">
      <c r="A21" s="1" t="s">
        <v>70</v>
      </c>
      <c r="B21" s="1">
        <v>44231</v>
      </c>
      <c r="C21" s="1" t="s">
        <v>72</v>
      </c>
      <c r="D21" t="s">
        <v>11</v>
      </c>
      <c r="E21" t="s">
        <v>53</v>
      </c>
      <c r="F21" t="s">
        <v>54</v>
      </c>
      <c r="G21" t="s">
        <v>12</v>
      </c>
      <c r="H21">
        <v>2</v>
      </c>
      <c r="I21" s="4">
        <v>450.65</v>
      </c>
      <c r="J21" s="4">
        <f t="shared" si="0"/>
        <v>838.20899999999995</v>
      </c>
      <c r="K21">
        <f t="shared" si="1"/>
        <v>7.0000000000000007E-2</v>
      </c>
    </row>
    <row r="22" spans="1:11" x14ac:dyDescent="0.25">
      <c r="A22" s="1" t="s">
        <v>70</v>
      </c>
      <c r="B22" s="1">
        <v>44234</v>
      </c>
      <c r="C22" s="1" t="s">
        <v>73</v>
      </c>
      <c r="D22" t="s">
        <v>8</v>
      </c>
      <c r="E22" t="s">
        <v>55</v>
      </c>
      <c r="F22" t="s">
        <v>56</v>
      </c>
      <c r="G22" t="s">
        <v>12</v>
      </c>
      <c r="H22">
        <v>1</v>
      </c>
      <c r="I22" s="4">
        <v>34.67</v>
      </c>
      <c r="J22" s="4">
        <f t="shared" si="0"/>
        <v>33.976599999999998</v>
      </c>
      <c r="K22">
        <f t="shared" si="1"/>
        <v>0.02</v>
      </c>
    </row>
    <row r="23" spans="1:11" x14ac:dyDescent="0.25">
      <c r="A23" s="1" t="s">
        <v>70</v>
      </c>
      <c r="B23" s="1">
        <v>44234</v>
      </c>
      <c r="C23" s="1" t="s">
        <v>73</v>
      </c>
      <c r="D23" t="s">
        <v>11</v>
      </c>
      <c r="E23" t="s">
        <v>46</v>
      </c>
      <c r="F23" t="s">
        <v>48</v>
      </c>
      <c r="G23" t="s">
        <v>63</v>
      </c>
      <c r="H23">
        <v>4</v>
      </c>
      <c r="I23" s="4">
        <v>60.24</v>
      </c>
      <c r="J23" s="4">
        <f t="shared" si="0"/>
        <v>224.09279999999998</v>
      </c>
      <c r="K23">
        <f t="shared" si="1"/>
        <v>7.0000000000000007E-2</v>
      </c>
    </row>
    <row r="24" spans="1:11" x14ac:dyDescent="0.25">
      <c r="A24" s="1" t="s">
        <v>70</v>
      </c>
      <c r="B24" s="1">
        <v>44234</v>
      </c>
      <c r="C24" s="1" t="s">
        <v>73</v>
      </c>
      <c r="D24" t="s">
        <v>11</v>
      </c>
      <c r="E24" t="s">
        <v>46</v>
      </c>
      <c r="F24" t="s">
        <v>49</v>
      </c>
      <c r="G24" t="s">
        <v>63</v>
      </c>
      <c r="H24">
        <v>5</v>
      </c>
      <c r="I24" s="4">
        <v>31.24</v>
      </c>
      <c r="J24" s="4">
        <f t="shared" si="0"/>
        <v>145.26599999999999</v>
      </c>
      <c r="K24">
        <f t="shared" si="1"/>
        <v>7.0000000000000007E-2</v>
      </c>
    </row>
    <row r="25" spans="1:11" x14ac:dyDescent="0.25">
      <c r="A25" s="1" t="s">
        <v>70</v>
      </c>
      <c r="B25" s="1">
        <v>44239</v>
      </c>
      <c r="C25" s="1" t="s">
        <v>72</v>
      </c>
      <c r="D25" t="s">
        <v>16</v>
      </c>
      <c r="E25" t="s">
        <v>17</v>
      </c>
      <c r="F25" t="s">
        <v>21</v>
      </c>
      <c r="G25" t="s">
        <v>12</v>
      </c>
      <c r="H25">
        <v>120</v>
      </c>
      <c r="I25" s="4">
        <v>0.25</v>
      </c>
      <c r="J25" s="4">
        <f t="shared" si="0"/>
        <v>28.799999999999997</v>
      </c>
      <c r="K25">
        <f t="shared" si="1"/>
        <v>0.04</v>
      </c>
    </row>
    <row r="26" spans="1:11" x14ac:dyDescent="0.25">
      <c r="A26" s="1" t="s">
        <v>70</v>
      </c>
      <c r="B26" s="1">
        <v>44240</v>
      </c>
      <c r="C26" s="1" t="s">
        <v>73</v>
      </c>
      <c r="D26" t="s">
        <v>11</v>
      </c>
      <c r="E26" t="s">
        <v>46</v>
      </c>
      <c r="F26" t="s">
        <v>50</v>
      </c>
      <c r="G26" t="s">
        <v>63</v>
      </c>
      <c r="H26">
        <v>304</v>
      </c>
      <c r="I26" s="4">
        <v>31.24</v>
      </c>
      <c r="J26" s="4">
        <f t="shared" si="0"/>
        <v>8832.1727999999985</v>
      </c>
      <c r="K26">
        <f t="shared" si="1"/>
        <v>7.0000000000000007E-2</v>
      </c>
    </row>
    <row r="27" spans="1:11" x14ac:dyDescent="0.25">
      <c r="A27" s="1" t="s">
        <v>70</v>
      </c>
      <c r="B27" s="1">
        <v>44242</v>
      </c>
      <c r="C27" s="1" t="s">
        <v>73</v>
      </c>
      <c r="D27" t="s">
        <v>8</v>
      </c>
      <c r="E27" t="s">
        <v>57</v>
      </c>
      <c r="F27" t="s">
        <v>58</v>
      </c>
      <c r="G27" t="s">
        <v>12</v>
      </c>
      <c r="H27">
        <v>3</v>
      </c>
      <c r="I27" s="4">
        <v>23</v>
      </c>
      <c r="J27" s="4">
        <f t="shared" si="0"/>
        <v>67.62</v>
      </c>
      <c r="K27">
        <f t="shared" si="1"/>
        <v>0.02</v>
      </c>
    </row>
    <row r="28" spans="1:11" x14ac:dyDescent="0.25">
      <c r="A28" s="1" t="s">
        <v>70</v>
      </c>
      <c r="B28" s="1">
        <v>44247</v>
      </c>
      <c r="C28" s="1" t="s">
        <v>72</v>
      </c>
      <c r="D28" t="s">
        <v>10</v>
      </c>
      <c r="E28" t="s">
        <v>59</v>
      </c>
      <c r="F28" t="s">
        <v>60</v>
      </c>
      <c r="G28" t="s">
        <v>13</v>
      </c>
      <c r="H28">
        <v>1</v>
      </c>
      <c r="I28" s="4">
        <v>1182.54</v>
      </c>
      <c r="J28" s="4">
        <f t="shared" si="0"/>
        <v>1064.2860000000001</v>
      </c>
      <c r="K28">
        <f t="shared" si="1"/>
        <v>0.1</v>
      </c>
    </row>
    <row r="29" spans="1:11" x14ac:dyDescent="0.25">
      <c r="A29" s="1" t="s">
        <v>70</v>
      </c>
      <c r="B29" s="1">
        <v>44247</v>
      </c>
      <c r="C29" s="1" t="s">
        <v>73</v>
      </c>
      <c r="D29" t="s">
        <v>16</v>
      </c>
      <c r="E29" t="s">
        <v>33</v>
      </c>
      <c r="F29" t="s">
        <v>34</v>
      </c>
      <c r="G29" t="s">
        <v>12</v>
      </c>
      <c r="H29">
        <v>120</v>
      </c>
      <c r="I29" s="4">
        <v>0.32</v>
      </c>
      <c r="J29" s="4">
        <f t="shared" si="0"/>
        <v>36.863999999999997</v>
      </c>
      <c r="K29">
        <f t="shared" si="1"/>
        <v>0.04</v>
      </c>
    </row>
    <row r="30" spans="1:11" x14ac:dyDescent="0.25">
      <c r="A30" s="1" t="s">
        <v>70</v>
      </c>
      <c r="B30" s="1" t="s">
        <v>7</v>
      </c>
      <c r="C30" s="1" t="s">
        <v>73</v>
      </c>
      <c r="D30" t="s">
        <v>8</v>
      </c>
      <c r="E30" t="s">
        <v>61</v>
      </c>
      <c r="F30" t="s">
        <v>62</v>
      </c>
      <c r="G30" t="s">
        <v>26</v>
      </c>
      <c r="H30">
        <v>4</v>
      </c>
      <c r="I30" s="4">
        <v>2885.2</v>
      </c>
      <c r="J30" s="4">
        <f t="shared" si="0"/>
        <v>11309.983999999999</v>
      </c>
      <c r="K30">
        <f t="shared" si="1"/>
        <v>0.02</v>
      </c>
    </row>
  </sheetData>
  <mergeCells count="1">
    <mergeCell ref="B2:K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01FB-ACC3-49DF-84AC-0A935B3A3615}">
  <dimension ref="A3:W8"/>
  <sheetViews>
    <sheetView workbookViewId="0">
      <selection activeCell="W13" sqref="W13"/>
    </sheetView>
  </sheetViews>
  <sheetFormatPr defaultRowHeight="15" x14ac:dyDescent="0.25"/>
  <cols>
    <col min="1" max="1" width="16.140625" bestFit="1" customWidth="1"/>
    <col min="2" max="2" width="18.7109375" bestFit="1" customWidth="1"/>
  </cols>
  <sheetData>
    <row r="3" spans="1:23" x14ac:dyDescent="0.25">
      <c r="A3" s="7" t="s">
        <v>74</v>
      </c>
      <c r="B3" t="s">
        <v>76</v>
      </c>
    </row>
    <row r="4" spans="1:23" x14ac:dyDescent="0.25">
      <c r="A4" s="8" t="s">
        <v>16</v>
      </c>
      <c r="B4" s="4">
        <v>1001.376</v>
      </c>
      <c r="T4" s="15"/>
      <c r="U4" s="15"/>
      <c r="V4" s="15"/>
      <c r="W4" s="15"/>
    </row>
    <row r="5" spans="1:23" x14ac:dyDescent="0.25">
      <c r="A5" s="8" t="s">
        <v>11</v>
      </c>
      <c r="B5" s="4">
        <v>24694.159799999998</v>
      </c>
      <c r="T5" s="15"/>
      <c r="U5" s="15"/>
      <c r="V5" s="15"/>
      <c r="W5" s="15"/>
    </row>
    <row r="6" spans="1:23" x14ac:dyDescent="0.25">
      <c r="A6" s="8" t="s">
        <v>9</v>
      </c>
      <c r="B6" s="4">
        <v>514.995</v>
      </c>
      <c r="T6" s="15"/>
      <c r="U6" s="15"/>
      <c r="V6" s="15"/>
      <c r="W6" s="15"/>
    </row>
    <row r="7" spans="1:23" x14ac:dyDescent="0.25">
      <c r="A7" s="8" t="s">
        <v>10</v>
      </c>
      <c r="B7" s="4">
        <v>3647.3040000000001</v>
      </c>
      <c r="T7" s="15"/>
      <c r="U7" s="15"/>
      <c r="V7" s="15"/>
      <c r="W7" s="15"/>
    </row>
    <row r="8" spans="1:23" x14ac:dyDescent="0.25">
      <c r="A8" s="8" t="s">
        <v>8</v>
      </c>
      <c r="B8" s="4">
        <v>19749.616600000001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D05A-6A5F-4D1F-B850-CEE0B947E31F}">
  <dimension ref="A7:B29"/>
  <sheetViews>
    <sheetView zoomScale="115" zoomScaleNormal="115" workbookViewId="0">
      <selection activeCell="N28" sqref="N28"/>
    </sheetView>
  </sheetViews>
  <sheetFormatPr defaultRowHeight="15" x14ac:dyDescent="0.25"/>
  <cols>
    <col min="1" max="1" width="16" bestFit="1" customWidth="1"/>
    <col min="2" max="2" width="18.7109375" bestFit="1" customWidth="1"/>
  </cols>
  <sheetData>
    <row r="7" spans="1:2" x14ac:dyDescent="0.25">
      <c r="A7" s="7" t="s">
        <v>74</v>
      </c>
      <c r="B7" t="s">
        <v>76</v>
      </c>
    </row>
    <row r="8" spans="1:2" x14ac:dyDescent="0.25">
      <c r="A8" s="11" t="s">
        <v>69</v>
      </c>
      <c r="B8" s="12">
        <v>26064.109</v>
      </c>
    </row>
    <row r="9" spans="1:2" x14ac:dyDescent="0.25">
      <c r="A9" s="13">
        <v>44198</v>
      </c>
      <c r="B9" s="4">
        <v>393.34</v>
      </c>
    </row>
    <row r="10" spans="1:2" x14ac:dyDescent="0.25">
      <c r="A10" s="10">
        <v>44199</v>
      </c>
      <c r="B10" s="4">
        <v>49.41</v>
      </c>
    </row>
    <row r="11" spans="1:2" x14ac:dyDescent="0.25">
      <c r="A11" s="10">
        <v>44201</v>
      </c>
      <c r="B11" s="4">
        <v>308.67399999999998</v>
      </c>
    </row>
    <row r="12" spans="1:2" x14ac:dyDescent="0.25">
      <c r="A12" s="10">
        <v>44203</v>
      </c>
      <c r="B12" s="4">
        <v>2479.59</v>
      </c>
    </row>
    <row r="13" spans="1:2" x14ac:dyDescent="0.25">
      <c r="A13" s="10">
        <v>44208</v>
      </c>
      <c r="B13" s="4">
        <v>7983.8640000000005</v>
      </c>
    </row>
    <row r="14" spans="1:2" x14ac:dyDescent="0.25">
      <c r="A14" s="10">
        <v>44211</v>
      </c>
      <c r="B14" s="4">
        <v>14605.195999999998</v>
      </c>
    </row>
    <row r="15" spans="1:2" x14ac:dyDescent="0.25">
      <c r="A15" s="10">
        <v>44215</v>
      </c>
      <c r="B15" s="4">
        <v>138.24</v>
      </c>
    </row>
    <row r="16" spans="1:2" x14ac:dyDescent="0.25">
      <c r="A16" s="10">
        <v>44216</v>
      </c>
      <c r="B16" s="4">
        <v>24.57</v>
      </c>
    </row>
    <row r="17" spans="1:2" x14ac:dyDescent="0.25">
      <c r="A17" s="10">
        <v>44225</v>
      </c>
      <c r="B17" s="4">
        <v>81.224999999999994</v>
      </c>
    </row>
    <row r="18" spans="1:2" x14ac:dyDescent="0.25">
      <c r="A18" s="8" t="s">
        <v>70</v>
      </c>
      <c r="B18" s="4">
        <v>23543.342399999998</v>
      </c>
    </row>
    <row r="19" spans="1:2" x14ac:dyDescent="0.25">
      <c r="A19" s="9" t="s">
        <v>7</v>
      </c>
      <c r="B19" s="4">
        <v>11309.983999999999</v>
      </c>
    </row>
    <row r="20" spans="1:2" x14ac:dyDescent="0.25">
      <c r="A20" s="10">
        <v>44228</v>
      </c>
      <c r="B20" s="4">
        <v>174.3192</v>
      </c>
    </row>
    <row r="21" spans="1:2" x14ac:dyDescent="0.25">
      <c r="A21" s="10">
        <v>44229</v>
      </c>
      <c r="B21" s="4">
        <v>553.60800000000006</v>
      </c>
    </row>
    <row r="22" spans="1:2" x14ac:dyDescent="0.25">
      <c r="A22" s="10">
        <v>44230</v>
      </c>
      <c r="B22" s="4">
        <v>234.14400000000001</v>
      </c>
    </row>
    <row r="23" spans="1:2" x14ac:dyDescent="0.25">
      <c r="A23" s="10">
        <v>44231</v>
      </c>
      <c r="B23" s="4">
        <v>838.20899999999995</v>
      </c>
    </row>
    <row r="24" spans="1:2" x14ac:dyDescent="0.25">
      <c r="A24" s="10">
        <v>44234</v>
      </c>
      <c r="B24" s="4">
        <v>403.33539999999994</v>
      </c>
    </row>
    <row r="25" spans="1:2" x14ac:dyDescent="0.25">
      <c r="A25" s="10">
        <v>44239</v>
      </c>
      <c r="B25" s="4">
        <v>28.799999999999997</v>
      </c>
    </row>
    <row r="26" spans="1:2" x14ac:dyDescent="0.25">
      <c r="A26" s="10">
        <v>44240</v>
      </c>
      <c r="B26" s="4">
        <v>8832.1727999999985</v>
      </c>
    </row>
    <row r="27" spans="1:2" x14ac:dyDescent="0.25">
      <c r="A27" s="10">
        <v>44242</v>
      </c>
      <c r="B27" s="4">
        <v>67.62</v>
      </c>
    </row>
    <row r="28" spans="1:2" x14ac:dyDescent="0.25">
      <c r="A28" s="10">
        <v>44247</v>
      </c>
      <c r="B28" s="4">
        <v>1101.1500000000001</v>
      </c>
    </row>
    <row r="29" spans="1:2" x14ac:dyDescent="0.25">
      <c r="A29" s="8" t="s">
        <v>75</v>
      </c>
      <c r="B29" s="4">
        <v>49607.451400000005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2E5F-E748-45D2-903C-41B01E014146}">
  <dimension ref="A7:B27"/>
  <sheetViews>
    <sheetView zoomScaleNormal="100" workbookViewId="0">
      <selection activeCell="Q41" sqref="Q41"/>
    </sheetView>
  </sheetViews>
  <sheetFormatPr defaultRowHeight="15" x14ac:dyDescent="0.25"/>
  <cols>
    <col min="1" max="1" width="23.140625" bestFit="1" customWidth="1"/>
    <col min="2" max="2" width="12.28515625" bestFit="1" customWidth="1"/>
  </cols>
  <sheetData>
    <row r="7" spans="1:2" x14ac:dyDescent="0.25">
      <c r="A7" s="7" t="s">
        <v>78</v>
      </c>
      <c r="B7" t="s">
        <v>77</v>
      </c>
    </row>
    <row r="8" spans="1:2" x14ac:dyDescent="0.25">
      <c r="A8" s="8" t="s">
        <v>61</v>
      </c>
      <c r="B8" s="14">
        <v>4</v>
      </c>
    </row>
    <row r="9" spans="1:2" x14ac:dyDescent="0.25">
      <c r="A9" s="8" t="s">
        <v>59</v>
      </c>
      <c r="B9" s="14">
        <v>1</v>
      </c>
    </row>
    <row r="10" spans="1:2" x14ac:dyDescent="0.25">
      <c r="A10" s="8" t="s">
        <v>30</v>
      </c>
      <c r="B10" s="14">
        <v>1300</v>
      </c>
    </row>
    <row r="11" spans="1:2" x14ac:dyDescent="0.25">
      <c r="A11" s="8" t="s">
        <v>42</v>
      </c>
      <c r="B11" s="14">
        <v>120</v>
      </c>
    </row>
    <row r="12" spans="1:2" x14ac:dyDescent="0.25">
      <c r="A12" s="8" t="s">
        <v>55</v>
      </c>
      <c r="B12" s="14">
        <v>1</v>
      </c>
    </row>
    <row r="13" spans="1:2" x14ac:dyDescent="0.25">
      <c r="A13" s="8" t="s">
        <v>33</v>
      </c>
      <c r="B13" s="14">
        <v>370</v>
      </c>
    </row>
    <row r="14" spans="1:2" x14ac:dyDescent="0.25">
      <c r="A14" s="8" t="s">
        <v>44</v>
      </c>
      <c r="B14" s="14">
        <v>2</v>
      </c>
    </row>
    <row r="15" spans="1:2" x14ac:dyDescent="0.25">
      <c r="A15" s="8" t="s">
        <v>18</v>
      </c>
      <c r="B15" s="14">
        <v>570</v>
      </c>
    </row>
    <row r="16" spans="1:2" x14ac:dyDescent="0.25">
      <c r="A16" s="8" t="s">
        <v>14</v>
      </c>
      <c r="B16" s="14">
        <v>130</v>
      </c>
    </row>
    <row r="17" spans="1:2" x14ac:dyDescent="0.25">
      <c r="A17" s="8" t="s">
        <v>51</v>
      </c>
      <c r="B17" s="14">
        <v>4</v>
      </c>
    </row>
    <row r="18" spans="1:2" x14ac:dyDescent="0.25">
      <c r="A18" s="8" t="s">
        <v>17</v>
      </c>
      <c r="B18" s="14">
        <v>825</v>
      </c>
    </row>
    <row r="19" spans="1:2" x14ac:dyDescent="0.25">
      <c r="A19" s="8" t="s">
        <v>57</v>
      </c>
      <c r="B19" s="14">
        <v>3</v>
      </c>
    </row>
    <row r="20" spans="1:2" x14ac:dyDescent="0.25">
      <c r="A20" s="8" t="s">
        <v>53</v>
      </c>
      <c r="B20" s="14">
        <v>2</v>
      </c>
    </row>
    <row r="21" spans="1:2" x14ac:dyDescent="0.25">
      <c r="A21" s="8" t="s">
        <v>24</v>
      </c>
      <c r="B21" s="14">
        <v>4</v>
      </c>
    </row>
    <row r="22" spans="1:2" x14ac:dyDescent="0.25">
      <c r="A22" s="8" t="s">
        <v>38</v>
      </c>
      <c r="B22" s="14">
        <v>305</v>
      </c>
    </row>
    <row r="23" spans="1:2" x14ac:dyDescent="0.25">
      <c r="A23" s="8" t="s">
        <v>46</v>
      </c>
      <c r="B23" s="14">
        <v>319</v>
      </c>
    </row>
    <row r="24" spans="1:2" x14ac:dyDescent="0.25">
      <c r="A24" s="8" t="s">
        <v>27</v>
      </c>
      <c r="B24" s="14">
        <v>16</v>
      </c>
    </row>
    <row r="25" spans="1:2" x14ac:dyDescent="0.25">
      <c r="A25" s="8" t="s">
        <v>40</v>
      </c>
      <c r="B25" s="14">
        <v>120</v>
      </c>
    </row>
    <row r="26" spans="1:2" x14ac:dyDescent="0.25">
      <c r="A26" s="8" t="s">
        <v>36</v>
      </c>
      <c r="B26" s="14">
        <v>542</v>
      </c>
    </row>
    <row r="27" spans="1:2" x14ac:dyDescent="0.25">
      <c r="A27" s="8" t="s">
        <v>75</v>
      </c>
      <c r="B27" s="14">
        <v>4638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ACB2-E19B-49E3-A32E-29B5DAEADEB8}">
  <dimension ref="A6:B11"/>
  <sheetViews>
    <sheetView zoomScaleNormal="100" workbookViewId="0">
      <selection activeCell="U17" sqref="U17"/>
    </sheetView>
  </sheetViews>
  <sheetFormatPr defaultRowHeight="15" x14ac:dyDescent="0.25"/>
  <cols>
    <col min="1" max="1" width="17.42578125" bestFit="1" customWidth="1"/>
    <col min="2" max="2" width="12.28515625" bestFit="1" customWidth="1"/>
  </cols>
  <sheetData>
    <row r="6" spans="1:2" x14ac:dyDescent="0.25">
      <c r="A6" s="7" t="s">
        <v>3</v>
      </c>
      <c r="B6" t="s">
        <v>77</v>
      </c>
    </row>
    <row r="7" spans="1:2" x14ac:dyDescent="0.25">
      <c r="A7" s="8" t="s">
        <v>63</v>
      </c>
      <c r="B7" s="14">
        <v>319</v>
      </c>
    </row>
    <row r="8" spans="1:2" x14ac:dyDescent="0.25">
      <c r="A8" s="8" t="s">
        <v>29</v>
      </c>
      <c r="B8" s="14">
        <v>18</v>
      </c>
    </row>
    <row r="9" spans="1:2" x14ac:dyDescent="0.25">
      <c r="A9" s="8" t="s">
        <v>13</v>
      </c>
      <c r="B9" s="14">
        <v>135</v>
      </c>
    </row>
    <row r="10" spans="1:2" x14ac:dyDescent="0.25">
      <c r="A10" s="8" t="s">
        <v>12</v>
      </c>
      <c r="B10" s="14">
        <v>3853</v>
      </c>
    </row>
    <row r="11" spans="1:2" x14ac:dyDescent="0.25">
      <c r="A11" s="8" t="s">
        <v>26</v>
      </c>
      <c r="B11" s="14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A7C4-6915-4623-AE1B-3A7DFBCF847A}">
  <dimension ref="Q4:AI6"/>
  <sheetViews>
    <sheetView showGridLines="0" tabSelected="1" zoomScale="85" zoomScaleNormal="85" workbookViewId="0">
      <selection activeCell="AL4" sqref="AL4"/>
    </sheetView>
  </sheetViews>
  <sheetFormatPr defaultRowHeight="15" x14ac:dyDescent="0.25"/>
  <sheetData>
    <row r="4" spans="17:35" ht="15" customHeight="1" x14ac:dyDescent="0.25">
      <c r="Q4" s="16" t="s">
        <v>79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7:35" ht="15" customHeight="1" x14ac:dyDescent="0.25"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spans="17:35" ht="15" customHeight="1" x14ac:dyDescent="0.25"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</sheetData>
  <mergeCells count="1">
    <mergeCell ref="Q4:AI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431DA12EE05DC4298C5A9DB3B7DA0A0" ma:contentTypeVersion="7" ma:contentTypeDescription="Yeni belge oluşturun." ma:contentTypeScope="" ma:versionID="930374f81d868863064fd1b93f6a7c17">
  <xsd:schema xmlns:xsd="http://www.w3.org/2001/XMLSchema" xmlns:xs="http://www.w3.org/2001/XMLSchema" xmlns:p="http://schemas.microsoft.com/office/2006/metadata/properties" xmlns:ns3="6fe32936-0d88-4b0a-9207-c9c6b483e7cd" targetNamespace="http://schemas.microsoft.com/office/2006/metadata/properties" ma:root="true" ma:fieldsID="8a793f0be76a562a7fc4da9a5b1ef420" ns3:_="">
    <xsd:import namespace="6fe32936-0d88-4b0a-9207-c9c6b483e7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32936-0d88-4b0a-9207-c9c6b483e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940C5C-579A-4945-A567-3C2A90219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32936-0d88-4b0a-9207-c9c6b483e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AC3B4-08D2-4920-B334-90445C7C33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A762B-91DB-4D36-8383-DDC7F29C97FD}">
  <ds:schemaRefs>
    <ds:schemaRef ds:uri="http://purl.org/dc/elements/1.1/"/>
    <ds:schemaRef ds:uri="http://schemas.microsoft.com/office/2006/documentManagement/types"/>
    <ds:schemaRef ds:uri="6fe32936-0d88-4b0a-9207-c9c6b483e7cd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2</vt:i4>
      </vt:variant>
    </vt:vector>
  </HeadingPairs>
  <TitlesOfParts>
    <vt:vector size="8" baseType="lpstr">
      <vt:lpstr>VERİ</vt:lpstr>
      <vt:lpstr>FİRMA BAZLI TOPLAM TUTAR</vt:lpstr>
      <vt:lpstr>TARİHE GÖRE İŞLEM TUTARI</vt:lpstr>
      <vt:lpstr>KULLANILAN ÜRÜN VE ADET LİSTESİ</vt:lpstr>
      <vt:lpstr>ÜRÜNÜN KULLANILDIĞI BİRİM</vt:lpstr>
      <vt:lpstr>DASHBOARD</vt:lpstr>
      <vt:lpstr>Ocak</vt:lpstr>
      <vt:lpstr>Şubat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Ali Tekin</cp:lastModifiedBy>
  <dcterms:created xsi:type="dcterms:W3CDTF">2021-05-04T10:40:13Z</dcterms:created>
  <dcterms:modified xsi:type="dcterms:W3CDTF">2026-04-07T13:41:47Z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0x010100F431DA12EE05DC4298C5A9DB3B7DA0A0</vt:lpwstr>
  </property>
</Properties>
</file>