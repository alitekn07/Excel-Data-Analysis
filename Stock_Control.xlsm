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YEDEK\Yazilim Ile Alakali\Projects\5. Excel Projects\"/>
    </mc:Choice>
  </mc:AlternateContent>
  <xr:revisionPtr revIDLastSave="0" documentId="13_ncr:1_{C0605263-22BE-45F7-B96B-ED90ED31A65F}" xr6:coauthVersionLast="47" xr6:coauthVersionMax="47" xr10:uidLastSave="{00000000-0000-0000-0000-000000000000}"/>
  <bookViews>
    <workbookView showHorizontalScroll="0" showVerticalScroll="0" showSheetTabs="0" xWindow="-120" yWindow="-120" windowWidth="38640" windowHeight="21120" xr2:uid="{80357F16-C130-48A3-97A9-6997C9AFF1BD}"/>
  </bookViews>
  <sheets>
    <sheet name="GENEL DURUM" sheetId="1" r:id="rId1"/>
    <sheet name="GİREN ÜRÜN" sheetId="5" r:id="rId2"/>
    <sheet name="ÇIKAN ÜRÜN" sheetId="6" r:id="rId3"/>
    <sheet name="ÜRÜNLER" sheetId="7" r:id="rId4"/>
  </sheets>
  <definedNames>
    <definedName name="URUNLER">ÜRÜNLER!$D$7:$D$20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" l="1"/>
  <c r="Z21" i="1" s="1"/>
  <c r="K21" i="1"/>
  <c r="W21" i="1" s="1"/>
  <c r="L16" i="5"/>
  <c r="M16" i="5"/>
  <c r="N16" i="5"/>
  <c r="R16" i="5"/>
  <c r="L17" i="5"/>
  <c r="M17" i="5"/>
  <c r="N17" i="5"/>
  <c r="R17" i="5"/>
  <c r="L18" i="5"/>
  <c r="M18" i="5"/>
  <c r="N18" i="5"/>
  <c r="R18" i="5"/>
  <c r="L19" i="5"/>
  <c r="M19" i="5"/>
  <c r="N19" i="5"/>
  <c r="R19" i="5"/>
  <c r="L20" i="5"/>
  <c r="M20" i="5"/>
  <c r="N20" i="5"/>
  <c r="R20" i="5"/>
  <c r="L21" i="5"/>
  <c r="M21" i="5"/>
  <c r="N21" i="5"/>
  <c r="R21" i="5"/>
  <c r="L22" i="5"/>
  <c r="M22" i="5"/>
  <c r="N22" i="5"/>
  <c r="R22" i="5"/>
  <c r="L23" i="5"/>
  <c r="M23" i="5"/>
  <c r="N23" i="5"/>
  <c r="R23" i="5"/>
  <c r="L24" i="5"/>
  <c r="M24" i="5"/>
  <c r="N24" i="5"/>
  <c r="R24" i="5"/>
  <c r="L25" i="5"/>
  <c r="M25" i="5"/>
  <c r="N25" i="5"/>
  <c r="R25" i="5"/>
  <c r="L26" i="5"/>
  <c r="M26" i="5"/>
  <c r="N26" i="5"/>
  <c r="R26" i="5"/>
  <c r="L27" i="5"/>
  <c r="M27" i="5"/>
  <c r="N27" i="5"/>
  <c r="R27" i="5"/>
  <c r="L28" i="5"/>
  <c r="M28" i="5"/>
  <c r="N28" i="5"/>
  <c r="R28" i="5"/>
  <c r="M15" i="5"/>
  <c r="N15" i="5"/>
  <c r="R15" i="5"/>
  <c r="L15" i="5"/>
  <c r="L27" i="6"/>
  <c r="M27" i="6"/>
  <c r="N27" i="6"/>
  <c r="R27" i="6"/>
  <c r="L28" i="6"/>
  <c r="M28" i="6"/>
  <c r="N28" i="6"/>
  <c r="R28" i="6"/>
  <c r="L16" i="6"/>
  <c r="M16" i="6"/>
  <c r="N16" i="6"/>
  <c r="R16" i="6"/>
  <c r="L17" i="6"/>
  <c r="M17" i="6"/>
  <c r="N17" i="6"/>
  <c r="R17" i="6"/>
  <c r="L18" i="6"/>
  <c r="M18" i="6"/>
  <c r="N18" i="6"/>
  <c r="R18" i="6"/>
  <c r="L19" i="6"/>
  <c r="M19" i="6"/>
  <c r="N19" i="6"/>
  <c r="R19" i="6"/>
  <c r="L20" i="6"/>
  <c r="M20" i="6"/>
  <c r="N20" i="6"/>
  <c r="R20" i="6"/>
  <c r="L21" i="6"/>
  <c r="M21" i="6"/>
  <c r="N21" i="6"/>
  <c r="R21" i="6"/>
  <c r="L22" i="6"/>
  <c r="M22" i="6"/>
  <c r="N22" i="6"/>
  <c r="R22" i="6"/>
  <c r="L23" i="6"/>
  <c r="M23" i="6"/>
  <c r="N23" i="6"/>
  <c r="R23" i="6"/>
  <c r="L24" i="6"/>
  <c r="M24" i="6"/>
  <c r="N24" i="6"/>
  <c r="R24" i="6"/>
  <c r="L25" i="6"/>
  <c r="M25" i="6"/>
  <c r="N25" i="6"/>
  <c r="R25" i="6"/>
  <c r="L26" i="6"/>
  <c r="M26" i="6"/>
  <c r="N26" i="6"/>
  <c r="R26" i="6"/>
  <c r="R15" i="6"/>
  <c r="N15" i="6"/>
  <c r="M15" i="6"/>
  <c r="L15" i="6"/>
  <c r="Q21" i="1" l="1"/>
  <c r="AC21" i="1" s="1"/>
  <c r="S21" i="5"/>
  <c r="S28" i="6"/>
  <c r="S20" i="6"/>
  <c r="S28" i="5"/>
  <c r="S27" i="6"/>
  <c r="S26" i="6"/>
  <c r="S21" i="6"/>
  <c r="S22" i="6"/>
  <c r="S23" i="6"/>
  <c r="S25" i="6"/>
  <c r="S27" i="5"/>
  <c r="S16" i="6"/>
  <c r="S16" i="5"/>
  <c r="S17" i="5"/>
  <c r="S18" i="5"/>
  <c r="S19" i="5"/>
  <c r="S20" i="5"/>
  <c r="S23" i="5"/>
  <c r="S24" i="5"/>
  <c r="S25" i="5"/>
  <c r="S26" i="5"/>
  <c r="S17" i="6"/>
  <c r="S18" i="6"/>
  <c r="S19" i="6"/>
  <c r="S22" i="5"/>
  <c r="S15" i="5"/>
  <c r="S24" i="6"/>
  <c r="S15" i="6"/>
</calcChain>
</file>

<file path=xl/sharedStrings.xml><?xml version="1.0" encoding="utf-8"?>
<sst xmlns="http://schemas.openxmlformats.org/spreadsheetml/2006/main" count="75" uniqueCount="38">
  <si>
    <t>ÜRÜNLER</t>
  </si>
  <si>
    <t>GİREN</t>
  </si>
  <si>
    <t>ÇIKAN</t>
  </si>
  <si>
    <t>Yazıcı</t>
  </si>
  <si>
    <t>Drone</t>
  </si>
  <si>
    <t>Kulaklık</t>
  </si>
  <si>
    <t>Webcam</t>
  </si>
  <si>
    <t>Televizyon</t>
  </si>
  <si>
    <t>Hard Disk</t>
  </si>
  <si>
    <t>Oyun Konsolu</t>
  </si>
  <si>
    <t>Telefon</t>
  </si>
  <si>
    <t>Klavye</t>
  </si>
  <si>
    <t>Monitör</t>
  </si>
  <si>
    <t>Mouse</t>
  </si>
  <si>
    <t>Kamera</t>
  </si>
  <si>
    <t>Laptop</t>
  </si>
  <si>
    <t>Kartuş</t>
  </si>
  <si>
    <t>Sütun1</t>
  </si>
  <si>
    <t xml:space="preserve">GÜN </t>
  </si>
  <si>
    <t>AY</t>
  </si>
  <si>
    <t>YIL</t>
  </si>
  <si>
    <t>TARİH</t>
  </si>
  <si>
    <t>GİREN ÜRÜN</t>
  </si>
  <si>
    <t>GİREN ADET</t>
  </si>
  <si>
    <t>FİYAT</t>
  </si>
  <si>
    <t>TOPLAM</t>
  </si>
  <si>
    <t>Toplam</t>
  </si>
  <si>
    <t>Toplam2</t>
  </si>
  <si>
    <t>Ortalama</t>
  </si>
  <si>
    <t>Değişen Toplam</t>
  </si>
  <si>
    <t>Say</t>
  </si>
  <si>
    <t>ÇIKAN ADET</t>
  </si>
  <si>
    <t>ÇIKAN ÜRÜN</t>
  </si>
  <si>
    <t>KALAN STOK</t>
  </si>
  <si>
    <t>TOPLAM GİREN ÜRÜN</t>
  </si>
  <si>
    <t>TOPLAM ÇIKAN ÜRÜN</t>
  </si>
  <si>
    <t>TOPLAM GİREN TUTAR</t>
  </si>
  <si>
    <t>TOPLAM ÇIKAN TUTAR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</si>
</sst>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₺-41F]* #,##0.00_-;\-[$₺-41F]* #,##0.00_-;_-[$₺-41F]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15"/>
      <color theme="1"/>
      <name val="Calibri"/>
      <family val="2"/>
    </font>
    <font>
      <b/>
      <sz val="13"/>
      <color theme="1"/>
      <name val="Calibri"/>
      <family val="2"/>
    </font>
    <font>
      <sz val="11"/>
      <color theme="1"/>
      <name val="Calibri"/>
      <family val="2"/>
    </font>
    <font>
      <b/>
      <sz val="14"/>
      <color rgb="FFFF000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color theme="4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</cellStyleXfs>
  <cellXfs count="42">
    <xf numFmtId="0" fontId="0" fillId="0" borderId="0" xfId="0"/>
    <xf numFmtId="0" fontId="0" fillId="3" borderId="0" xfId="0" applyFill="1"/>
    <xf numFmtId="0" fontId="4" fillId="4" borderId="1" xfId="2" applyFont="1" applyFill="1" applyAlignment="1">
      <alignment horizontal="center" vertical="center"/>
    </xf>
    <xf numFmtId="0" fontId="5" fillId="4" borderId="1" xfId="2" applyFont="1" applyFill="1" applyAlignment="1">
      <alignment horizontal="left" vertical="center"/>
    </xf>
    <xf numFmtId="164" fontId="6" fillId="4" borderId="1" xfId="1" applyNumberFormat="1" applyFont="1" applyFill="1" applyBorder="1" applyAlignment="1">
      <alignment horizontal="left" vertical="center"/>
    </xf>
    <xf numFmtId="0" fontId="5" fillId="4" borderId="1" xfId="2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64" fontId="0" fillId="3" borderId="0" xfId="0" applyNumberFormat="1" applyFill="1"/>
    <xf numFmtId="164" fontId="0" fillId="3" borderId="0" xfId="1" applyNumberFormat="1" applyFont="1" applyFill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7" fillId="4" borderId="2" xfId="2" applyFont="1" applyFill="1" applyBorder="1" applyAlignment="1">
      <alignment horizontal="center" vertical="center"/>
    </xf>
    <xf numFmtId="0" fontId="7" fillId="4" borderId="3" xfId="2" applyFont="1" applyFill="1" applyBorder="1" applyAlignment="1">
      <alignment horizontal="center" vertical="center"/>
    </xf>
    <xf numFmtId="0" fontId="7" fillId="4" borderId="4" xfId="2" applyFont="1" applyFill="1" applyBorder="1" applyAlignment="1">
      <alignment horizontal="center" vertical="center"/>
    </xf>
    <xf numFmtId="0" fontId="7" fillId="4" borderId="5" xfId="2" applyFont="1" applyFill="1" applyBorder="1" applyAlignment="1">
      <alignment horizontal="center" vertical="center"/>
    </xf>
    <xf numFmtId="0" fontId="7" fillId="4" borderId="0" xfId="2" applyFont="1" applyFill="1" applyBorder="1" applyAlignment="1">
      <alignment horizontal="center" vertical="center"/>
    </xf>
    <xf numFmtId="0" fontId="7" fillId="4" borderId="6" xfId="2" applyFont="1" applyFill="1" applyBorder="1" applyAlignment="1">
      <alignment horizontal="center" vertical="center"/>
    </xf>
    <xf numFmtId="0" fontId="7" fillId="4" borderId="7" xfId="2" applyFont="1" applyFill="1" applyBorder="1" applyAlignment="1">
      <alignment horizontal="center" vertical="center"/>
    </xf>
    <xf numFmtId="0" fontId="7" fillId="4" borderId="8" xfId="2" applyFont="1" applyFill="1" applyBorder="1" applyAlignment="1">
      <alignment horizontal="center" vertical="center"/>
    </xf>
    <xf numFmtId="0" fontId="7" fillId="4" borderId="9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8" fillId="4" borderId="3" xfId="2" applyFont="1" applyFill="1" applyBorder="1" applyAlignment="1">
      <alignment horizontal="center" vertical="center"/>
    </xf>
    <xf numFmtId="0" fontId="8" fillId="4" borderId="4" xfId="2" applyFont="1" applyFill="1" applyBorder="1" applyAlignment="1">
      <alignment horizontal="center" vertical="center"/>
    </xf>
    <xf numFmtId="0" fontId="8" fillId="4" borderId="5" xfId="2" applyFont="1" applyFill="1" applyBorder="1" applyAlignment="1">
      <alignment horizontal="center" vertical="center"/>
    </xf>
    <xf numFmtId="0" fontId="8" fillId="4" borderId="0" xfId="2" applyFont="1" applyFill="1" applyBorder="1" applyAlignment="1">
      <alignment horizontal="center" vertical="center"/>
    </xf>
    <xf numFmtId="0" fontId="8" fillId="4" borderId="6" xfId="2" applyFont="1" applyFill="1" applyBorder="1" applyAlignment="1">
      <alignment horizontal="center" vertical="center"/>
    </xf>
    <xf numFmtId="0" fontId="8" fillId="4" borderId="7" xfId="2" applyFont="1" applyFill="1" applyBorder="1" applyAlignment="1">
      <alignment horizontal="center" vertical="center"/>
    </xf>
    <xf numFmtId="0" fontId="8" fillId="4" borderId="8" xfId="2" applyFont="1" applyFill="1" applyBorder="1" applyAlignment="1">
      <alignment horizontal="center" vertical="center"/>
    </xf>
    <xf numFmtId="0" fontId="8" fillId="4" borderId="9" xfId="2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164" fontId="9" fillId="4" borderId="2" xfId="2" applyNumberFormat="1" applyFont="1" applyFill="1" applyBorder="1" applyAlignment="1">
      <alignment horizontal="center" vertical="center"/>
    </xf>
    <xf numFmtId="164" fontId="9" fillId="4" borderId="3" xfId="2" applyNumberFormat="1" applyFont="1" applyFill="1" applyBorder="1" applyAlignment="1">
      <alignment horizontal="center" vertical="center"/>
    </xf>
    <xf numFmtId="164" fontId="9" fillId="4" borderId="4" xfId="2" applyNumberFormat="1" applyFont="1" applyFill="1" applyBorder="1" applyAlignment="1">
      <alignment horizontal="center" vertical="center"/>
    </xf>
    <xf numFmtId="164" fontId="9" fillId="4" borderId="5" xfId="2" applyNumberFormat="1" applyFont="1" applyFill="1" applyBorder="1" applyAlignment="1">
      <alignment horizontal="center" vertical="center"/>
    </xf>
    <xf numFmtId="164" fontId="9" fillId="4" borderId="0" xfId="2" applyNumberFormat="1" applyFont="1" applyFill="1" applyBorder="1" applyAlignment="1">
      <alignment horizontal="center" vertical="center"/>
    </xf>
    <xf numFmtId="164" fontId="9" fillId="4" borderId="6" xfId="2" applyNumberFormat="1" applyFont="1" applyFill="1" applyBorder="1" applyAlignment="1">
      <alignment horizontal="center" vertical="center"/>
    </xf>
    <xf numFmtId="164" fontId="9" fillId="4" borderId="7" xfId="2" applyNumberFormat="1" applyFont="1" applyFill="1" applyBorder="1" applyAlignment="1">
      <alignment horizontal="center" vertical="center"/>
    </xf>
    <xf numFmtId="164" fontId="9" fillId="4" borderId="8" xfId="2" applyNumberFormat="1" applyFont="1" applyFill="1" applyBorder="1" applyAlignment="1">
      <alignment horizontal="center" vertical="center"/>
    </xf>
    <xf numFmtId="164" fontId="9" fillId="4" borderId="9" xfId="2" applyNumberFormat="1" applyFont="1" applyFill="1" applyBorder="1" applyAlignment="1">
      <alignment horizontal="center" vertical="center"/>
    </xf>
  </cellXfs>
  <cellStyles count="3">
    <cellStyle name="Çıkış" xfId="2" builtinId="21"/>
    <cellStyle name="Normal" xfId="0" builtinId="0"/>
    <cellStyle name="ParaBirimi" xfId="1" builtinId="4"/>
  </cellStyles>
  <dxfs count="18">
    <dxf>
      <numFmt numFmtId="0" formatCode="General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64" formatCode="_-[$₺-41F]* #,##0.00_-;\-[$₺-41F]* #,##0.00_-;_-[$₺-41F]* &quot;-&quot;??_-;_-@_-"/>
      <fill>
        <patternFill patternType="solid">
          <fgColor indexed="64"/>
          <bgColor theme="2"/>
        </patternFill>
      </fill>
    </dxf>
    <dxf>
      <numFmt numFmtId="164" formatCode="_-[$₺-41F]* #,##0.00_-;\-[$₺-41F]* #,##0.00_-;_-[$₺-41F]* &quot;-&quot;??_-;_-@_-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bottom" textRotation="0" wrapText="0" indent="0" justifyLastLine="0" shrinkToFit="0" readingOrder="0"/>
    </dxf>
    <dxf>
      <numFmt numFmtId="164" formatCode="_-[$₺-41F]* #,##0.00_-;\-[$₺-41F]* #,##0.00_-;_-[$₺-41F]* &quot;-&quot;??_-;_-@_-"/>
      <fill>
        <patternFill patternType="solid">
          <fgColor indexed="64"/>
          <bgColor theme="2"/>
        </patternFill>
      </fill>
    </dxf>
    <dxf>
      <numFmt numFmtId="164" formatCode="_-[$₺-41F]* #,##0.00_-;\-[$₺-41F]* #,##0.00_-;_-[$₺-41F]* &quot;-&quot;??_-;_-@_-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17438757655293"/>
          <c:y val="0.19486111111111112"/>
          <c:w val="0.79193307086614173"/>
          <c:h val="0.61954469233012543"/>
        </c:manualLayout>
      </c:layout>
      <c:barChart>
        <c:barDir val="col"/>
        <c:grouping val="clustered"/>
        <c:varyColors val="0"/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'GENEL DURUM'!$W$18:$AE$18</c:f>
              <c:strCache>
                <c:ptCount val="7"/>
                <c:pt idx="0">
                  <c:v>TOPLAM GİREN TUTAR</c:v>
                </c:pt>
                <c:pt idx="3">
                  <c:v>TOPLAM ÇIKAN TUTAR</c:v>
                </c:pt>
                <c:pt idx="6">
                  <c:v>KALAN STOK</c:v>
                </c:pt>
              </c:strCache>
            </c:strRef>
          </c:cat>
          <c:val>
            <c:numRef>
              <c:f>'GENEL DURUM'!$W$21:$AE$21</c:f>
              <c:numCache>
                <c:formatCode>_-[$₺-41F]* #,##0.00_-;\-[$₺-41F]* #,##0.00_-;_-[$₺-41F]* "-"??_-;_-@_-</c:formatCode>
                <c:ptCount val="9"/>
                <c:pt idx="0">
                  <c:v>186480</c:v>
                </c:pt>
                <c:pt idx="3">
                  <c:v>4400</c:v>
                </c:pt>
                <c:pt idx="6">
                  <c:v>361900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17-40B2-9A0C-0C0735F05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3829087"/>
        <c:axId val="38383052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'GENEL DURUM'!$W$18:$AE$18</c15:sqref>
                        </c15:formulaRef>
                      </c:ext>
                    </c:extLst>
                    <c:strCache>
                      <c:ptCount val="7"/>
                      <c:pt idx="0">
                        <c:v>TOPLAM GİREN TUTAR</c:v>
                      </c:pt>
                      <c:pt idx="3">
                        <c:v>TOPLAM ÇIKAN TUTAR</c:v>
                      </c:pt>
                      <c:pt idx="6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'GENEL DURUM'!$W$19:$AE$19</c15:sqref>
                        </c15:formulaRef>
                      </c:ext>
                    </c:extLst>
                    <c:numCache>
                      <c:formatCode>General</c:formatCode>
                      <c:ptCount val="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217-40B2-9A0C-0C0735F053B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DURUM'!$W$18:$AE$18</c15:sqref>
                        </c15:formulaRef>
                      </c:ext>
                    </c:extLst>
                    <c:strCache>
                      <c:ptCount val="7"/>
                      <c:pt idx="0">
                        <c:v>TOPLAM GİREN TUTAR</c:v>
                      </c:pt>
                      <c:pt idx="3">
                        <c:v>TOPLAM ÇIKAN TUTAR</c:v>
                      </c:pt>
                      <c:pt idx="6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DURUM'!$W$20:$AE$20</c15:sqref>
                        </c15:formulaRef>
                      </c:ext>
                    </c:extLst>
                    <c:numCache>
                      <c:formatCode>General</c:formatCode>
                      <c:ptCount val="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217-40B2-9A0C-0C0735F053B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DURUM'!$W$18:$AE$18</c15:sqref>
                        </c15:formulaRef>
                      </c:ext>
                    </c:extLst>
                    <c:strCache>
                      <c:ptCount val="7"/>
                      <c:pt idx="0">
                        <c:v>TOPLAM GİREN TUTAR</c:v>
                      </c:pt>
                      <c:pt idx="3">
                        <c:v>TOPLAM ÇIKAN TUTAR</c:v>
                      </c:pt>
                      <c:pt idx="6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DURUM'!$W$22:$AE$22</c15:sqref>
                        </c15:formulaRef>
                      </c:ext>
                    </c:extLst>
                    <c:numCache>
                      <c:formatCode>_-[$₺-41F]* #,##0.00_-;\-[$₺-41F]* #,##0.00_-;_-[$₺-41F]* "-"??_-;_-@_-</c:formatCode>
                      <c:ptCount val="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217-40B2-9A0C-0C0735F053B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DURUM'!$W$18:$AE$18</c15:sqref>
                        </c15:formulaRef>
                      </c:ext>
                    </c:extLst>
                    <c:strCache>
                      <c:ptCount val="7"/>
                      <c:pt idx="0">
                        <c:v>TOPLAM GİREN TUTAR</c:v>
                      </c:pt>
                      <c:pt idx="3">
                        <c:v>TOPLAM ÇIKAN TUTAR</c:v>
                      </c:pt>
                      <c:pt idx="6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DURUM'!$W$23:$AE$23</c15:sqref>
                        </c15:formulaRef>
                      </c:ext>
                    </c:extLst>
                    <c:numCache>
                      <c:formatCode>_-[$₺-41F]* #,##0.00_-;\-[$₺-41F]* #,##0.00_-;_-[$₺-41F]* "-"??_-;_-@_-</c:formatCode>
                      <c:ptCount val="9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6217-40B2-9A0C-0C0735F053B0}"/>
                  </c:ext>
                </c:extLst>
              </c15:ser>
            </c15:filteredBarSeries>
          </c:ext>
        </c:extLst>
      </c:barChart>
      <c:catAx>
        <c:axId val="38382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30527"/>
        <c:crosses val="autoZero"/>
        <c:auto val="1"/>
        <c:lblAlgn val="ctr"/>
        <c:lblOffset val="100"/>
        <c:noMultiLvlLbl val="0"/>
      </c:catAx>
      <c:valAx>
        <c:axId val="383830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₺-41F]* #,##0.00_-;\-[$₺-41F]* #,##0.00_-;_-[$₺-41F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82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'GENEL DURUM'!$H$21</c:f>
              <c:strCache>
                <c:ptCount val="1"/>
                <c:pt idx="0">
                  <c:v>Hard Disk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'GENEL DURUM'!$I$18:$S$18</c:f>
              <c:strCache>
                <c:ptCount val="9"/>
                <c:pt idx="2">
                  <c:v>TOPLAM GİREN ÜRÜN</c:v>
                </c:pt>
                <c:pt idx="5">
                  <c:v>TOPLAM ÇIKAN ÜRÜN</c:v>
                </c:pt>
                <c:pt idx="8">
                  <c:v>KALAN STOK</c:v>
                </c:pt>
              </c:strCache>
            </c:strRef>
          </c:cat>
          <c:val>
            <c:numRef>
              <c:f>'GENEL DURUM'!$I$21:$S$21</c:f>
              <c:numCache>
                <c:formatCode>General</c:formatCode>
                <c:ptCount val="11"/>
                <c:pt idx="2">
                  <c:v>666</c:v>
                </c:pt>
                <c:pt idx="5">
                  <c:v>8</c:v>
                </c:pt>
                <c:pt idx="8">
                  <c:v>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BD-4D4B-87BC-2BBB592F6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7688175"/>
        <c:axId val="36768865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'GENEL DURUM'!$H$19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'GENEL DURUM'!$I$18:$S$18</c15:sqref>
                        </c15:formulaRef>
                      </c:ext>
                    </c:extLst>
                    <c:strCache>
                      <c:ptCount val="9"/>
                      <c:pt idx="2">
                        <c:v>TOPLAM GİREN ÜRÜN</c:v>
                      </c:pt>
                      <c:pt idx="5">
                        <c:v>TOPLAM ÇIKAN ÜRÜN</c:v>
                      </c:pt>
                      <c:pt idx="8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'GENEL DURUM'!$I$19:$S$19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8BD-4D4B-87BC-2BBB592F634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DURUM'!$H$20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DURUM'!$I$18:$S$18</c15:sqref>
                        </c15:formulaRef>
                      </c:ext>
                    </c:extLst>
                    <c:strCache>
                      <c:ptCount val="9"/>
                      <c:pt idx="2">
                        <c:v>TOPLAM GİREN ÜRÜN</c:v>
                      </c:pt>
                      <c:pt idx="5">
                        <c:v>TOPLAM ÇIKAN ÜRÜN</c:v>
                      </c:pt>
                      <c:pt idx="8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DURUM'!$I$20:$S$20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A8BD-4D4B-87BC-2BBB592F634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DURUM'!$H$22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DURUM'!$I$18:$S$18</c15:sqref>
                        </c15:formulaRef>
                      </c:ext>
                    </c:extLst>
                    <c:strCache>
                      <c:ptCount val="9"/>
                      <c:pt idx="2">
                        <c:v>TOPLAM GİREN ÜRÜN</c:v>
                      </c:pt>
                      <c:pt idx="5">
                        <c:v>TOPLAM ÇIKAN ÜRÜN</c:v>
                      </c:pt>
                      <c:pt idx="8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DURUM'!$I$22:$S$22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A8BD-4D4B-87BC-2BBB592F634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DURUM'!$H$23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'GENEL DURUM'!$I$18:$S$18</c15:sqref>
                        </c15:formulaRef>
                      </c:ext>
                    </c:extLst>
                    <c:strCache>
                      <c:ptCount val="9"/>
                      <c:pt idx="2">
                        <c:v>TOPLAM GİREN ÜRÜN</c:v>
                      </c:pt>
                      <c:pt idx="5">
                        <c:v>TOPLAM ÇIKAN ÜRÜN</c:v>
                      </c:pt>
                      <c:pt idx="8">
                        <c:v>KALAN STOK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'GENEL DURUM'!$I$23:$S$23</c15:sqref>
                        </c15:formulaRef>
                      </c:ext>
                    </c:extLst>
                    <c:numCache>
                      <c:formatCode>General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A8BD-4D4B-87BC-2BBB592F6344}"/>
                  </c:ext>
                </c:extLst>
              </c15:ser>
            </c15:filteredBarSeries>
          </c:ext>
        </c:extLst>
      </c:barChart>
      <c:catAx>
        <c:axId val="36768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88655"/>
        <c:crosses val="autoZero"/>
        <c:auto val="1"/>
        <c:lblAlgn val="ctr"/>
        <c:lblOffset val="100"/>
        <c:noMultiLvlLbl val="0"/>
      </c:catAx>
      <c:valAx>
        <c:axId val="36768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8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16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&#199;IKAN &#220;R&#220;N'!A1"/><Relationship Id="rId2" Type="http://schemas.openxmlformats.org/officeDocument/2006/relationships/hyperlink" Target="#'G&#304;REN &#220;R&#220;N'!A1"/><Relationship Id="rId1" Type="http://schemas.openxmlformats.org/officeDocument/2006/relationships/hyperlink" Target="#'GENEL DURUM'!A1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&#199;IKAN &#220;R&#220;N'!A1"/><Relationship Id="rId1" Type="http://schemas.openxmlformats.org/officeDocument/2006/relationships/hyperlink" Target="#'GENEL DURUM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G&#304;REN &#220;R&#220;N'!A1"/><Relationship Id="rId1" Type="http://schemas.openxmlformats.org/officeDocument/2006/relationships/hyperlink" Target="#'GENEL DURUM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255494</xdr:colOff>
      <xdr:row>7</xdr:row>
      <xdr:rowOff>89647</xdr:rowOff>
    </xdr:from>
    <xdr:to>
      <xdr:col>17</xdr:col>
      <xdr:colOff>144556</xdr:colOff>
      <xdr:row>11</xdr:row>
      <xdr:rowOff>99172</xdr:rowOff>
    </xdr:to>
    <xdr:sp macro="" textlink="">
      <xdr:nvSpPr>
        <xdr:cNvPr id="2" name="Dikdörtgen: Köşeleri Yuvarlatılmış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8340E8-85DC-F6E8-51EB-21460A5FAE2B}"/>
            </a:ext>
          </a:extLst>
        </xdr:cNvPr>
        <xdr:cNvSpPr/>
      </xdr:nvSpPr>
      <xdr:spPr>
        <a:xfrm>
          <a:off x="8839200" y="1423147"/>
          <a:ext cx="3161180" cy="771525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GENEL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DURUM</a:t>
          </a:r>
        </a:p>
      </xdr:txBody>
    </xdr:sp>
    <xdr:clientData/>
  </xdr:twoCellAnchor>
  <xdr:twoCellAnchor editAs="absolute">
    <xdr:from>
      <xdr:col>18</xdr:col>
      <xdr:colOff>226079</xdr:colOff>
      <xdr:row>7</xdr:row>
      <xdr:rowOff>89647</xdr:rowOff>
    </xdr:from>
    <xdr:to>
      <xdr:col>22</xdr:col>
      <xdr:colOff>572341</xdr:colOff>
      <xdr:row>11</xdr:row>
      <xdr:rowOff>99172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B39FAB5-2113-49DD-9B02-00E6DA638B36}"/>
            </a:ext>
          </a:extLst>
        </xdr:cNvPr>
        <xdr:cNvSpPr/>
      </xdr:nvSpPr>
      <xdr:spPr>
        <a:xfrm>
          <a:off x="12687020" y="1423147"/>
          <a:ext cx="3147733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GİREN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ÜRÜN</a:t>
          </a:r>
          <a:endParaRPr lang="en-US" sz="2500" b="1" cap="none" spc="50">
            <a:ln w="0"/>
            <a:solidFill>
              <a:schemeClr val="bg2"/>
            </a:solidFill>
            <a:effectLst>
              <a:glow rad="63500">
                <a:schemeClr val="accent3">
                  <a:satMod val="175000"/>
                  <a:alpha val="40000"/>
                </a:schemeClr>
              </a:glow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24</xdr:col>
      <xdr:colOff>34178</xdr:colOff>
      <xdr:row>7</xdr:row>
      <xdr:rowOff>89647</xdr:rowOff>
    </xdr:from>
    <xdr:to>
      <xdr:col>26</xdr:col>
      <xdr:colOff>201706</xdr:colOff>
      <xdr:row>11</xdr:row>
      <xdr:rowOff>99172</xdr:rowOff>
    </xdr:to>
    <xdr:sp macro="" textlink="">
      <xdr:nvSpPr>
        <xdr:cNvPr id="4" name="Dikdörtgen: Köşeleri Yuvarlatılmış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57B857-671A-4649-951B-CF330059A47A}"/>
            </a:ext>
          </a:extLst>
        </xdr:cNvPr>
        <xdr:cNvSpPr/>
      </xdr:nvSpPr>
      <xdr:spPr>
        <a:xfrm>
          <a:off x="16506825" y="1423147"/>
          <a:ext cx="3148293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ÇIKAN ÜRÜN</a:t>
          </a:r>
        </a:p>
      </xdr:txBody>
    </xdr:sp>
    <xdr:clientData/>
  </xdr:twoCellAnchor>
  <xdr:twoCellAnchor>
    <xdr:from>
      <xdr:col>22</xdr:col>
      <xdr:colOff>0</xdr:colOff>
      <xdr:row>24</xdr:row>
      <xdr:rowOff>57150</xdr:rowOff>
    </xdr:from>
    <xdr:to>
      <xdr:col>31</xdr:col>
      <xdr:colOff>0</xdr:colOff>
      <xdr:row>42</xdr:row>
      <xdr:rowOff>0</xdr:rowOff>
    </xdr:to>
    <xdr:graphicFrame macro="">
      <xdr:nvGraphicFramePr>
        <xdr:cNvPr id="8" name="Grafik 7">
          <a:extLst>
            <a:ext uri="{FF2B5EF4-FFF2-40B4-BE49-F238E27FC236}">
              <a16:creationId xmlns:a16="http://schemas.microsoft.com/office/drawing/2014/main" id="{AB2C273E-C62F-E0D3-5E95-F1DFC5A0A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25</xdr:row>
      <xdr:rowOff>161924</xdr:rowOff>
    </xdr:from>
    <xdr:to>
      <xdr:col>19</xdr:col>
      <xdr:colOff>0</xdr:colOff>
      <xdr:row>45</xdr:row>
      <xdr:rowOff>0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15F82061-4629-907F-AA3D-7861C4864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4</xdr:row>
      <xdr:rowOff>9525</xdr:rowOff>
    </xdr:from>
    <xdr:to>
      <xdr:col>13</xdr:col>
      <xdr:colOff>542925</xdr:colOff>
      <xdr:row>8</xdr:row>
      <xdr:rowOff>19050</xdr:rowOff>
    </xdr:to>
    <xdr:sp macro="" textlink="">
      <xdr:nvSpPr>
        <xdr:cNvPr id="2" name="Dikdörtgen: Köşeleri Yuvarlatılmış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605897-DD78-4437-A6FF-3B8147E44275}"/>
            </a:ext>
          </a:extLst>
        </xdr:cNvPr>
        <xdr:cNvSpPr/>
      </xdr:nvSpPr>
      <xdr:spPr>
        <a:xfrm>
          <a:off x="6705600" y="771525"/>
          <a:ext cx="3162300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GENEL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DURUM</a:t>
          </a:r>
        </a:p>
      </xdr:txBody>
    </xdr:sp>
    <xdr:clientData/>
  </xdr:twoCellAnchor>
  <xdr:twoCellAnchor editAs="absolute">
    <xdr:from>
      <xdr:col>13</xdr:col>
      <xdr:colOff>1223963</xdr:colOff>
      <xdr:row>4</xdr:row>
      <xdr:rowOff>9525</xdr:rowOff>
    </xdr:from>
    <xdr:to>
      <xdr:col>16</xdr:col>
      <xdr:colOff>42863</xdr:colOff>
      <xdr:row>8</xdr:row>
      <xdr:rowOff>19050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00230446-6921-483E-90B7-606F043BB980}"/>
            </a:ext>
          </a:extLst>
        </xdr:cNvPr>
        <xdr:cNvSpPr/>
      </xdr:nvSpPr>
      <xdr:spPr>
        <a:xfrm>
          <a:off x="10548938" y="771525"/>
          <a:ext cx="3162300" cy="771525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GİREN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ÜRÜN</a:t>
          </a:r>
          <a:endParaRPr lang="en-US" sz="2500" b="1" cap="none" spc="50">
            <a:ln w="0"/>
            <a:solidFill>
              <a:schemeClr val="bg2"/>
            </a:solidFill>
            <a:effectLst>
              <a:glow rad="63500">
                <a:schemeClr val="accent3">
                  <a:satMod val="175000"/>
                  <a:alpha val="40000"/>
                </a:schemeClr>
              </a:glow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16</xdr:col>
      <xdr:colOff>723900</xdr:colOff>
      <xdr:row>4</xdr:row>
      <xdr:rowOff>9525</xdr:rowOff>
    </xdr:from>
    <xdr:to>
      <xdr:col>18</xdr:col>
      <xdr:colOff>1238250</xdr:colOff>
      <xdr:row>8</xdr:row>
      <xdr:rowOff>19050</xdr:rowOff>
    </xdr:to>
    <xdr:sp macro="" textlink="">
      <xdr:nvSpPr>
        <xdr:cNvPr id="4" name="Dikdörtgen: Köşeleri Yuvarlatılmış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4408DA-E494-45C9-8AAE-FF34BD042394}"/>
            </a:ext>
          </a:extLst>
        </xdr:cNvPr>
        <xdr:cNvSpPr/>
      </xdr:nvSpPr>
      <xdr:spPr>
        <a:xfrm>
          <a:off x="14392275" y="771525"/>
          <a:ext cx="3162300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ÇIKAN ÜRÜN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4</xdr:row>
      <xdr:rowOff>9525</xdr:rowOff>
    </xdr:from>
    <xdr:to>
      <xdr:col>14</xdr:col>
      <xdr:colOff>400050</xdr:colOff>
      <xdr:row>8</xdr:row>
      <xdr:rowOff>19050</xdr:rowOff>
    </xdr:to>
    <xdr:sp macro="" textlink="">
      <xdr:nvSpPr>
        <xdr:cNvPr id="2" name="Dikdörtgen: Köşeleri Yuvarlatılmış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FF747C-9BE0-4121-BE2C-1D4B459D3228}"/>
            </a:ext>
          </a:extLst>
        </xdr:cNvPr>
        <xdr:cNvSpPr/>
      </xdr:nvSpPr>
      <xdr:spPr>
        <a:xfrm>
          <a:off x="6705600" y="771525"/>
          <a:ext cx="3162300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GENEL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DURUM</a:t>
          </a:r>
        </a:p>
      </xdr:txBody>
    </xdr:sp>
    <xdr:clientData/>
  </xdr:twoCellAnchor>
  <xdr:twoCellAnchor editAs="absolute">
    <xdr:from>
      <xdr:col>14</xdr:col>
      <xdr:colOff>1081088</xdr:colOff>
      <xdr:row>4</xdr:row>
      <xdr:rowOff>9525</xdr:rowOff>
    </xdr:from>
    <xdr:to>
      <xdr:col>16</xdr:col>
      <xdr:colOff>538163</xdr:colOff>
      <xdr:row>8</xdr:row>
      <xdr:rowOff>19050</xdr:rowOff>
    </xdr:to>
    <xdr:sp macro="" textlink="">
      <xdr:nvSpPr>
        <xdr:cNvPr id="3" name="Dikdörtgen: Köşeleri Yuvarlatılmış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DC1F6E0-9A09-4ED3-BBEC-B048AABA5949}"/>
            </a:ext>
          </a:extLst>
        </xdr:cNvPr>
        <xdr:cNvSpPr/>
      </xdr:nvSpPr>
      <xdr:spPr>
        <a:xfrm>
          <a:off x="10548938" y="771525"/>
          <a:ext cx="3162300" cy="771525"/>
        </a:xfrm>
        <a:prstGeom prst="roundRect">
          <a:avLst/>
        </a:prstGeom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GİREN</a:t>
          </a:r>
          <a:r>
            <a:rPr lang="en-US" sz="2500" b="1" cap="none" spc="50" baseline="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ÜRÜN</a:t>
          </a:r>
          <a:endParaRPr lang="en-US" sz="2500" b="1" cap="none" spc="50">
            <a:ln w="0"/>
            <a:solidFill>
              <a:schemeClr val="bg2"/>
            </a:solidFill>
            <a:effectLst>
              <a:glow rad="63500">
                <a:schemeClr val="accent3">
                  <a:satMod val="175000"/>
                  <a:alpha val="40000"/>
                </a:schemeClr>
              </a:glow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 editAs="absolute">
    <xdr:from>
      <xdr:col>16</xdr:col>
      <xdr:colOff>1219200</xdr:colOff>
      <xdr:row>4</xdr:row>
      <xdr:rowOff>9525</xdr:rowOff>
    </xdr:from>
    <xdr:to>
      <xdr:col>19</xdr:col>
      <xdr:colOff>85725</xdr:colOff>
      <xdr:row>8</xdr:row>
      <xdr:rowOff>19050</xdr:rowOff>
    </xdr:to>
    <xdr:sp macro="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EB2D41BB-4965-4BDB-8A40-0331EF38C337}"/>
            </a:ext>
          </a:extLst>
        </xdr:cNvPr>
        <xdr:cNvSpPr/>
      </xdr:nvSpPr>
      <xdr:spPr>
        <a:xfrm>
          <a:off x="14392275" y="771525"/>
          <a:ext cx="3162300" cy="771525"/>
        </a:xfrm>
        <a:prstGeom prst="roundRect">
          <a:avLst/>
        </a:prstGeom>
        <a:solidFill>
          <a:schemeClr val="accent6">
            <a:lumMod val="75000"/>
          </a:schemeClr>
        </a:solidFill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 b="1" cap="none" spc="50">
              <a:ln w="0"/>
              <a:solidFill>
                <a:schemeClr val="bg2"/>
              </a:solidFill>
              <a:effectLst>
                <a:glow rad="63500">
                  <a:schemeClr val="accent3">
                    <a:satMod val="175000"/>
                    <a:alpha val="40000"/>
                  </a:schemeClr>
                </a:glow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ÇIKAN ÜRÜN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56A4E2-37BE-4B86-A03C-9B2D251E4FB9}" name="Tablo4" displayName="Tablo4" ref="L14:S28" totalsRowShown="0" headerRowDxfId="9">
  <autoFilter ref="L14:S28" xr:uid="{C956A4E2-37BE-4B86-A03C-9B2D251E4FB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3E04D4-B77B-414A-94D8-9A131F86D69E}" name="GÜN " dataDxfId="17">
      <calculatedColumnFormula>DAY(O15)</calculatedColumnFormula>
    </tableColumn>
    <tableColumn id="2" xr3:uid="{F0D7932E-871E-4399-852E-7FB4741F94CB}" name="AY" dataDxfId="16">
      <calculatedColumnFormula>MONTH(O15)</calculatedColumnFormula>
    </tableColumn>
    <tableColumn id="3" xr3:uid="{C6C0D930-5138-40FC-8031-CA28AA2CCB0E}" name="YIL" dataDxfId="15">
      <calculatedColumnFormula>YEAR(O15)</calculatedColumnFormula>
    </tableColumn>
    <tableColumn id="4" xr3:uid="{A7649F71-4450-46BE-8CC9-CDFB6AE535DD}" name="TARİH" dataDxfId="14"/>
    <tableColumn id="5" xr3:uid="{CB09248D-4913-4B3E-87BA-B5A636BFFC51}" name="GİREN ÜRÜN" dataDxfId="13"/>
    <tableColumn id="6" xr3:uid="{0E819FC1-DB5D-4C52-9284-DD6DB1F6EB86}" name="GİREN ADET" dataDxfId="12">
      <calculatedColumnFormula>RANDBETWEEN(50,150)</calculatedColumnFormula>
    </tableColumn>
    <tableColumn id="7" xr3:uid="{8C101963-8516-4139-A517-9A474D21BB6F}" name="FİYAT" dataDxfId="11">
      <calculatedColumnFormula>VLOOKUP(P15,ÜRÜNLER!D6:F20,2,0)</calculatedColumnFormula>
    </tableColumn>
    <tableColumn id="8" xr3:uid="{80ACE6E3-0337-460B-A848-AA8A3B67D262}" name="TOPLAM" dataDxfId="10">
      <calculatedColumnFormula>Q15*R15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08042A-8F5D-406D-908B-24E24288541C}" name="Tablo46" displayName="Tablo46" ref="L14:S28" totalsRowShown="0" headerRowDxfId="8">
  <autoFilter ref="L14:S28" xr:uid="{4D08042A-8F5D-406D-908B-24E24288541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FC316B-8BD9-48C3-8097-73B6FB439A77}" name="GÜN " dataDxfId="7">
      <calculatedColumnFormula>DAY(O15)</calculatedColumnFormula>
    </tableColumn>
    <tableColumn id="2" xr3:uid="{7B84468A-F5EC-4D5E-8C6D-90996D00A9FA}" name="AY" dataDxfId="6">
      <calculatedColumnFormula>MONTH(O15)</calculatedColumnFormula>
    </tableColumn>
    <tableColumn id="3" xr3:uid="{30B149FB-0553-4844-A13D-91945156B7AB}" name="YIL" dataDxfId="5">
      <calculatedColumnFormula>YEAR(O15)</calculatedColumnFormula>
    </tableColumn>
    <tableColumn id="4" xr3:uid="{CBBD007C-F113-4C51-B8FC-15513E577914}" name="TARİH" dataDxfId="4"/>
    <tableColumn id="5" xr3:uid="{39751EFF-F9ED-4A10-B0E6-A631BA9F23D4}" name="ÇIKAN ÜRÜN" dataDxfId="3"/>
    <tableColumn id="6" xr3:uid="{3414F494-7002-49E6-BA1D-C5820C600BA1}" name="ÇIKAN ADET" dataDxfId="0">
      <calculatedColumnFormula>RANDBETWEEN(30,45)</calculatedColumnFormula>
    </tableColumn>
    <tableColumn id="7" xr3:uid="{A291F981-63D1-4CE0-9084-5849BCEEF1AA}" name="FİYAT" dataDxfId="2">
      <calculatedColumnFormula>VLOOKUP(Tablo46[[#This Row],[ÇIKAN ÜRÜN]],ÜRÜNLER!D6:F20,3,0)</calculatedColumnFormula>
    </tableColumn>
    <tableColumn id="8" xr3:uid="{51FFB9E3-C6E3-400E-AFCF-1D5E408CA689}" name="TOPLAM" dataDxfId="1" dataCellStyle="ParaBirimi">
      <calculatedColumnFormula>Q15*R15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5915A-C048-4F08-A029-D4D3E6073164}">
  <dimension ref="H11:AE23"/>
  <sheetViews>
    <sheetView showGridLines="0" tabSelected="1" zoomScale="85" zoomScaleNormal="85" workbookViewId="0"/>
  </sheetViews>
  <sheetFormatPr defaultRowHeight="15" x14ac:dyDescent="0.25"/>
  <cols>
    <col min="1" max="11" width="9.140625" style="1"/>
    <col min="12" max="12" width="15.5703125" style="1" customWidth="1"/>
    <col min="13" max="13" width="13.28515625" style="1" customWidth="1"/>
    <col min="14" max="14" width="9.140625" style="1"/>
    <col min="15" max="15" width="12.85546875" style="1" customWidth="1"/>
    <col min="16" max="16" width="18" style="1" customWidth="1"/>
    <col min="17" max="21" width="9.140625" style="1"/>
    <col min="22" max="22" width="14.85546875" style="1" customWidth="1"/>
    <col min="23" max="24" width="9.140625" style="1"/>
    <col min="25" max="25" width="25.28515625" style="1" customWidth="1"/>
    <col min="26" max="26" width="19.5703125" style="1" customWidth="1"/>
    <col min="27" max="27" width="8.7109375" style="1" customWidth="1"/>
    <col min="28" max="28" width="15.28515625" style="1" customWidth="1"/>
    <col min="29" max="29" width="9.140625" style="1" customWidth="1"/>
    <col min="30" max="30" width="11" style="1" customWidth="1"/>
    <col min="31" max="31" width="13.85546875" style="1" customWidth="1"/>
    <col min="32" max="16384" width="9.140625" style="1"/>
  </cols>
  <sheetData>
    <row r="11" spans="20:28" ht="15" customHeight="1" x14ac:dyDescent="0.25">
      <c r="T11" s="12"/>
      <c r="U11" s="12"/>
      <c r="V11" s="12"/>
      <c r="W11" s="12"/>
      <c r="X11" s="12"/>
      <c r="Y11" s="12"/>
      <c r="Z11" s="12"/>
      <c r="AA11" s="12"/>
      <c r="AB11" s="12"/>
    </row>
    <row r="12" spans="20:28" ht="15" customHeight="1" x14ac:dyDescent="0.25">
      <c r="T12" s="12"/>
      <c r="U12" s="12"/>
      <c r="V12" s="12"/>
      <c r="W12" s="12"/>
      <c r="X12" s="12"/>
      <c r="Y12" s="12"/>
      <c r="Z12" s="12"/>
      <c r="AA12" s="12"/>
      <c r="AB12" s="12"/>
    </row>
    <row r="13" spans="20:28" ht="15" customHeight="1" x14ac:dyDescent="0.25">
      <c r="T13" s="12"/>
      <c r="U13" s="12"/>
      <c r="V13" s="12"/>
      <c r="W13" s="12"/>
      <c r="X13" s="12"/>
      <c r="Y13" s="12"/>
      <c r="Z13" s="12"/>
      <c r="AA13" s="12"/>
      <c r="AB13" s="12"/>
    </row>
    <row r="14" spans="20:28" ht="15" customHeight="1" x14ac:dyDescent="0.25">
      <c r="T14" s="12"/>
      <c r="U14" s="12"/>
      <c r="V14" s="12"/>
      <c r="W14" s="12"/>
      <c r="X14" s="12"/>
      <c r="Y14" s="12"/>
      <c r="Z14" s="13"/>
      <c r="AA14" s="13"/>
      <c r="AB14" s="13"/>
    </row>
    <row r="15" spans="20:28" ht="15" customHeight="1" x14ac:dyDescent="0.25">
      <c r="T15" s="12"/>
      <c r="U15" s="12"/>
      <c r="V15" s="12"/>
      <c r="W15" s="12"/>
      <c r="X15" s="12"/>
      <c r="Y15" s="12"/>
      <c r="Z15" s="12"/>
      <c r="AA15" s="12"/>
      <c r="AB15" s="12"/>
    </row>
    <row r="16" spans="20:28" ht="15" customHeight="1" x14ac:dyDescent="0.25">
      <c r="T16" s="12"/>
      <c r="U16" s="12"/>
      <c r="V16" s="12"/>
      <c r="W16" s="12"/>
      <c r="X16" s="12"/>
      <c r="Y16" s="12"/>
      <c r="Z16" s="12"/>
      <c r="AA16" s="12"/>
      <c r="AB16" s="12"/>
    </row>
    <row r="17" spans="8:31" x14ac:dyDescent="0.25">
      <c r="Z17" s="32"/>
      <c r="AA17" s="32"/>
      <c r="AB17" s="32"/>
    </row>
    <row r="18" spans="8:31" ht="15" customHeight="1" x14ac:dyDescent="0.25">
      <c r="H18" s="23" t="s">
        <v>0</v>
      </c>
      <c r="I18" s="24"/>
      <c r="J18" s="25"/>
      <c r="K18" s="23" t="s">
        <v>34</v>
      </c>
      <c r="L18" s="24"/>
      <c r="M18" s="25"/>
      <c r="N18" s="23" t="s">
        <v>35</v>
      </c>
      <c r="O18" s="24"/>
      <c r="P18" s="25"/>
      <c r="Q18" s="23" t="s">
        <v>33</v>
      </c>
      <c r="R18" s="24"/>
      <c r="S18" s="25"/>
      <c r="W18" s="23" t="s">
        <v>36</v>
      </c>
      <c r="X18" s="24"/>
      <c r="Y18" s="25"/>
      <c r="Z18" s="23" t="s">
        <v>37</v>
      </c>
      <c r="AA18" s="24"/>
      <c r="AB18" s="25"/>
      <c r="AC18" s="23" t="s">
        <v>33</v>
      </c>
      <c r="AD18" s="24"/>
      <c r="AE18" s="25"/>
    </row>
    <row r="19" spans="8:31" ht="15" customHeight="1" x14ac:dyDescent="0.25">
      <c r="H19" s="26"/>
      <c r="I19" s="27"/>
      <c r="J19" s="28"/>
      <c r="K19" s="26"/>
      <c r="L19" s="27"/>
      <c r="M19" s="28"/>
      <c r="N19" s="26"/>
      <c r="O19" s="27"/>
      <c r="P19" s="28"/>
      <c r="Q19" s="26"/>
      <c r="R19" s="27"/>
      <c r="S19" s="28"/>
      <c r="W19" s="26"/>
      <c r="X19" s="27"/>
      <c r="Y19" s="28"/>
      <c r="Z19" s="26"/>
      <c r="AA19" s="27"/>
      <c r="AB19" s="28"/>
      <c r="AC19" s="26"/>
      <c r="AD19" s="27"/>
      <c r="AE19" s="28"/>
    </row>
    <row r="20" spans="8:31" ht="15" customHeight="1" x14ac:dyDescent="0.25">
      <c r="H20" s="29"/>
      <c r="I20" s="30"/>
      <c r="J20" s="31"/>
      <c r="K20" s="29"/>
      <c r="L20" s="30"/>
      <c r="M20" s="31"/>
      <c r="N20" s="29"/>
      <c r="O20" s="30"/>
      <c r="P20" s="31"/>
      <c r="Q20" s="29"/>
      <c r="R20" s="30"/>
      <c r="S20" s="31"/>
      <c r="W20" s="29"/>
      <c r="X20" s="30"/>
      <c r="Y20" s="31"/>
      <c r="Z20" s="29"/>
      <c r="AA20" s="30"/>
      <c r="AB20" s="31"/>
      <c r="AC20" s="29"/>
      <c r="AD20" s="30"/>
      <c r="AE20" s="31"/>
    </row>
    <row r="21" spans="8:31" ht="15" customHeight="1" x14ac:dyDescent="0.25">
      <c r="H21" s="23" t="s">
        <v>8</v>
      </c>
      <c r="I21" s="24"/>
      <c r="J21" s="25"/>
      <c r="K21" s="14">
        <f ca="1">SUMIF('GİREN ÜRÜN'!P14:Q28,'GENEL DURUM'!H21,'GİREN ÜRÜN'!Q14:Q28)</f>
        <v>666</v>
      </c>
      <c r="L21" s="15"/>
      <c r="M21" s="16"/>
      <c r="N21" s="14">
        <f ca="1">SUMIF('ÇIKAN ÜRÜN'!P14:Q28,'GENEL DURUM'!H21,'ÇIKAN ÜRÜN'!Q14:Q28)</f>
        <v>8</v>
      </c>
      <c r="O21" s="15"/>
      <c r="P21" s="16"/>
      <c r="Q21" s="14">
        <f ca="1">K21-N21</f>
        <v>658</v>
      </c>
      <c r="R21" s="15"/>
      <c r="S21" s="16"/>
      <c r="W21" s="33">
        <f ca="1">VLOOKUP(H21,ÜRÜNLER!D7:E20,2,FALSE)*K21</f>
        <v>186480</v>
      </c>
      <c r="X21" s="34"/>
      <c r="Y21" s="35"/>
      <c r="Z21" s="33">
        <f ca="1">VLOOKUP(H21,ÜRÜNLER!D7:F20,3,FALSE)*N21</f>
        <v>4400</v>
      </c>
      <c r="AA21" s="34"/>
      <c r="AB21" s="35"/>
      <c r="AC21" s="33">
        <f ca="1">VLOOKUP(H21,ÜRÜNLER!D7:F20,3,FALSE)*Q21</f>
        <v>361900</v>
      </c>
      <c r="AD21" s="34"/>
      <c r="AE21" s="35"/>
    </row>
    <row r="22" spans="8:31" ht="15" customHeight="1" x14ac:dyDescent="0.25">
      <c r="H22" s="26"/>
      <c r="I22" s="27"/>
      <c r="J22" s="28"/>
      <c r="K22" s="17"/>
      <c r="L22" s="18"/>
      <c r="M22" s="19"/>
      <c r="N22" s="17"/>
      <c r="O22" s="18"/>
      <c r="P22" s="19"/>
      <c r="Q22" s="17"/>
      <c r="R22" s="18"/>
      <c r="S22" s="19"/>
      <c r="W22" s="36"/>
      <c r="X22" s="37"/>
      <c r="Y22" s="38"/>
      <c r="Z22" s="36"/>
      <c r="AA22" s="37"/>
      <c r="AB22" s="38"/>
      <c r="AC22" s="36"/>
      <c r="AD22" s="37"/>
      <c r="AE22" s="38"/>
    </row>
    <row r="23" spans="8:31" ht="15" customHeight="1" x14ac:dyDescent="0.25">
      <c r="H23" s="29"/>
      <c r="I23" s="30"/>
      <c r="J23" s="31"/>
      <c r="K23" s="20"/>
      <c r="L23" s="21"/>
      <c r="M23" s="22"/>
      <c r="N23" s="20"/>
      <c r="O23" s="21"/>
      <c r="P23" s="22"/>
      <c r="Q23" s="20"/>
      <c r="R23" s="21"/>
      <c r="S23" s="22"/>
      <c r="W23" s="39"/>
      <c r="X23" s="40"/>
      <c r="Y23" s="41"/>
      <c r="Z23" s="39"/>
      <c r="AA23" s="40"/>
      <c r="AB23" s="41"/>
      <c r="AC23" s="39"/>
      <c r="AD23" s="40"/>
      <c r="AE23" s="41"/>
    </row>
  </sheetData>
  <mergeCells count="20">
    <mergeCell ref="K21:M23"/>
    <mergeCell ref="K18:M20"/>
    <mergeCell ref="W18:Y20"/>
    <mergeCell ref="Z18:AB20"/>
    <mergeCell ref="AC18:AE20"/>
    <mergeCell ref="W21:Y23"/>
    <mergeCell ref="Z21:AB23"/>
    <mergeCell ref="AC21:AE23"/>
    <mergeCell ref="Z11:AB13"/>
    <mergeCell ref="Z15:AB17"/>
    <mergeCell ref="W14:Y16"/>
    <mergeCell ref="W11:Y13"/>
    <mergeCell ref="T14:V16"/>
    <mergeCell ref="T11:V13"/>
    <mergeCell ref="H18:J20"/>
    <mergeCell ref="H21:J23"/>
    <mergeCell ref="N18:P20"/>
    <mergeCell ref="Q18:S20"/>
    <mergeCell ref="N21:P23"/>
    <mergeCell ref="Q21:S23"/>
  </mergeCells>
  <dataValidations count="1">
    <dataValidation type="list" allowBlank="1" showInputMessage="1" showErrorMessage="1" sqref="H21:J23" xr:uid="{E8EA81EC-29AF-4D1F-840A-596971D747AB}">
      <formula1>URUNLER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4F594-9F16-4139-A751-382C31D526A2}">
  <dimension ref="L14:S28"/>
  <sheetViews>
    <sheetView showGridLines="0" zoomScaleNormal="100" workbookViewId="0"/>
  </sheetViews>
  <sheetFormatPr defaultRowHeight="15" x14ac:dyDescent="0.25"/>
  <cols>
    <col min="1" max="10" width="9.140625" style="1"/>
    <col min="11" max="11" width="9.140625" style="1" customWidth="1"/>
    <col min="12" max="12" width="16" style="1" customWidth="1"/>
    <col min="13" max="13" width="23.28515625" style="1" customWidth="1"/>
    <col min="14" max="14" width="19" style="1" customWidth="1"/>
    <col min="15" max="15" width="24.140625" style="1" customWidth="1"/>
    <col min="16" max="16" width="22" style="1" customWidth="1"/>
    <col min="17" max="17" width="21.28515625" style="1" customWidth="1"/>
    <col min="18" max="18" width="18.42578125" style="1" customWidth="1"/>
    <col min="19" max="19" width="18.85546875" style="1" customWidth="1"/>
    <col min="20" max="20" width="9.140625" style="1" customWidth="1"/>
    <col min="21" max="16384" width="9.140625" style="1"/>
  </cols>
  <sheetData>
    <row r="14" spans="12:19" ht="19.5" x14ac:dyDescent="0.3">
      <c r="L14" s="6" t="s">
        <v>18</v>
      </c>
      <c r="M14" s="6" t="s">
        <v>19</v>
      </c>
      <c r="N14" s="6" t="s">
        <v>20</v>
      </c>
      <c r="O14" s="6" t="s">
        <v>21</v>
      </c>
      <c r="P14" s="6" t="s">
        <v>22</v>
      </c>
      <c r="Q14" s="6" t="s">
        <v>23</v>
      </c>
      <c r="R14" s="6" t="s">
        <v>24</v>
      </c>
      <c r="S14" s="6" t="s">
        <v>25</v>
      </c>
    </row>
    <row r="15" spans="12:19" x14ac:dyDescent="0.25">
      <c r="L15" s="7">
        <f>DAY(O15)</f>
        <v>22</v>
      </c>
      <c r="M15" s="7">
        <f>MONTH(O15)</f>
        <v>3</v>
      </c>
      <c r="N15" s="7">
        <f>YEAR(O15)</f>
        <v>2026</v>
      </c>
      <c r="O15" s="8">
        <v>46103</v>
      </c>
      <c r="P15" s="7" t="s">
        <v>3</v>
      </c>
      <c r="Q15" s="7">
        <v>112</v>
      </c>
      <c r="R15" s="9">
        <f>VLOOKUP(P15,ÜRÜNLER!D6:F20,2,0)</f>
        <v>40</v>
      </c>
      <c r="S15" s="10">
        <f>Q15*R15</f>
        <v>4480</v>
      </c>
    </row>
    <row r="16" spans="12:19" x14ac:dyDescent="0.25">
      <c r="L16" s="7">
        <f t="shared" ref="L16:L28" si="0">DAY(O16)</f>
        <v>23</v>
      </c>
      <c r="M16" s="7">
        <f t="shared" ref="M16:M28" si="1">MONTH(O16)</f>
        <v>3</v>
      </c>
      <c r="N16" s="7">
        <f t="shared" ref="N16:N28" si="2">YEAR(O16)</f>
        <v>2026</v>
      </c>
      <c r="O16" s="8">
        <v>46104</v>
      </c>
      <c r="P16" s="7" t="s">
        <v>4</v>
      </c>
      <c r="Q16" s="7">
        <v>234</v>
      </c>
      <c r="R16" s="9">
        <f>VLOOKUP(P16,ÜRÜNLER!D7:F21,2,0)</f>
        <v>150</v>
      </c>
      <c r="S16" s="10">
        <f t="shared" ref="S16:S28" si="3">Q16*R16</f>
        <v>35100</v>
      </c>
    </row>
    <row r="17" spans="12:19" x14ac:dyDescent="0.25">
      <c r="L17" s="7">
        <f t="shared" si="0"/>
        <v>24</v>
      </c>
      <c r="M17" s="7">
        <f t="shared" si="1"/>
        <v>3</v>
      </c>
      <c r="N17" s="7">
        <f t="shared" si="2"/>
        <v>2026</v>
      </c>
      <c r="O17" s="8">
        <v>46105</v>
      </c>
      <c r="P17" s="7" t="s">
        <v>5</v>
      </c>
      <c r="Q17" s="7">
        <v>43</v>
      </c>
      <c r="R17" s="9">
        <f>VLOOKUP(P17,ÜRÜNLER!D8:F22,2,0)</f>
        <v>80</v>
      </c>
      <c r="S17" s="10">
        <f t="shared" si="3"/>
        <v>3440</v>
      </c>
    </row>
    <row r="18" spans="12:19" x14ac:dyDescent="0.25">
      <c r="L18" s="7">
        <f t="shared" si="0"/>
        <v>25</v>
      </c>
      <c r="M18" s="7">
        <f t="shared" si="1"/>
        <v>3</v>
      </c>
      <c r="N18" s="7">
        <f t="shared" si="2"/>
        <v>2026</v>
      </c>
      <c r="O18" s="8">
        <v>46106</v>
      </c>
      <c r="P18" s="7" t="s">
        <v>6</v>
      </c>
      <c r="Q18" s="7">
        <v>54</v>
      </c>
      <c r="R18" s="9">
        <f>VLOOKUP(P18,ÜRÜNLER!D9:F23,2,0)</f>
        <v>120</v>
      </c>
      <c r="S18" s="10">
        <f t="shared" si="3"/>
        <v>6480</v>
      </c>
    </row>
    <row r="19" spans="12:19" x14ac:dyDescent="0.25">
      <c r="L19" s="7">
        <f t="shared" si="0"/>
        <v>26</v>
      </c>
      <c r="M19" s="7">
        <f t="shared" si="1"/>
        <v>3</v>
      </c>
      <c r="N19" s="7">
        <f t="shared" si="2"/>
        <v>2026</v>
      </c>
      <c r="O19" s="8">
        <v>46107</v>
      </c>
      <c r="P19" s="7" t="s">
        <v>7</v>
      </c>
      <c r="Q19" s="7">
        <v>65</v>
      </c>
      <c r="R19" s="9">
        <f>VLOOKUP(P19,ÜRÜNLER!D10:F24,2,0)</f>
        <v>3200</v>
      </c>
      <c r="S19" s="10">
        <f t="shared" si="3"/>
        <v>208000</v>
      </c>
    </row>
    <row r="20" spans="12:19" x14ac:dyDescent="0.25">
      <c r="L20" s="7">
        <f t="shared" si="0"/>
        <v>27</v>
      </c>
      <c r="M20" s="7">
        <f t="shared" si="1"/>
        <v>3</v>
      </c>
      <c r="N20" s="7">
        <f t="shared" si="2"/>
        <v>2026</v>
      </c>
      <c r="O20" s="8">
        <v>46108</v>
      </c>
      <c r="P20" s="7" t="s">
        <v>8</v>
      </c>
      <c r="Q20" s="7">
        <v>666</v>
      </c>
      <c r="R20" s="9">
        <f>VLOOKUP(P20,ÜRÜNLER!D11:F25,2,0)</f>
        <v>280</v>
      </c>
      <c r="S20" s="10">
        <f t="shared" si="3"/>
        <v>186480</v>
      </c>
    </row>
    <row r="21" spans="12:19" x14ac:dyDescent="0.25">
      <c r="L21" s="7">
        <f t="shared" si="0"/>
        <v>28</v>
      </c>
      <c r="M21" s="7">
        <f t="shared" si="1"/>
        <v>3</v>
      </c>
      <c r="N21" s="7">
        <f t="shared" si="2"/>
        <v>2026</v>
      </c>
      <c r="O21" s="8">
        <v>46109</v>
      </c>
      <c r="P21" s="7" t="s">
        <v>9</v>
      </c>
      <c r="Q21" s="7">
        <v>777</v>
      </c>
      <c r="R21" s="9">
        <f>VLOOKUP(P21,ÜRÜNLER!D12:F26,2,0)</f>
        <v>3000</v>
      </c>
      <c r="S21" s="10">
        <f t="shared" si="3"/>
        <v>2331000</v>
      </c>
    </row>
    <row r="22" spans="12:19" x14ac:dyDescent="0.25">
      <c r="L22" s="7">
        <f t="shared" si="0"/>
        <v>29</v>
      </c>
      <c r="M22" s="7">
        <f t="shared" si="1"/>
        <v>3</v>
      </c>
      <c r="N22" s="7">
        <f t="shared" si="2"/>
        <v>2026</v>
      </c>
      <c r="O22" s="8">
        <v>46110</v>
      </c>
      <c r="P22" s="7" t="s">
        <v>10</v>
      </c>
      <c r="Q22" s="7">
        <v>87</v>
      </c>
      <c r="R22" s="9">
        <f>VLOOKUP(P22,ÜRÜNLER!D13:F27,2,0)</f>
        <v>1100</v>
      </c>
      <c r="S22" s="10">
        <f t="shared" si="3"/>
        <v>95700</v>
      </c>
    </row>
    <row r="23" spans="12:19" x14ac:dyDescent="0.25">
      <c r="L23" s="7">
        <f t="shared" si="0"/>
        <v>30</v>
      </c>
      <c r="M23" s="7">
        <f t="shared" si="1"/>
        <v>3</v>
      </c>
      <c r="N23" s="7">
        <f t="shared" si="2"/>
        <v>2026</v>
      </c>
      <c r="O23" s="8">
        <v>46111</v>
      </c>
      <c r="P23" s="7" t="s">
        <v>11</v>
      </c>
      <c r="Q23" s="7">
        <v>65</v>
      </c>
      <c r="R23" s="9">
        <f>VLOOKUP(P23,ÜRÜNLER!D14:F28,2,0)</f>
        <v>350</v>
      </c>
      <c r="S23" s="10">
        <f t="shared" si="3"/>
        <v>22750</v>
      </c>
    </row>
    <row r="24" spans="12:19" x14ac:dyDescent="0.25">
      <c r="L24" s="7">
        <f t="shared" si="0"/>
        <v>31</v>
      </c>
      <c r="M24" s="7">
        <f t="shared" si="1"/>
        <v>3</v>
      </c>
      <c r="N24" s="7">
        <f t="shared" si="2"/>
        <v>2026</v>
      </c>
      <c r="O24" s="8">
        <v>46112</v>
      </c>
      <c r="P24" s="7" t="s">
        <v>12</v>
      </c>
      <c r="Q24" s="7">
        <v>43</v>
      </c>
      <c r="R24" s="9">
        <f>VLOOKUP(P24,ÜRÜNLER!D15:F29,2,0)</f>
        <v>600</v>
      </c>
      <c r="S24" s="10">
        <f t="shared" si="3"/>
        <v>25800</v>
      </c>
    </row>
    <row r="25" spans="12:19" x14ac:dyDescent="0.25">
      <c r="L25" s="7">
        <f t="shared" si="0"/>
        <v>1</v>
      </c>
      <c r="M25" s="7">
        <f t="shared" si="1"/>
        <v>4</v>
      </c>
      <c r="N25" s="7">
        <f t="shared" si="2"/>
        <v>2026</v>
      </c>
      <c r="O25" s="8">
        <v>46113</v>
      </c>
      <c r="P25" s="7" t="s">
        <v>13</v>
      </c>
      <c r="Q25" s="7">
        <v>34</v>
      </c>
      <c r="R25" s="9">
        <f>VLOOKUP(P25,ÜRÜNLER!D16:F30,2,0)</f>
        <v>100</v>
      </c>
      <c r="S25" s="10">
        <f t="shared" si="3"/>
        <v>3400</v>
      </c>
    </row>
    <row r="26" spans="12:19" x14ac:dyDescent="0.25">
      <c r="L26" s="7">
        <f t="shared" si="0"/>
        <v>2</v>
      </c>
      <c r="M26" s="7">
        <f t="shared" si="1"/>
        <v>4</v>
      </c>
      <c r="N26" s="7">
        <f t="shared" si="2"/>
        <v>2026</v>
      </c>
      <c r="O26" s="8">
        <v>46114</v>
      </c>
      <c r="P26" s="7" t="s">
        <v>14</v>
      </c>
      <c r="Q26" s="7">
        <v>56</v>
      </c>
      <c r="R26" s="9">
        <f>VLOOKUP(P26,ÜRÜNLER!D17:F31,2,0)</f>
        <v>300</v>
      </c>
      <c r="S26" s="10">
        <f t="shared" si="3"/>
        <v>16800</v>
      </c>
    </row>
    <row r="27" spans="12:19" x14ac:dyDescent="0.25">
      <c r="L27" s="7">
        <f t="shared" si="0"/>
        <v>3</v>
      </c>
      <c r="M27" s="7">
        <f t="shared" si="1"/>
        <v>4</v>
      </c>
      <c r="N27" s="7">
        <f t="shared" si="2"/>
        <v>2026</v>
      </c>
      <c r="O27" s="8">
        <v>46115</v>
      </c>
      <c r="P27" s="7" t="s">
        <v>15</v>
      </c>
      <c r="Q27" s="7">
        <v>65</v>
      </c>
      <c r="R27" s="9">
        <f>VLOOKUP(P27,ÜRÜNLER!D18:F32,2,0)</f>
        <v>3500</v>
      </c>
      <c r="S27" s="10">
        <f t="shared" si="3"/>
        <v>227500</v>
      </c>
    </row>
    <row r="28" spans="12:19" x14ac:dyDescent="0.25">
      <c r="L28" s="7">
        <f t="shared" si="0"/>
        <v>4</v>
      </c>
      <c r="M28" s="7">
        <f t="shared" si="1"/>
        <v>4</v>
      </c>
      <c r="N28" s="7">
        <f t="shared" si="2"/>
        <v>2026</v>
      </c>
      <c r="O28" s="8">
        <v>46116</v>
      </c>
      <c r="P28" s="7" t="s">
        <v>16</v>
      </c>
      <c r="Q28" s="7">
        <v>23</v>
      </c>
      <c r="R28" s="9">
        <f>VLOOKUP(P28,ÜRÜNLER!D19:F33,2,0)</f>
        <v>100</v>
      </c>
      <c r="S28" s="10">
        <f t="shared" si="3"/>
        <v>2300</v>
      </c>
    </row>
  </sheetData>
  <dataValidations count="1">
    <dataValidation type="list" allowBlank="1" showInputMessage="1" showErrorMessage="1" sqref="P15:P28" xr:uid="{1DF3CA58-AFFC-41EF-8380-56DC7CA5F878}">
      <formula1>URUNLER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0C355-4802-4AD3-A1E4-B887F4D3EB24}">
  <dimension ref="L14:S28"/>
  <sheetViews>
    <sheetView showGridLines="0" zoomScaleNormal="100" workbookViewId="0"/>
  </sheetViews>
  <sheetFormatPr defaultRowHeight="15" x14ac:dyDescent="0.25"/>
  <cols>
    <col min="1" max="11" width="9.140625" style="1"/>
    <col min="12" max="12" width="11.85546875" style="1" bestFit="1" customWidth="1"/>
    <col min="13" max="13" width="9" style="1" bestFit="1" customWidth="1"/>
    <col min="14" max="14" width="20.5703125" style="1" customWidth="1"/>
    <col min="15" max="15" width="25.28515625" style="1" customWidth="1"/>
    <col min="16" max="16" width="30.28515625" style="1" customWidth="1"/>
    <col min="17" max="17" width="20.28515625" style="1" customWidth="1"/>
    <col min="18" max="18" width="22.5703125" style="1" customWidth="1"/>
    <col min="19" max="19" width="21.5703125" style="1" customWidth="1"/>
    <col min="20" max="16384" width="9.140625" style="1"/>
  </cols>
  <sheetData>
    <row r="14" spans="12:19" ht="19.5" x14ac:dyDescent="0.3">
      <c r="L14" s="6" t="s">
        <v>18</v>
      </c>
      <c r="M14" s="6" t="s">
        <v>19</v>
      </c>
      <c r="N14" s="6" t="s">
        <v>20</v>
      </c>
      <c r="O14" s="6" t="s">
        <v>21</v>
      </c>
      <c r="P14" s="6" t="s">
        <v>32</v>
      </c>
      <c r="Q14" s="6" t="s">
        <v>31</v>
      </c>
      <c r="R14" s="6" t="s">
        <v>24</v>
      </c>
      <c r="S14" s="6" t="s">
        <v>25</v>
      </c>
    </row>
    <row r="15" spans="12:19" x14ac:dyDescent="0.25">
      <c r="L15" s="7">
        <f>DAY(O15)</f>
        <v>22</v>
      </c>
      <c r="M15" s="7">
        <f>MONTH(O15)</f>
        <v>3</v>
      </c>
      <c r="N15" s="7">
        <f>YEAR(O15)</f>
        <v>2026</v>
      </c>
      <c r="O15" s="8">
        <v>46103</v>
      </c>
      <c r="P15" s="7" t="s">
        <v>3</v>
      </c>
      <c r="Q15" s="7">
        <v>1</v>
      </c>
      <c r="R15" s="9">
        <f>VLOOKUP(Tablo46[[#This Row],[ÇIKAN ÜRÜN]],ÜRÜNLER!D6:F20,3,0)</f>
        <v>60</v>
      </c>
      <c r="S15" s="11">
        <f>Q15*R15</f>
        <v>60</v>
      </c>
    </row>
    <row r="16" spans="12:19" x14ac:dyDescent="0.25">
      <c r="L16" s="7">
        <f t="shared" ref="L16:L26" si="0">DAY(O16)</f>
        <v>23</v>
      </c>
      <c r="M16" s="7">
        <f t="shared" ref="M16:M26" si="1">MONTH(O16)</f>
        <v>3</v>
      </c>
      <c r="N16" s="7">
        <f t="shared" ref="N16:N31" si="2">YEAR(O16)</f>
        <v>2026</v>
      </c>
      <c r="O16" s="8">
        <v>46104</v>
      </c>
      <c r="P16" s="7" t="s">
        <v>4</v>
      </c>
      <c r="Q16" s="7">
        <v>4</v>
      </c>
      <c r="R16" s="9">
        <f>VLOOKUP(Tablo46[[#This Row],[ÇIKAN ÜRÜN]],ÜRÜNLER!D7:F21,3,0)</f>
        <v>320</v>
      </c>
      <c r="S16" s="11">
        <f t="shared" ref="S16:S26" si="3">Q16*R16</f>
        <v>1280</v>
      </c>
    </row>
    <row r="17" spans="12:19" x14ac:dyDescent="0.25">
      <c r="L17" s="7">
        <f t="shared" si="0"/>
        <v>24</v>
      </c>
      <c r="M17" s="7">
        <f t="shared" si="1"/>
        <v>3</v>
      </c>
      <c r="N17" s="7">
        <f t="shared" si="2"/>
        <v>2026</v>
      </c>
      <c r="O17" s="8">
        <v>46105</v>
      </c>
      <c r="P17" s="7" t="s">
        <v>5</v>
      </c>
      <c r="Q17" s="7">
        <v>65</v>
      </c>
      <c r="R17" s="9">
        <f>VLOOKUP(Tablo46[[#This Row],[ÇIKAN ÜRÜN]],ÜRÜNLER!D8:F22,3,0)</f>
        <v>120</v>
      </c>
      <c r="S17" s="11">
        <f t="shared" si="3"/>
        <v>7800</v>
      </c>
    </row>
    <row r="18" spans="12:19" x14ac:dyDescent="0.25">
      <c r="L18" s="7">
        <f t="shared" si="0"/>
        <v>25</v>
      </c>
      <c r="M18" s="7">
        <f t="shared" si="1"/>
        <v>3</v>
      </c>
      <c r="N18" s="7">
        <f t="shared" si="2"/>
        <v>2026</v>
      </c>
      <c r="O18" s="8">
        <v>46106</v>
      </c>
      <c r="P18" s="7" t="s">
        <v>6</v>
      </c>
      <c r="Q18" s="7">
        <v>6</v>
      </c>
      <c r="R18" s="9">
        <f>VLOOKUP(Tablo46[[#This Row],[ÇIKAN ÜRÜN]],ÜRÜNLER!D9:F23,3,0)</f>
        <v>200</v>
      </c>
      <c r="S18" s="11">
        <f t="shared" si="3"/>
        <v>1200</v>
      </c>
    </row>
    <row r="19" spans="12:19" x14ac:dyDescent="0.25">
      <c r="L19" s="7">
        <f t="shared" si="0"/>
        <v>26</v>
      </c>
      <c r="M19" s="7">
        <f t="shared" si="1"/>
        <v>3</v>
      </c>
      <c r="N19" s="7">
        <f t="shared" si="2"/>
        <v>2026</v>
      </c>
      <c r="O19" s="8">
        <v>46107</v>
      </c>
      <c r="P19" s="7" t="s">
        <v>7</v>
      </c>
      <c r="Q19" s="7">
        <v>7</v>
      </c>
      <c r="R19" s="9">
        <f>VLOOKUP(Tablo46[[#This Row],[ÇIKAN ÜRÜN]],ÜRÜNLER!D10:F24,3,0)</f>
        <v>4500</v>
      </c>
      <c r="S19" s="11">
        <f t="shared" si="3"/>
        <v>31500</v>
      </c>
    </row>
    <row r="20" spans="12:19" x14ac:dyDescent="0.25">
      <c r="L20" s="7">
        <f t="shared" si="0"/>
        <v>27</v>
      </c>
      <c r="M20" s="7">
        <f t="shared" si="1"/>
        <v>3</v>
      </c>
      <c r="N20" s="7">
        <f t="shared" si="2"/>
        <v>2026</v>
      </c>
      <c r="O20" s="8">
        <v>46108</v>
      </c>
      <c r="P20" s="7" t="s">
        <v>8</v>
      </c>
      <c r="Q20" s="7">
        <v>8</v>
      </c>
      <c r="R20" s="9">
        <f>VLOOKUP(Tablo46[[#This Row],[ÇIKAN ÜRÜN]],ÜRÜNLER!D11:F25,3,0)</f>
        <v>550</v>
      </c>
      <c r="S20" s="11">
        <f t="shared" si="3"/>
        <v>4400</v>
      </c>
    </row>
    <row r="21" spans="12:19" x14ac:dyDescent="0.25">
      <c r="L21" s="7">
        <f t="shared" si="0"/>
        <v>28</v>
      </c>
      <c r="M21" s="7">
        <f t="shared" si="1"/>
        <v>3</v>
      </c>
      <c r="N21" s="7">
        <f t="shared" si="2"/>
        <v>2026</v>
      </c>
      <c r="O21" s="8">
        <v>46109</v>
      </c>
      <c r="P21" s="7" t="s">
        <v>9</v>
      </c>
      <c r="Q21" s="7">
        <v>9</v>
      </c>
      <c r="R21" s="9">
        <f>VLOOKUP(Tablo46[[#This Row],[ÇIKAN ÜRÜN]],ÜRÜNLER!D12:F26,3,0)</f>
        <v>4500</v>
      </c>
      <c r="S21" s="11">
        <f t="shared" si="3"/>
        <v>40500</v>
      </c>
    </row>
    <row r="22" spans="12:19" x14ac:dyDescent="0.25">
      <c r="L22" s="7">
        <f t="shared" si="0"/>
        <v>29</v>
      </c>
      <c r="M22" s="7">
        <f t="shared" si="1"/>
        <v>3</v>
      </c>
      <c r="N22" s="7">
        <f t="shared" si="2"/>
        <v>2026</v>
      </c>
      <c r="O22" s="8">
        <v>46110</v>
      </c>
      <c r="P22" s="7" t="s">
        <v>10</v>
      </c>
      <c r="Q22" s="7">
        <v>3</v>
      </c>
      <c r="R22" s="9">
        <f>VLOOKUP(Tablo46[[#This Row],[ÇIKAN ÜRÜN]],ÜRÜNLER!D13:F27,3,0)</f>
        <v>1750</v>
      </c>
      <c r="S22" s="11">
        <f t="shared" si="3"/>
        <v>5250</v>
      </c>
    </row>
    <row r="23" spans="12:19" x14ac:dyDescent="0.25">
      <c r="L23" s="7">
        <f t="shared" si="0"/>
        <v>30</v>
      </c>
      <c r="M23" s="7">
        <f t="shared" si="1"/>
        <v>3</v>
      </c>
      <c r="N23" s="7">
        <f t="shared" si="2"/>
        <v>2026</v>
      </c>
      <c r="O23" s="8">
        <v>46111</v>
      </c>
      <c r="P23" s="7" t="s">
        <v>11</v>
      </c>
      <c r="Q23" s="7">
        <v>9</v>
      </c>
      <c r="R23" s="9">
        <f>VLOOKUP(Tablo46[[#This Row],[ÇIKAN ÜRÜN]],ÜRÜNLER!D14:F28,3,0)</f>
        <v>475</v>
      </c>
      <c r="S23" s="11">
        <f t="shared" si="3"/>
        <v>4275</v>
      </c>
    </row>
    <row r="24" spans="12:19" x14ac:dyDescent="0.25">
      <c r="L24" s="7">
        <f t="shared" si="0"/>
        <v>31</v>
      </c>
      <c r="M24" s="7">
        <f t="shared" si="1"/>
        <v>3</v>
      </c>
      <c r="N24" s="7">
        <f t="shared" si="2"/>
        <v>2026</v>
      </c>
      <c r="O24" s="8">
        <v>46112</v>
      </c>
      <c r="P24" s="7" t="s">
        <v>12</v>
      </c>
      <c r="Q24" s="7">
        <v>5</v>
      </c>
      <c r="R24" s="9">
        <f>VLOOKUP(Tablo46[[#This Row],[ÇIKAN ÜRÜN]],ÜRÜNLER!D15:F29,3,0)</f>
        <v>1100</v>
      </c>
      <c r="S24" s="11">
        <f t="shared" si="3"/>
        <v>5500</v>
      </c>
    </row>
    <row r="25" spans="12:19" x14ac:dyDescent="0.25">
      <c r="L25" s="7">
        <f t="shared" si="0"/>
        <v>1</v>
      </c>
      <c r="M25" s="7">
        <f t="shared" si="1"/>
        <v>4</v>
      </c>
      <c r="N25" s="7">
        <f t="shared" si="2"/>
        <v>2026</v>
      </c>
      <c r="O25" s="8">
        <v>46113</v>
      </c>
      <c r="P25" s="7" t="s">
        <v>13</v>
      </c>
      <c r="Q25" s="7">
        <v>7</v>
      </c>
      <c r="R25" s="9">
        <f>VLOOKUP(Tablo46[[#This Row],[ÇIKAN ÜRÜN]],ÜRÜNLER!D16:F30,3,0)</f>
        <v>175</v>
      </c>
      <c r="S25" s="11">
        <f t="shared" si="3"/>
        <v>1225</v>
      </c>
    </row>
    <row r="26" spans="12:19" x14ac:dyDescent="0.25">
      <c r="L26" s="7">
        <f t="shared" si="0"/>
        <v>2</v>
      </c>
      <c r="M26" s="7">
        <f t="shared" si="1"/>
        <v>4</v>
      </c>
      <c r="N26" s="7">
        <f t="shared" si="2"/>
        <v>2026</v>
      </c>
      <c r="O26" s="8">
        <v>46114</v>
      </c>
      <c r="P26" s="7" t="s">
        <v>14</v>
      </c>
      <c r="Q26" s="7">
        <v>65</v>
      </c>
      <c r="R26" s="9">
        <f>VLOOKUP(Tablo46[[#This Row],[ÇIKAN ÜRÜN]],ÜRÜNLER!D17:F31,3,0)</f>
        <v>250</v>
      </c>
      <c r="S26" s="11">
        <f t="shared" si="3"/>
        <v>16250</v>
      </c>
    </row>
    <row r="27" spans="12:19" x14ac:dyDescent="0.25">
      <c r="L27" s="7">
        <f t="shared" ref="L27:L28" si="4">DAY(O27)</f>
        <v>3</v>
      </c>
      <c r="M27" s="7">
        <f t="shared" ref="M27:M28" si="5">MONTH(O27)</f>
        <v>4</v>
      </c>
      <c r="N27" s="7">
        <f t="shared" si="2"/>
        <v>2026</v>
      </c>
      <c r="O27" s="8">
        <v>46115</v>
      </c>
      <c r="P27" s="7" t="s">
        <v>15</v>
      </c>
      <c r="Q27" s="7">
        <v>5</v>
      </c>
      <c r="R27" s="9">
        <f>VLOOKUP(Tablo46[[#This Row],[ÇIKAN ÜRÜN]],ÜRÜNLER!D18:F32,3,0)</f>
        <v>4750</v>
      </c>
      <c r="S27" s="11">
        <f t="shared" ref="S27:S28" si="6">Q27*R27</f>
        <v>23750</v>
      </c>
    </row>
    <row r="28" spans="12:19" x14ac:dyDescent="0.25">
      <c r="L28" s="7">
        <f t="shared" si="4"/>
        <v>4</v>
      </c>
      <c r="M28" s="7">
        <f t="shared" si="5"/>
        <v>4</v>
      </c>
      <c r="N28" s="7">
        <f t="shared" si="2"/>
        <v>2026</v>
      </c>
      <c r="O28" s="8">
        <v>46116</v>
      </c>
      <c r="P28" s="7" t="s">
        <v>16</v>
      </c>
      <c r="Q28" s="7">
        <v>7</v>
      </c>
      <c r="R28" s="9">
        <f>VLOOKUP(Tablo46[[#This Row],[ÇIKAN ÜRÜN]],ÜRÜNLER!D19:F33,3,0)</f>
        <v>150</v>
      </c>
      <c r="S28" s="11">
        <f t="shared" si="6"/>
        <v>1050</v>
      </c>
    </row>
  </sheetData>
  <dataValidations count="1">
    <dataValidation type="list" allowBlank="1" showInputMessage="1" showErrorMessage="1" sqref="P15:P28" xr:uid="{74D0F38A-8791-4F99-9A90-E2B8AEFA08C9}">
      <formula1>URUNLER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FC835-63FB-4A75-BEFD-387F70AC4BCC}">
  <dimension ref="D6:F20"/>
  <sheetViews>
    <sheetView showGridLines="0" workbookViewId="0">
      <selection activeCell="E7" sqref="E7"/>
    </sheetView>
  </sheetViews>
  <sheetFormatPr defaultRowHeight="15" x14ac:dyDescent="0.25"/>
  <cols>
    <col min="1" max="3" width="9.140625" style="1"/>
    <col min="4" max="4" width="15" style="1" customWidth="1"/>
    <col min="5" max="5" width="12.42578125" style="1" customWidth="1"/>
    <col min="6" max="6" width="12.85546875" style="1" customWidth="1"/>
    <col min="7" max="16384" width="9.140625" style="1"/>
  </cols>
  <sheetData>
    <row r="6" spans="4:6" ht="19.5" x14ac:dyDescent="0.25">
      <c r="D6" s="2" t="s">
        <v>0</v>
      </c>
      <c r="E6" s="2" t="s">
        <v>1</v>
      </c>
      <c r="F6" s="2" t="s">
        <v>2</v>
      </c>
    </row>
    <row r="7" spans="4:6" ht="17.25" x14ac:dyDescent="0.25">
      <c r="D7" s="3" t="s">
        <v>3</v>
      </c>
      <c r="E7" s="4">
        <v>40</v>
      </c>
      <c r="F7" s="4">
        <v>60</v>
      </c>
    </row>
    <row r="8" spans="4:6" ht="17.25" x14ac:dyDescent="0.3">
      <c r="D8" s="5" t="s">
        <v>4</v>
      </c>
      <c r="E8" s="4">
        <v>150</v>
      </c>
      <c r="F8" s="4">
        <v>320</v>
      </c>
    </row>
    <row r="9" spans="4:6" ht="17.25" x14ac:dyDescent="0.3">
      <c r="D9" s="5" t="s">
        <v>5</v>
      </c>
      <c r="E9" s="4">
        <v>80</v>
      </c>
      <c r="F9" s="4">
        <v>120</v>
      </c>
    </row>
    <row r="10" spans="4:6" ht="17.25" x14ac:dyDescent="0.3">
      <c r="D10" s="5" t="s">
        <v>6</v>
      </c>
      <c r="E10" s="4">
        <v>120</v>
      </c>
      <c r="F10" s="4">
        <v>200</v>
      </c>
    </row>
    <row r="11" spans="4:6" ht="17.25" x14ac:dyDescent="0.3">
      <c r="D11" s="5" t="s">
        <v>7</v>
      </c>
      <c r="E11" s="4">
        <v>3200</v>
      </c>
      <c r="F11" s="4">
        <v>4500</v>
      </c>
    </row>
    <row r="12" spans="4:6" ht="17.25" x14ac:dyDescent="0.3">
      <c r="D12" s="5" t="s">
        <v>8</v>
      </c>
      <c r="E12" s="4">
        <v>280</v>
      </c>
      <c r="F12" s="4">
        <v>550</v>
      </c>
    </row>
    <row r="13" spans="4:6" ht="17.25" x14ac:dyDescent="0.3">
      <c r="D13" s="5" t="s">
        <v>9</v>
      </c>
      <c r="E13" s="4">
        <v>3000</v>
      </c>
      <c r="F13" s="4">
        <v>4500</v>
      </c>
    </row>
    <row r="14" spans="4:6" ht="17.25" x14ac:dyDescent="0.3">
      <c r="D14" s="5" t="s">
        <v>10</v>
      </c>
      <c r="E14" s="4">
        <v>1100</v>
      </c>
      <c r="F14" s="4">
        <v>1750</v>
      </c>
    </row>
    <row r="15" spans="4:6" ht="17.25" x14ac:dyDescent="0.3">
      <c r="D15" s="5" t="s">
        <v>11</v>
      </c>
      <c r="E15" s="4">
        <v>350</v>
      </c>
      <c r="F15" s="4">
        <v>475</v>
      </c>
    </row>
    <row r="16" spans="4:6" ht="17.25" x14ac:dyDescent="0.3">
      <c r="D16" s="5" t="s">
        <v>12</v>
      </c>
      <c r="E16" s="4">
        <v>600</v>
      </c>
      <c r="F16" s="4">
        <v>1100</v>
      </c>
    </row>
    <row r="17" spans="4:6" ht="17.25" x14ac:dyDescent="0.3">
      <c r="D17" s="5" t="s">
        <v>13</v>
      </c>
      <c r="E17" s="4">
        <v>100</v>
      </c>
      <c r="F17" s="4">
        <v>175</v>
      </c>
    </row>
    <row r="18" spans="4:6" ht="17.25" x14ac:dyDescent="0.3">
      <c r="D18" s="5" t="s">
        <v>14</v>
      </c>
      <c r="E18" s="4">
        <v>300</v>
      </c>
      <c r="F18" s="4">
        <v>250</v>
      </c>
    </row>
    <row r="19" spans="4:6" ht="17.25" x14ac:dyDescent="0.3">
      <c r="D19" s="5" t="s">
        <v>15</v>
      </c>
      <c r="E19" s="4">
        <v>3500</v>
      </c>
      <c r="F19" s="4">
        <v>4750</v>
      </c>
    </row>
    <row r="20" spans="4:6" ht="17.25" x14ac:dyDescent="0.3">
      <c r="D20" s="5" t="s">
        <v>16</v>
      </c>
      <c r="E20" s="4">
        <v>100</v>
      </c>
      <c r="F20" s="4">
        <v>150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71323EA-949A-4954-96D8-6F2523219C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</vt:i4>
      </vt:variant>
    </vt:vector>
  </HeadingPairs>
  <TitlesOfParts>
    <vt:vector size="5" baseType="lpstr">
      <vt:lpstr>GENEL DURUM</vt:lpstr>
      <vt:lpstr>GİREN ÜRÜN</vt:lpstr>
      <vt:lpstr>ÇIKAN ÜRÜN</vt:lpstr>
      <vt:lpstr>ÜRÜNLER</vt:lpstr>
      <vt:lpstr>URUNLER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Tekin</dc:creator>
  <cp:lastModifiedBy>Ali Tekin</cp:lastModifiedBy>
  <dcterms:created xsi:type="dcterms:W3CDTF">2026-03-22T11:25:23Z</dcterms:created>
  <dcterms:modified xsi:type="dcterms:W3CDTF">2026-03-22T13:30:10Z</dcterms:modified>
</cp:coreProperties>
</file>