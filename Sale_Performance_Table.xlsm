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slicers/slicer1.xml" ContentType="application/vnd.ms-excel.slicer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hidePivotFieldList="1"/>
  <mc:AlternateContent xmlns:mc="http://schemas.openxmlformats.org/markup-compatibility/2006">
    <mc:Choice Requires="x15">
      <x15ac:absPath xmlns:x15ac="http://schemas.microsoft.com/office/spreadsheetml/2010/11/ac" url="D:\YEDEK\Yazilim Ile Alakali\Projects\5. Excel Projects\"/>
    </mc:Choice>
  </mc:AlternateContent>
  <xr:revisionPtr revIDLastSave="0" documentId="13_ncr:1_{59C4B621-FAF2-46D8-9C99-EDCEE0EA5910}" xr6:coauthVersionLast="47" xr6:coauthVersionMax="47" xr10:uidLastSave="{00000000-0000-0000-0000-000000000000}"/>
  <bookViews>
    <workbookView xWindow="-120" yWindow="-120" windowWidth="38640" windowHeight="21120" tabRatio="675" firstSheet="4" activeTab="4" xr2:uid="{C22F2BAB-0FD4-4132-B242-1105EEC0167F}"/>
  </bookViews>
  <sheets>
    <sheet name="Sayfa2" sheetId="2" state="hidden" r:id="rId1"/>
    <sheet name="Sayfa2 (2)" sheetId="3" state="hidden" r:id="rId2"/>
    <sheet name="Sayfa2 (3)" sheetId="4" state="hidden" r:id="rId3"/>
    <sheet name="Sayfa2 (4)" sheetId="5" state="hidden" r:id="rId4"/>
    <sheet name="Dashboard" sheetId="6" r:id="rId5"/>
    <sheet name="Ham Veri" sheetId="1" state="hidden" r:id="rId6"/>
  </sheets>
  <definedNames>
    <definedName name="_xlchart.v5.0" hidden="1">'Sayfa2 (2)'!$J$7</definedName>
    <definedName name="_xlchart.v5.1" hidden="1">'Sayfa2 (2)'!$J$8:$J$20</definedName>
    <definedName name="_xlchart.v5.10" hidden="1">'Sayfa2 (2)'!$K$7</definedName>
    <definedName name="_xlchart.v5.11" hidden="1">'Sayfa2 (2)'!$K$8:$K$20</definedName>
    <definedName name="_xlchart.v5.2" hidden="1">'Sayfa2 (2)'!$K$7</definedName>
    <definedName name="_xlchart.v5.3" hidden="1">'Sayfa2 (2)'!$K$8:$K$20</definedName>
    <definedName name="_xlchart.v5.4" hidden="1">'Sayfa2 (2)'!$J$7</definedName>
    <definedName name="_xlchart.v5.5" hidden="1">'Sayfa2 (2)'!$J$8:$J$20</definedName>
    <definedName name="_xlchart.v5.6" hidden="1">'Sayfa2 (2)'!$K$7</definedName>
    <definedName name="_xlchart.v5.7" hidden="1">'Sayfa2 (2)'!$K$8:$K$20</definedName>
    <definedName name="_xlchart.v5.8" hidden="1">'Sayfa2 (2)'!$J$7</definedName>
    <definedName name="_xlchart.v5.9" hidden="1">'Sayfa2 (2)'!$J$8:$J$20</definedName>
    <definedName name="Dilimleyici_FİRMA">#N/A</definedName>
    <definedName name="Dilimleyici_Şehir">#N/A</definedName>
    <definedName name="Dilimleyici_Ürün">#N/A</definedName>
    <definedName name="Dilimleyici_Yıl__TARİH">#N/A</definedName>
  </definedNames>
  <calcPr calcId="191029"/>
  <pivotCaches>
    <pivotCache cacheId="8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<sst xmlns="http://schemas.openxmlformats.org/spreadsheetml/2006/main" count="1069" uniqueCount="67">
  <si>
    <t>FİRMA</t>
  </si>
  <si>
    <t>TARİH</t>
  </si>
  <si>
    <t>Bölge</t>
  </si>
  <si>
    <t>Şehir</t>
  </si>
  <si>
    <t>Ürün</t>
  </si>
  <si>
    <t>Durum</t>
  </si>
  <si>
    <t>Adet</t>
  </si>
  <si>
    <t>Toplam Satış TL</t>
  </si>
  <si>
    <t>TRONX</t>
  </si>
  <si>
    <t>İç Anadolu</t>
  </si>
  <si>
    <t>Ankara</t>
  </si>
  <si>
    <t>Yazıcı</t>
  </si>
  <si>
    <t>Kargoda</t>
  </si>
  <si>
    <t>OLAYON</t>
  </si>
  <si>
    <t>Konya</t>
  </si>
  <si>
    <t>Drone</t>
  </si>
  <si>
    <t>HENEX</t>
  </si>
  <si>
    <t>Kayseri</t>
  </si>
  <si>
    <t>Kulaklık</t>
  </si>
  <si>
    <t>JENDY</t>
  </si>
  <si>
    <t>Eskişehir</t>
  </si>
  <si>
    <t>Webcam</t>
  </si>
  <si>
    <t>Teslim Edildi</t>
  </si>
  <si>
    <t>HUNZER</t>
  </si>
  <si>
    <t>Sivas</t>
  </si>
  <si>
    <t>Televizyon</t>
  </si>
  <si>
    <t>OYLAM</t>
  </si>
  <si>
    <t>Kırıkkale</t>
  </si>
  <si>
    <t>Hard Disk</t>
  </si>
  <si>
    <t>BEVEZ</t>
  </si>
  <si>
    <t>Aksaray</t>
  </si>
  <si>
    <t>Oyun Konsolu</t>
  </si>
  <si>
    <t>SAVUR</t>
  </si>
  <si>
    <t>Karaman</t>
  </si>
  <si>
    <t>Telefon</t>
  </si>
  <si>
    <t>MENDY</t>
  </si>
  <si>
    <t>Kırşehir</t>
  </si>
  <si>
    <t>ADAT</t>
  </si>
  <si>
    <t>Niğde</t>
  </si>
  <si>
    <t>KATYU</t>
  </si>
  <si>
    <t>Nevşehir</t>
  </si>
  <si>
    <t>GÖLAMA</t>
  </si>
  <si>
    <t>Yozgat</t>
  </si>
  <si>
    <t>ZARKAR</t>
  </si>
  <si>
    <t>Çankırı</t>
  </si>
  <si>
    <t>CUNMA</t>
  </si>
  <si>
    <t>USTERA</t>
  </si>
  <si>
    <t>Klavye</t>
  </si>
  <si>
    <t>Monitör</t>
  </si>
  <si>
    <t>Mouse</t>
  </si>
  <si>
    <t>Kamera</t>
  </si>
  <si>
    <t>Laptop</t>
  </si>
  <si>
    <t>Kartuş</t>
  </si>
  <si>
    <t>Satır Etiketleri</t>
  </si>
  <si>
    <t>Genel Toplam</t>
  </si>
  <si>
    <t>2021</t>
  </si>
  <si>
    <t>2022</t>
  </si>
  <si>
    <t>Sep</t>
  </si>
  <si>
    <t>Oct</t>
  </si>
  <si>
    <t>Nov</t>
  </si>
  <si>
    <t>Dec</t>
  </si>
  <si>
    <t>Jan</t>
  </si>
  <si>
    <t>Feb</t>
  </si>
  <si>
    <t>Mar</t>
  </si>
  <si>
    <t>Apr</t>
  </si>
  <si>
    <t>Toplam Toplam Satış TL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</si>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</sst>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yy"/>
    <numFmt numFmtId="165" formatCode="_-&quot;₺&quot;* #,##0.00_-;\-&quot;₺&quot;* #,##0.00_-;_-&quot;₺&quot;* &quot;-&quot;??_-;_-@_-"/>
  </numFmts>
  <fonts count="2">
    <font>
      <sz val="11"/>
      <color theme="1"/>
      <name val="Tw Cen MT"/>
      <family val="2"/>
      <scheme val="minor"/>
    </font>
    <font>
      <b/>
      <sz val="11"/>
      <color rgb="FFFF0000"/>
      <name val="Tw Cen MT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00B0F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0" fontId="0" fillId="0" borderId="0" xfId="0" applyNumberFormat="1"/>
    <xf numFmtId="0" fontId="0" fillId="3" borderId="0" xfId="0" applyFill="1"/>
  </cellXfs>
  <cellStyles count="1">
    <cellStyle name="Normal" xfId="0" builtinId="0"/>
  </cellStyles>
  <dxfs count="1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Tw Cen MT"/>
        <family val="2"/>
        <charset val="16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-&quot;₺&quot;* #,##0.00_-;\-&quot;₺&quot;* #,##0.00_-;_-&quot;₺&quot;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d/mm/yyyy"/>
      <alignment horizontal="center" vertical="bottom" textRotation="0" wrapText="0" indent="0" justifyLastLine="0" shrinkToFit="0" readingOrder="0"/>
    </dxf>
    <dxf>
      <numFmt numFmtId="164" formatCode="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rgb="FF00B0F0"/>
        </bottom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0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[2. Proje.xlsm]Sayfa2!PivotTable1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Sayfa2!$B$3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Sayfa2!$A$4:$A$14</c:f>
              <c:multiLvlStrCache>
                <c:ptCount val="8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</c:lvl>
                <c:lvl>
                  <c:pt idx="0">
                    <c:v>2021</c:v>
                  </c:pt>
                  <c:pt idx="4">
                    <c:v>2022</c:v>
                  </c:pt>
                </c:lvl>
              </c:multiLvlStrCache>
            </c:multiLvlStrRef>
          </c:cat>
          <c:val>
            <c:numRef>
              <c:f>Sayfa2!$B$4:$B$14</c:f>
              <c:numCache>
                <c:formatCode>_-"₺"* #,##0.00_-;\-"₺"* #,##0.00_-;_-"₺"* "-"??_-;_-@_-</c:formatCode>
                <c:ptCount val="8"/>
                <c:pt idx="0">
                  <c:v>434775</c:v>
                </c:pt>
                <c:pt idx="1">
                  <c:v>1135710</c:v>
                </c:pt>
                <c:pt idx="2">
                  <c:v>980113</c:v>
                </c:pt>
                <c:pt idx="3">
                  <c:v>1093272</c:v>
                </c:pt>
                <c:pt idx="4">
                  <c:v>1086134</c:v>
                </c:pt>
                <c:pt idx="5">
                  <c:v>1056197</c:v>
                </c:pt>
                <c:pt idx="6">
                  <c:v>1189537</c:v>
                </c:pt>
                <c:pt idx="7">
                  <c:v>311582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08D-4DCF-9104-2F0C358A0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3628944"/>
        <c:axId val="1033629424"/>
      </c:lineChart>
      <c:catAx>
        <c:axId val="103362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629424"/>
        <c:crosses val="autoZero"/>
        <c:auto val="1"/>
        <c:lblAlgn val="ctr"/>
        <c:lblOffset val="100"/>
        <c:noMultiLvlLbl val="0"/>
      </c:catAx>
      <c:valAx>
        <c:axId val="1033629424"/>
        <c:scaling>
          <c:orientation val="minMax"/>
        </c:scaling>
        <c:delete val="0"/>
        <c:axPos val="l"/>
        <c:numFmt formatCode="_-&quot;₺&quot;* #,##0.00_-;\-&quot;₺&quot;* #,##0.00_-;_-&quot;₺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62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[2. Proje.xlsm]Sayfa2 (3)!PivotTable1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'Sayfa2 (3)'!$B$3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'Sayfa2 (3)'!$A$4:$A$6</c:f>
              <c:strCache>
                <c:ptCount val="2"/>
                <c:pt idx="0">
                  <c:v>Kargoda</c:v>
                </c:pt>
                <c:pt idx="1">
                  <c:v>Teslim Edildi</c:v>
                </c:pt>
              </c:strCache>
            </c:strRef>
          </c:cat>
          <c:val>
            <c:numRef>
              <c:f>'Sayfa2 (3)'!$B$4:$B$6</c:f>
              <c:numCache>
                <c:formatCode>0.00%</c:formatCode>
                <c:ptCount val="2"/>
                <c:pt idx="0">
                  <c:v>0.67265345833584911</c:v>
                </c:pt>
                <c:pt idx="1">
                  <c:v>0.32734654166415089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D-4559-B630-641938FD2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[2. Proje.xlsm]Sayfa2 (4)!PivotTable1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'Sayfa2 (4)'!$B$3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'Sayfa2 (4)'!$A$4:$A$19</c:f>
              <c:strCache>
                <c:ptCount val="15"/>
                <c:pt idx="0">
                  <c:v>ADAT</c:v>
                </c:pt>
                <c:pt idx="1">
                  <c:v>BEVEZ</c:v>
                </c:pt>
                <c:pt idx="2">
                  <c:v>CUNMA</c:v>
                </c:pt>
                <c:pt idx="3">
                  <c:v>GÖLAMA</c:v>
                </c:pt>
                <c:pt idx="4">
                  <c:v>HENEX</c:v>
                </c:pt>
                <c:pt idx="5">
                  <c:v>HUNZER</c:v>
                </c:pt>
                <c:pt idx="6">
                  <c:v>JENDY</c:v>
                </c:pt>
                <c:pt idx="7">
                  <c:v>KATYU</c:v>
                </c:pt>
                <c:pt idx="8">
                  <c:v>MENDY</c:v>
                </c:pt>
                <c:pt idx="9">
                  <c:v>OLAYON</c:v>
                </c:pt>
                <c:pt idx="10">
                  <c:v>OYLAM</c:v>
                </c:pt>
                <c:pt idx="11">
                  <c:v>SAVUR</c:v>
                </c:pt>
                <c:pt idx="12">
                  <c:v>TRONX</c:v>
                </c:pt>
                <c:pt idx="13">
                  <c:v>USTERA</c:v>
                </c:pt>
                <c:pt idx="14">
                  <c:v>ZARKAR</c:v>
                </c:pt>
              </c:strCache>
            </c:strRef>
          </c:cat>
          <c:val>
            <c:numRef>
              <c:f>'Sayfa2 (4)'!$B$4:$B$19</c:f>
              <c:numCache>
                <c:formatCode>_-"₺"* #,##0.00_-;\-"₺"* #,##0.00_-;_-"₺"* "-"??_-;_-@_-</c:formatCode>
                <c:ptCount val="15"/>
                <c:pt idx="0">
                  <c:v>455340</c:v>
                </c:pt>
                <c:pt idx="1">
                  <c:v>383740</c:v>
                </c:pt>
                <c:pt idx="2">
                  <c:v>473846</c:v>
                </c:pt>
                <c:pt idx="3">
                  <c:v>455008</c:v>
                </c:pt>
                <c:pt idx="4">
                  <c:v>374480</c:v>
                </c:pt>
                <c:pt idx="5">
                  <c:v>498000</c:v>
                </c:pt>
                <c:pt idx="6">
                  <c:v>684401</c:v>
                </c:pt>
                <c:pt idx="7">
                  <c:v>654293</c:v>
                </c:pt>
                <c:pt idx="8">
                  <c:v>438393</c:v>
                </c:pt>
                <c:pt idx="9">
                  <c:v>424180</c:v>
                </c:pt>
                <c:pt idx="10">
                  <c:v>393754</c:v>
                </c:pt>
                <c:pt idx="11">
                  <c:v>545579</c:v>
                </c:pt>
                <c:pt idx="12">
                  <c:v>681954</c:v>
                </c:pt>
                <c:pt idx="13">
                  <c:v>417719</c:v>
                </c:pt>
                <c:pt idx="14">
                  <c:v>406633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B-4136-905F-4C9036EF9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7548912"/>
        <c:axId val="1247549392"/>
      </c:barChart>
      <c:catAx>
        <c:axId val="124754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549392"/>
        <c:crosses val="autoZero"/>
        <c:auto val="1"/>
        <c:lblAlgn val="ctr"/>
        <c:lblOffset val="100"/>
        <c:noMultiLvlLbl val="0"/>
      </c:catAx>
      <c:valAx>
        <c:axId val="1247549392"/>
        <c:scaling>
          <c:orientation val="minMax"/>
        </c:scaling>
        <c:delete val="0"/>
        <c:axPos val="l"/>
        <c:numFmt formatCode="_-&quot;₺&quot;* #,##0.00_-;\-&quot;₺&quot;* #,##0.00_-;_-&quot;₺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54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[2. Proje.xlsm]Sayfa2!PivotTable1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Sayfa2!$B$3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Sayfa2!$A$4:$A$14</c:f>
              <c:multiLvlStrCache>
                <c:ptCount val="8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</c:lvl>
                <c:lvl>
                  <c:pt idx="0">
                    <c:v>2021</c:v>
                  </c:pt>
                  <c:pt idx="4">
                    <c:v>2022</c:v>
                  </c:pt>
                </c:lvl>
              </c:multiLvlStrCache>
            </c:multiLvlStrRef>
          </c:cat>
          <c:val>
            <c:numRef>
              <c:f>Sayfa2!$B$4:$B$14</c:f>
              <c:numCache>
                <c:formatCode>_-"₺"* #,##0.00_-;\-"₺"* #,##0.00_-;_-"₺"* "-"??_-;_-@_-</c:formatCode>
                <c:ptCount val="8"/>
                <c:pt idx="0">
                  <c:v>434775</c:v>
                </c:pt>
                <c:pt idx="1">
                  <c:v>1135710</c:v>
                </c:pt>
                <c:pt idx="2">
                  <c:v>980113</c:v>
                </c:pt>
                <c:pt idx="3">
                  <c:v>1093272</c:v>
                </c:pt>
                <c:pt idx="4">
                  <c:v>1086134</c:v>
                </c:pt>
                <c:pt idx="5">
                  <c:v>1056197</c:v>
                </c:pt>
                <c:pt idx="6">
                  <c:v>1189537</c:v>
                </c:pt>
                <c:pt idx="7">
                  <c:v>311582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CCF-4E2C-837E-9565F98F4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3628944"/>
        <c:axId val="1033629424"/>
      </c:lineChart>
      <c:catAx>
        <c:axId val="103362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629424"/>
        <c:crosses val="autoZero"/>
        <c:auto val="1"/>
        <c:lblAlgn val="ctr"/>
        <c:lblOffset val="100"/>
        <c:noMultiLvlLbl val="0"/>
      </c:catAx>
      <c:valAx>
        <c:axId val="1033629424"/>
        <c:scaling>
          <c:orientation val="minMax"/>
        </c:scaling>
        <c:delete val="0"/>
        <c:axPos val="l"/>
        <c:numFmt formatCode="_-&quot;₺&quot;* #,##0.00_-;\-&quot;₺&quot;* #,##0.00_-;_-&quot;₺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62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[2. Proje.xlsm]Sayfa2 (3)!PivotTable1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'Sayfa2 (3)'!$B$3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08-4CA6-93CB-01AC03D277D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08-4CA6-93CB-01AC03D277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'Sayfa2 (3)'!$A$4:$A$6</c:f>
              <c:strCache>
                <c:ptCount val="2"/>
                <c:pt idx="0">
                  <c:v>Kargoda</c:v>
                </c:pt>
                <c:pt idx="1">
                  <c:v>Teslim Edildi</c:v>
                </c:pt>
              </c:strCache>
            </c:strRef>
          </c:cat>
          <c:val>
            <c:numRef>
              <c:f>'Sayfa2 (3)'!$B$4:$B$6</c:f>
              <c:numCache>
                <c:formatCode>0.00%</c:formatCode>
                <c:ptCount val="2"/>
                <c:pt idx="0">
                  <c:v>0.67265345833584911</c:v>
                </c:pt>
                <c:pt idx="1">
                  <c:v>0.32734654166415089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08-4CA6-93CB-01AC03D2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[2. Proje.xlsm]Sayfa2 (4)!PivotTable1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0">
            <a:solidFill>
              <a:schemeClr val="accent1">
                <a:shade val="1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171851112100747"/>
          <c:y val="1.9604468754096986E-2"/>
          <c:w val="0.87551645647677157"/>
          <c:h val="0.879277411656034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'Sayfa2 (4)'!$B$3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 w="0">
              <a:solidFill>
                <a:schemeClr val="accent1">
                  <a:shade val="1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'Sayfa2 (4)'!$A$4:$A$19</c:f>
              <c:strCache>
                <c:ptCount val="15"/>
                <c:pt idx="0">
                  <c:v>ADAT</c:v>
                </c:pt>
                <c:pt idx="1">
                  <c:v>BEVEZ</c:v>
                </c:pt>
                <c:pt idx="2">
                  <c:v>CUNMA</c:v>
                </c:pt>
                <c:pt idx="3">
                  <c:v>GÖLAMA</c:v>
                </c:pt>
                <c:pt idx="4">
                  <c:v>HENEX</c:v>
                </c:pt>
                <c:pt idx="5">
                  <c:v>HUNZER</c:v>
                </c:pt>
                <c:pt idx="6">
                  <c:v>JENDY</c:v>
                </c:pt>
                <c:pt idx="7">
                  <c:v>KATYU</c:v>
                </c:pt>
                <c:pt idx="8">
                  <c:v>MENDY</c:v>
                </c:pt>
                <c:pt idx="9">
                  <c:v>OLAYON</c:v>
                </c:pt>
                <c:pt idx="10">
                  <c:v>OYLAM</c:v>
                </c:pt>
                <c:pt idx="11">
                  <c:v>SAVUR</c:v>
                </c:pt>
                <c:pt idx="12">
                  <c:v>TRONX</c:v>
                </c:pt>
                <c:pt idx="13">
                  <c:v>USTERA</c:v>
                </c:pt>
                <c:pt idx="14">
                  <c:v>ZARKAR</c:v>
                </c:pt>
              </c:strCache>
            </c:strRef>
          </c:cat>
          <c:val>
            <c:numRef>
              <c:f>'Sayfa2 (4)'!$B$4:$B$19</c:f>
              <c:numCache>
                <c:formatCode>_-"₺"* #,##0.00_-;\-"₺"* #,##0.00_-;_-"₺"* "-"??_-;_-@_-</c:formatCode>
                <c:ptCount val="15"/>
                <c:pt idx="0">
                  <c:v>455340</c:v>
                </c:pt>
                <c:pt idx="1">
                  <c:v>383740</c:v>
                </c:pt>
                <c:pt idx="2">
                  <c:v>473846</c:v>
                </c:pt>
                <c:pt idx="3">
                  <c:v>455008</c:v>
                </c:pt>
                <c:pt idx="4">
                  <c:v>374480</c:v>
                </c:pt>
                <c:pt idx="5">
                  <c:v>498000</c:v>
                </c:pt>
                <c:pt idx="6">
                  <c:v>684401</c:v>
                </c:pt>
                <c:pt idx="7">
                  <c:v>654293</c:v>
                </c:pt>
                <c:pt idx="8">
                  <c:v>438393</c:v>
                </c:pt>
                <c:pt idx="9">
                  <c:v>424180</c:v>
                </c:pt>
                <c:pt idx="10">
                  <c:v>393754</c:v>
                </c:pt>
                <c:pt idx="11">
                  <c:v>545579</c:v>
                </c:pt>
                <c:pt idx="12">
                  <c:v>681954</c:v>
                </c:pt>
                <c:pt idx="13">
                  <c:v>417719</c:v>
                </c:pt>
                <c:pt idx="14">
                  <c:v>406633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20-4E47-95B5-B9C799E33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overlap val="-30"/>
        <c:axId val="1247548912"/>
        <c:axId val="1247549392"/>
      </c:barChart>
      <c:catAx>
        <c:axId val="124754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549392"/>
        <c:crosses val="autoZero"/>
        <c:auto val="1"/>
        <c:lblAlgn val="ctr"/>
        <c:lblOffset val="100"/>
        <c:noMultiLvlLbl val="0"/>
      </c:catAx>
      <c:valAx>
        <c:axId val="1247549392"/>
        <c:scaling>
          <c:orientation val="minMax"/>
        </c:scaling>
        <c:delete val="0"/>
        <c:axPos val="l"/>
        <c:numFmt formatCode="_-&quot;₺&quot;* #,##0.00_-;\-&quot;₺&quot;* #,##0.00_-;_-&quot;₺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54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</cx:f>
        <cx:nf>_xlchart.v5.4</cx:nf>
      </cx:strDim>
      <cx:numDim type="colorVal">
        <cx:f>_xlchart.v5.7</cx:f>
        <cx:nf>_xlchart.v5.6</cx:nf>
      </cx:numDim>
    </cx:data>
  </cx:chartData>
  <cx:chart>
    <cx:plotArea>
      <cx:plotAreaRegion>
        <cx:series layoutId="regionMap" uniqueId="{FC7DD6EB-0F78-4130-A7D3-E2B95190908D}">
          <cx:dataId val="0"/>
          <cx:layoutPr>
            <cx:geography viewedRegionType="dataOnly" cultureLanguage="tr-TR" cultureRegion="TR" attribution="Bing ile güçlendirilmiştir">
              <cx:geoCache provider="{E9337A44-BEBE-4D9F-B70C-5C5E7DAFC167}">
                <cx:binary>1Hvbct04luWvZPh56ARxIYiKyo5o8HLuR3fZ8gtDlmQSvIFXEOQPzGf0N/T7vHXNf80+suW0Va7K
6ojsiHGE4kiHIEgQC9hr7bWpvz7YvzyUT/fdL7Yq6/4vD/a3N9kwNH/59df+IXuq7vu3lXrodK8/
DW8fdPWr/vRJPTz9+tjdT6pOf8XIpb8+ZPfd8GTf/Ntf4Wrpk97rh/tB6fpifOrmy6d+LIf+n7T9
sOmX+8dK1aHqh049DO5vb3Z/+8/ub/9ZFPfl05tfnupBDfP13Dz99ua7E9/88uvry/3drX8pYXTD
+Ah9iXjre8RjLubMI5R73ptfSl2nL83kLUcuF5z6jDCXefjl1sf7Crr/i2N6HtH942P31PfwXM+/
X3X+7iFetT3osR5OE5nCnP725vq//k9XqBlmQfU6+NwW6NPTXF8+P/6v36Pwb399dQAm5NWRb4B6
PXt/1PR3OP170d939/PLRP0JGPlvKWGMej5nr9HxCeOcYx9zl/qUvtz0Mzr/wkh+jMzXjq9Q+Xr8
50JkB3hU9/XL5PwJiPC3yMfEJYxwJrjH/m7XYEoF9ijDsLm4K15u/WXX/PF4fozL1wd5hcvX4z8X
Lv9eFzATL3PzJ8Ai3nJfUM/zGRcugnD1/XbBb5lPPeq7BBNM8WtY/ng4P0blpd8rUF4O/1yY/Nf/
vq+LZ6b583Ch6C1AIhhDQDCIUwws8j3JUEqID03c9xGc+XLrz9vlXxvSj7H5tu8rfL5t+rkw2t3P
/VOnXmbpT9g4/lsPES4Q9glGxMWveIa99QlsHMQQFlh4vv9y65d49ofj+TE6Xx/kFTRfj/9cuER9
of7vfzxlqnuZnz8BGgHQCMwxAlw48THM/bd7x32LuOsjBGwkCGHilQT414b0Y3S+7fsKoG+bfi6M
Tor1fwAjwIYL33MpQ65g5HuM6FsXu5Qi3+eUuS7/gYj+4yH9GKNvH+cVRt82/VwYHZ/MH8/HfzPP
8UEacBDLhCCCMX6d59C33EXIRQz7zKP0hODnFOtzhPuXRvRjhL7p+gqgb1p+Lnx2up7/TNnmv0UE
SIUSxGELkdch7iTbkAeSjvkCTjolQd9i84ej+TEuX7q9wuTL0Z8Lj6P62388Qjr8p5kC/K1AlFLX
J4QKoB8glW85h771POxyH5GTpuO++3LrL5vlD4fzY0ReHuMVJC+Hfy5MrpS571/m5U+RAcxzmRCc
AJMwkGjfQ8LfgjKDFs4ZEcg7Cbhv98gfjubHiHzp9gqQL0d/Ljzu9JLeDy+z8qcAAiEJOMPjnIJw
Jq/2CHuLqSAcMWj9Aef/8XB+jMhLv1eQvBz+/xuTfzi6bwPXdyf9d91M/63wBYJ59xFzOeOvxDID
I+2U+YOh6f/AzfzdWPzHA/oxLL/3/G74//Ne5T/2Mb+6vuH9cB8928XfWJn/vPX5IcHHftX1nxHM
5xnbPP725rQnPN/l32B3us538eikTV952d93fbrvB3CnQTnDpcBhI8BFTBDAc3p6biGwv7BAyKc+
8X3vpKlr3Q3Zb2/AbSCg71zoR0E4AD+9+aXX46kJ3G7CXQa70odfPqS6Xy37c13Oqa6/zsuX77/U
Y3WuVT30v73BJ/e7+XzeabQcdjgWLnAk2OOUuwQhaH+4v4S6AJzu/q/Gr43pyyENl3G0Yd1c25ke
eqdvVqypx7iAwUntU3PWpcl10dkxyGxvLglpy6NxvW1ZFdPl8yGjjQ1IbuJhmMZVwVPv3URJKucB
l2eWZd7NPI+Stwt756a42FdaqSBLV7lu+h0ZWLrCJc9lljb8kmXFFC76zBQ92TSdGs8wWUSgusJ8
SHKxIstA1xq3c4QbwreM8V7axXWkydPqOGeoD0ze12fNuK1zo2J3Gvp7/t5zzMFrqTofM3gskzlu
1PCxiIvCkzMavAhlbbuyTTlHTumRQKemCswkTNSILjmodFyhjHhbXo7w4YoqrhtVBWgyu9TLs02H
kjKiaF5XviiDsqrllEzeMTfTmS398sxpnNgV6rKGZPiQJh6XKcdsJ2afyHzyllU5zXmMh+TotmjZ
KNaIoEtxFohyagLXdovsraiOg16qI8Z+ExRV60dVcm6KORA5D8es9eUk6v6sb1gdelrgAxl8d8/d
koWVUwwfrN+FTcf9eDCFjX1SJ0GjBJWtyp+UcrK9qh9oOsXcMc5tNqGHecrMRZsklyUSaA3zNYSp
Z1g0iJkfRpTStRnJTaEEP0zpgAOVNHYzZQnaVJYFVZE6snQ8e1OTZpRukWYr2jnt9vnDprrbDr3b
yF5YLitsH2d3VkR2bp0TmZb6XT8hK5dm7CNajPhdORd382jn0Ev8oHQ6Lq3g7b6JMmuSnSK9FFMb
LUM2xpq7PGxxVW1V5dKITu1d3jMelK1QEhbJeKibIiwmXEfTPNjI2oquh7ZX0rXs0sywiMpMKZkV
K5fM5jAms3foYOus9bhQ2dOkWeWgLVdY6eKOFYWkzGzI6K0Wq9q7cUl4AHF+3NXJhG4rbYK2quiZ
YO17J8fpeZ1SFvZpiUNddun5UqXpuac6scaZSaWDtqht49Fb+m3p53RTkGoJOLVdMBsfXz5/dB26
p0XCd7gxzd5LikVOyk0lGnIWN0NrQ1fkH4lWhXTd1tt0U9FuTU4JrEWr9iMaj7lf++9Tg6Ou9PUN
WhYmS+OmIUEjj8c6ry6K3IjADuPwjnXVZvREgMrZyvyJK0+cDVhV0kt2tPaaG2IddV2PvqzLTN/W
nZvskXbDZZiygIxJdm4nr9rNFj2gQtzqSpMkXGZ93nXuFFa9bSQppvO6yLxQDK0bZGUvXabSMKcu
3/lDz3eFKrCc8eJIPKnpnOhRdtp8QHXfHmvrX3xbX/suZD7oZu5Umn0pdH79+m/XuoKf54Lb7wdP
ddLfvx1eCqz/9KzVkz7lF/3rk04U+PVav5f2Tpzztc73isg+l2T/Acv908bvKPA7rn+RlidmwAT0
99c67N+x3+9q4XfWfO7ymfUoPdmtwufguJIvfvhn1sPsrcdBVILTBFz4uVr7wnr4LbgXUI+i4EF9
ScpeWA/sW5cBWz4XEF+e+jv0gOt/QHin+sn3fHfyiAUFUoXKFpRRwCX5ju+6wYyceGPQ+WJcjS2R
fB74tkw8jSRXaIhUUzT3PTN5LkvR8HAw1FHSJKWkCUrjJUfmCnitOcMYbUr/RqtjRpdur5rcbn3W
qBKCl8VbVORIuqj4iC2lcVWN41YM0651ssfOL6tOuv1UB7oyeWBs0lyhaox6f85cuXRY8nKw5x1P
50M2Ak+iys1iYoRdZQO7eG5M+laW1dJFjW4/TULoC+WUjmyHau1qle/mApv1DI5EZEoeibRDB6Fq
HDt5QuIUoY/1VBy+WQM/mF2M6EkvfKcnoAhCQcC6YCRC3u2Bcvl2fouxx0PdMhNUtdHSsyyRVdEn
xw7j5Ej8po3crlORM04fFUvLo2s8fJOZ6ePgDsHQeuUVHlw37CaVnTd+X69wW/m7LE8S2deuymRf
lNV+wfvnjjXE4es2PeCuJjcW3/pNNeyUTWogbEXe0cye10vXXjSzGqS17RzAZOHNc9/nrxVQ5Ub3
cU99e7EsdRqV2p7+QgBDgtiuLNTWc0V7XTS3ELqmQJVjvnZpqq5oU1SbtBcB0aw/YxCpq6C3dfOu
oklxyNJkkiip6rDHrt6IxaC1GNgUYlvbWzJnKp79ksR0Hr0bXUW2KLJ9xsp4JIQfPdb7x4z1hsia
eqVUpvBiZHDgp13+fsgrEmp2uuwg1HvV+ls8+mHGPLVJijyzUgO4K912uoonmsxhW/XAoZN5x8js
BBPBavv8VSf2rBsne0EyyiUltg5Ng5xDy5Y8EFm1fDCij5nfFrDW+mydUVFsFqL1Kq1Xzw+7FBU+
5l6xqf1hl448A1y7UrK+z7a1obDO8xboo51VNKVjdpfTrl3D2yZexEAK3DloXNdZruaQzU5Rxtgg
cphoPLG536mqiSuQwVPo2XrdL2w60o4l56jNgmak9FCN4q4h1uyJW5HIXRhe4WFhfYyguhoorLqw
5hxtn6FcqDeEHOlQ6NR5mubiJkfthrfWrhUf+IE4hB+sa6+wz/HKSxjbPX8syDRB5ek5dLk90iwv
NkPX6oPIUrafxpi1DT1W1TDth74MSWP7YBrKIdJJ7xwS1CWL1C3V67FP760z7+uM+JvsJJcGJ2Mr
NdhWzjanl5T6sZ14e/b8zSlNtrGQPMgs6/sVTYY2RFNuZMtYIRdhmzs2TmPA2yo7dCU5po64W3zd
HUlS9md25FdmdkClQ/VFGqWnPLAPJMP9mS6XoGtIc+hbu8+nrj2Mbl+tRSWqIOsWT6aT8CSnI92n
GXs0qCM77ZXvlqlCBzKOa5zkzb6l5qpyU3FVFM3GlN0jbsSwUm7nBWW3sLM5bS99v7hvrcfPHchm
pPVm8yHl/hUrfGmYbg9Nq4dLqHL7m8XLZD0/8aV/z1qRXdFlQEEOBLM3RtwYLrrbvOcqZpqoXTfh
bFXl4mpqSXaFu+bGbabLpPNl0hh98E8f6ULmHVV5wHGlj41wMjnOptj0vik3xJ+07BrNzz278HPL
PCfux1SAprOgvviy9ajmB+zgKZoWrwnqwSbHJu/cYzbI5vRFtSguMTKHzkv4+ejOOHRtU0fPF8y7
ogjz1OFxBwEkKLNs3qDaTa8bBhNdM+UFi0bj3mr7wUepODflyOUC8mXldK5/DkQjzgeNu2hu7BL+
fiwtjVj3WPXy+RRSq1SCpKI7k7RViElNVmKq62vHtO0mWXAdFAWvroULj0qLIn5uLOc5W+nemQOt
xhzQLsoPS2a//PX5mHVQsCwEHRmq45Gp/tNA1KEsOL9z9OAGXd2S9eeILHp4x8npMAjoCY93Vamj
yfOnlejwHENWQW5YUbmbXC08dMrCkbntmsuiYDrolrFaQeqHIdVyi1BDuAxSz3+Xec0SOTxFa1Ya
CCGW5hgEv3DOnz/Gqb7zk4FtrfJINDp4RXrnckj948zLaBL0xhlEHWK/vTH9Tng8k7RZ3vfav8ip
OlSJCDxfydYdtnOZ7XqCo4zOq6y9bd360jXOStA8WDgc6kHMZ30860WWNVqbTkvlF7ConFXrFNu2
/DCY5WBR+U6LupW18OMsr8PK69ajxbFI68AnXjQX3dbBWlbiHuddPCRufLoUdvOwphBYJh4ZlEbM
2CgnVPqNFxXIDRDOwnlsQ+y4GyflK4/hGJcEGIsFSwkRXs/bCWgATdWmU9VF4vWR8ZSsVBLqum7k
4IiLThWbhIkQcophYmcQTmPS8dWIYG+MyQYxegCdc1mmNC6T6ZAZvW5ovExpWNk2bhQHvpwPUHGX
OBfSpokstBPlWWB6GpKER12WrQadrhPI0Qq/j4ipoyItgjGb9qYUu9MkniZi4c45KXQwjtV6TNLd
yL1ILTrstdQ8wsPdKODx7Hu2LIGnbhFxNrUDMh8ngVJVxFu9ytwmLBwc0CwJRghcZeXHZeHGXRsv
CQkGd9pTJ1sR60ZDTlcKpXJaTFiW0Ebsjky+bFgbcZJumpnEo2PDStDDYulZ4jSb3vYRaotbL4Wc
pdSHfrGAg90P2RJMSb1JkzzuDA3ddtonIwLesDtnLm877R9N3gbOUkKU8QLVmzht6yifx1AQHfdt
J/k5ViRIbRY5kM9iIz2S7XyrN2PyWOpkY2C5VLXaC50EZeNJT3RrSqoLRbpIQbSacEhtFc9mDHrH
l+W0rDTGMaR10VAuqzblFyjtoyFFspnTTEKx90MGd0OwthCvgTdoGfOplNh4QeuWUYZsUPkbNqhj
L2BN1ktIHLg4aICUi9CiLrDZtCOpOcN+HZVNGvkkl77xL9tuk+EpLuHB7jPsBXnpHzy/in0BNoRo
PlYpCOus0sHpnmKY5Uj4upjb0Cb9mjR0lagQFtinoew/KD/ZzH22b3QXAp9HCbgL2Rpx56GdSOjX
Wvq4Cw3rtqhpVg5zIgVPlWE/rhznXKXsNk/7w+kq6rpb8pVJxog1l24KigdWTslPUS+9GHsmR8GO
U2fXQ1rHfU5D7cyrsXACYUxY5DhOUufKNI9t768z08VtO4VJRcOuV6vTelb9fKiH4bZHZJeo5bzE
+RZGHrYluBx9lA5gNCRKdkCjydSvjPZWp+Oi44fC1/s2x5vKG4JRo0Mmum0+VjGDDT02k6SoCok3
n9HSl9gO29PvHvl7ZSmAd0pUDlXtbwjNDklntwnLoloXgaFt0AGUJ4x7dkRNJRtPRaU/b91+fwI5
UeXGVA0QYB/gKduTclgXHjlrFXse3IRpaI3dNsskp6a6PcXCSsxHDYlF/z5zcUhAqfp+L0cOTkA1
rkeM7ubJlTiuUw04zMeJgy51I7D34tl9OMWzcgfsdkEnL+oWsTG42jM/hyg2BoCrdAp2DaItGOgE
O6Q4dwsTIm+JLWniCZNzxqpAF+I9YcuW2Hy3NCA133cijdqlOJxQGBx24aZwRY+tllaHiTsfhFBh
2dXvDStBXIACnaCbpudO5hbSNs4DEO1qqu1dnybHuqmDvvRuklZHlYvWPp7kADYjBImgqvCqywbY
zLBx0n5rfRK7cxdjbs4YBMy0vic8hfn3Li3zVViT5JglXTiZ5DDmzrUuVkkji0btazKtNLAecpJN
mdOgm9Ntw2CmxvmQ2+my4X6YWhImGkdNp4HK6XLLkNkUrrsjeFrjhazTmt0x4x0qPAR4CHE/hX6F
UwmyJpOkRu/ywkll2aoPy0jDeUElhHkfHK35RpCbviguksTsSlFCqguTOfFhxW2ZS0L9tUfw0Vc8
YMMIc+W9z7ukDm0x7lVq7wZYvx5q3tfzela0CZrG2fLev+pHtZ9qLuv0A+kvklS8GzIW+n525tXt
oWu9Xenqbea18SzqXYJHcNCq9K5y6hvkOPC6eF9L1JkVcxroTe+1m76nhh6KcQEjqUA0hGqVpPTa
wRlERLMuk2Kd8vXMwN3yZozk4vObJiujeqarrJgr2aWchzj1YZHiC6NV2GaokiCinkDr75NyehSe
+cBGFZnZNJKBrOsx7EJn+aDyGN63WKfE8WD6i4sn3Ip9i7yPHthzkiTNA2RGe4eSuJmHVV8tF1SR
TDr1sqtbuvFrBOxygYu+kAVphmDi3sfJJle9PVraXKTKuaZjf5507uU4rVXvXad+diMyGhVNEdcd
baVB5r3XoVratrnsksCtbC1zvuzTuX5qavxBL+/nxb1FzUCl6boPw5juuwzdK21WHp1uwWRsZZ7o
g1Pw68Hz4yXL40I1a0izV12/RC5D61mTe83TewLw1VavSGplqvrVUjvbfIk4LKqgcsjO8PY9vEZn
ZMFb2I7HrO2urBJ3npcPsnXqrXpsdbbrGgbut4U8LBQdpNma3BY17HcqLvGUHx197LF/SebyMIgy
5Fn+aIplO3bJJ1TUUjhArjo/Z6UC/dpsFcRDDfKsF2yfixFEiru16Jqh/iJ354+1rc7aVFwyiH8T
Xza4kafdqRZ0Axo3pMgNhTs8EgWpVOXeiqaYpTP4Y0COfYPf9UKyAcRDKRfrAtaa3ekySHm9wbl9
p/LmfeubS1gzt4Nu7lwH9PiUyVaXj4ttjtRJTTAO/dqDjV8Dw5sasmla2DNII9aqCZCT73DywZ29
D6Pwtt2iH6feacAzWo6FO7Og9WfZtWq9TNnRq6Vq6Jm/JDng7TwOoB8kfRxIiYOxcJ1g9p2wK9GD
7sZSJkPZyEmLkAJSJVmuHT7Kucn2QwLBzE0PY0pWIBytuy1mi8E6qs9ULg50rDOphLNW80o7EwrT
gnxUvNyqpZHU62CxGh6nQz+BGit2JXa2C7wQLvWoz5qKQqSFBGzV8CYgYgqHgaKg4VbJ0XcdMNcH
6YAkkMgpIGNaN5mC7S/eLblYIwgxqmLrZqhNuCD7sUJePDQgPfUSDYV/NxMSMkyAXPW2cPm9cPpz
DT44gxpUC3ILKhOb3o0EMvFixp2GqG/cOXKbYZXnNhRmuEmpuze2feel5sKpV3NJzt1qAO79wFMR
DFCDMehQtaZee5UG4tLYgYBzUNY/tKmPw9Ft/RDsv/XoCLOyttmZGkLngtpeNqi0UVtNKZiBdWAp
HOLtDIEgB28CYmfspe0VMHsdtH1Fgsl6D4XwM5nkdSULECYTxivHIavaqiCpGgSpvQcbLTNQcki9
VsKgV0tBDrjhF1290nN+vnT2wtoUZHsxfrD1FTVsJXz3TCN/TSooRyRTquUyPizFstOZ3oDFcTHw
+sJC8r6qcxVw494Yt//oV7ARkjpwcl3Ljo+7wlfAMpd4brZp6hwXBnbMwTTaSA5gtTSJXCf/1DOh
ZVLUH5ICKAWyfdpOAS3B+IFYMThFkDv8AlftGlbijtXp5ajMmVuB0dl3uyzFcTqquHUUKAIo+mAV
6PHWjCxckmIvJr5qKv6uTesIkvA4I5PU+EY3YjsUScgKFrnlRwdICM3NQZW4CChLDgIynmQCVQqy
WGIHxc2kNpTcdGkV9VO2WZqP5dSFpFAR1L1kXfCoysxqBkHvdmXQe/YK/ldKWgzhB9zT96OaA2eA
tAr1O7dP6hVvsF0XegRZV9UbqNVAPSuLGojtUT3RMwNmjDSLewdJ7JU/VmY/CICwrcEQcNJ4nvml
SVKoTfSQj+R7b8llsrSg3frVtC/smAVtxm5868redLDZqqNYcClRg4FqLsFZA5rFUjvpmZtUcet7
V6mjz8DcjXM1rLJKHLgpV5a0QEGfKPB+NT/6A2QY7bKFrTsEbV0f4R+7oGg1xaKe1g1SIZ29C8rT
WDddlIMAXBLnU90kcVfoA+hO1N1rx7+1Lor7Ktm2un+a3DxChgQe1CtFlQKPedu641iCSxyrvMtl
fcq+kLPPfb2iY7Gx1As1zq95NsVjyQIoMDpQkiIZ2TeNenA8vUmhrlp5lYTiWeBVhZBKpWcCtCki
w7YZs1VSohVTKlZJedtc9Orj1JShfeKd2WY5hApG1kw064GXUAbD/h1N+/WEcDQyFhq0HGaabCbf
g8ywidwq7Bww500nVrnwLhVG29rDi1QMrL6Jpx+9KqvkMJJI98MnqEhdzpXyJPHf1aaA782GJSqC
fx07dwqoPxndrLRFkCVVUGgDfVn0/sq3/doisRKt/6loDt6JjZLA580q6dFtkdu1aPwdSmCnTFhC
neuMDk1UkMsGioEY/hFMuexIFrPrFgR+sI5phsLcZee55+ySEsdGD+eMFzd61ntwJM99f4AECTYc
yvYLgsiImxWkQu8H86BGtclsEi9pFqAmDcyYg5njB11efDQ9DjtaRWZp153Po4Wm27IpD73bRR5P
wMKAqO02Kqo0fufgKqAFCGjR7LPSN2t30R/NKZ00fmhpF/dJGSf5FMKLDvM+8zwkcyjIhiX4ISUb
TJAitw6LZAloldwliY27Xuxy5TtyGpszYmhQwpYpyYcRlw/Wh9jpcQqexy2jWk4pWqUQy2b22Hcp
vAgwn41tslu0CTW1EPu9T4AiTHIF7uVSbuqu/jixe27vGpSEHaePvjPs+qGRrZkkuMJxRef3Zsqv
epGBKcqIxCWN5wUse6hAg6EuEz+Rc8ukw4d3uhdhOkKabAUYFjORwrOBky6BXrwYKq3XDuXbduhj
27lgYkGZEhZZ5Jr14I5XAt6flw1hB3hFIhBdEQqHxVNKzie4KgdzGXaqLEtwvSvIZGYmoQze4vNR
QDpQXifefY238NO2PLRQPk8XNw0mZm5ZXq00sbGexJZM63o2UlfZ5v8RcmY7cvPYsn4iAqIkSuKt
hpwray4PN4Lt36ZEihRFan76HWXsi959DrpvEmWUYSszSa61Ir7gFsSnXbXHTRKak3gtY+ovku3P
STCWruGnluyXdqyvY7c87F1dQS/8PswZLOrI/KkDvuVoe6/xznNB9o99lR0ojuyIEn3p1sYWwuRZ
zy/T/NlKr7JgHQbbQX62IsU2iMKHN9X1OUGPWycibyCeLok943x4HUdftBm7ZNhDPZzeeGsuPhCn
lu85rR0AB3pM5/oSsO457umSW6MOcyRhL8vCbOxATV1ZGfVn5UvmMnMIe35vG5N37rA5WfGx06ih
4ZOCGpBSf6c6hBhicPZ62MA/1yGtFBchvN83/dm2pXz7MYBlUVP0smfNFTL227L/HjAqx7L5tvRR
sdV1BcEVQ74/6wHqbidpASPuFMZ9m7PjMvjjFN42tx6DhL+JsT2il/9hlvrGGnKHOXKct5/x2WOQ
KLqE5BPZX1xcH7i192CTlVS/p2UpRC2qVGIeJ2G1Wgy6UHviOXtnU7zldXTSM1zxeTnQopdKwKAJ
fksf3do5zFCfk6ImeKsZVvseF3TOqnQmP+IZs1/swHY0+uZm/h3ue7Z2ZzrSk+nInSwtoAOYl3MM
lT3gw4N3j37PzovDfzFIg5PvVUEObOEUVTzSudcap54rmmA7mkCc5YY3xLKilf0xya5xcG56UXAa
HhooAgyCpnWHjuZJGxbr2l4xWBQCB1C02EPC2Wm3fZVOTuRZtx66kT8B/iioXNGDt4URQG2S6YJp
9xR7XUwLeZIhmlQD84zZhzDti7QnWKh9RYK9zOzrtvgyicdyDacynV4CV6n25qX/xeu+8hMpm3Ys
VONv6fi92y5y0cUI263fHzRlVfpL9f8kE0aPoGiWZwzwxa4h8AbAXug5y846E6fAfCP0LZDvgfox
462n/9Qhf9p5U3KUgrkOQFWQitO2kFQfs3PitguO4j0YITWmeebgSXXoh9Mfy56+yiitkmHG1xBD
iuuBmtg8iffcHK14lQ2tllVWGAKT9urrDy233Jj0YUa/FdIZ2t8Oj/akb6iL2ktISdMlWy6kGUpM
SfkICCQyqmrSr7ArryFFhzCKKmkglI7hkzDfR/IlHs68vso4vrt5L9Px96LbJWdmPNEtvQfpmVMK
/+1PK4XLY/81zSrFrmtWF4Bzz3GQQND6zmawGZbcoeaGaXIJx/Frp9eqaaHbBz14ITZ9WtWXLD3R
1p8TnCLd3hcN+eLi6IZZDB2AboslID8zuz9l+w3S2+S+mA1iVU2KIGJ3tUsY7sGxg6MoTZ23Oy1U
khwW449ZoB5VR56bTp4zCkNKQ/3TBbN9MYbji9QY8hS+fgBDxQLJbgOOZrY86JqtCP2MMSv7lPzi
YyK2WxSIDXo2xKV+vITiMNdQ6paZ8dPmd4qyENiDWAjWtoqe+qhSdKC3RjT0Fnl+ghE9FnIK6+fm
88VB9w7Z9JzIOSv0bjnAOe5uDj0DGlMnOizFLX3U0zq+kM5dJtueJg1ixSjImT0Ml9vqVHMNM1kg
2Y7Wiy7Jg4Kxcp6bfiyH1bHXgDaq6hUmWh+TOzc8uKVwSmCLbGgDI3Me1qX+7ZfoBqnzCydiO5FW
xfcgbuiRpP4PbMvtSui2YVYX2/XvH10U+Fxpb9H14bd/XwbOvrcT+5I46p7lwvRTSj7EPPyEi8eu
Zg3LAajH49+XdmnANKmsKQ117DrFIuedoF86qmzJMOE/TuqG/Z1BTWvpjcdhfMxqBd9+E3VTSF8H
L3RooftZNVTZvAUv1iUvZtuGU9salIQh3L77HRDFvmNtAEJkua138dBtKBoMKOIhtsmea+u6Ox9r
9joZdRVLLb6l8/u6QZ8jqZ1zhhnXFcmIY4rCWF/rEbO894+EBrYga+t+cvVPzMgCPXHtICxmSZWl
Wlz+/mQg6x5FqNFNpfAC8uXT4yb2lslQv9mRJ4XaYl+My7xUQ5CF79Zep3Bib5mYoGE5467tzg8m
WNuvRKzlf8Ms/j+QBf8ESgMGVD5jn1Dnv0Cbg0mbtJvTqSD1tBZT1KLmMt59pHIkhzhucEr49Y+w
dfATopCxTt0im4jbfkxdf+xrBoMx7J70vKMpUrWuJBA8aLdN+EYxyB/+y+OCm/03JoRHHAlzzkL6
Cbt+Mjn/8riK7GMkgiUohkjoplz2Qix2v5MxQH+wiSogm3liS1vf1fRpbSfOPqoI1nhX7/U12UdM
6xtIvU9kQqr92WydsEUSD/8A/MJfyLr6CjihXOJU1zk856oxkj/+fdnl+FvT9//8juj/SxHxOAgB
zgcpB+UUgpz/13ckTJi1fdcEBab27Ib7L4ZH5/GYfU/uK4WbEPUE/X/aQ2tNbHshLHVFnSzvSmto
EWnCXvDFFn28rU/RaPnxvzzfJ8X0fykc7Cxcq8BCjjA5/fv8//KJz4KzmYQuKBS+bGi/61yZCJ92
JBewTGqH/tFS6OZpTLJbM7/twTYcO3x6978vYq6r//xEIQI1//eJ8FEFUYzwYMQ+wfXPNfIvT0Qb
kk38Ux9lni7VRMlcTgboHgvn/WbsCcbe9CYVVkYQXvqEhGfRBKrUolNoWhZ7NvHFRd1dJGp9YDB3
3QQRg/Eh+GDDACVCLunLf37mBHn7f3tq9jmRRPh+wwjB7ij4N5qpH4xH2w9DbmmY/gKBumh2ut+I
6HIeD7CoKe1yrOmCsRXAxCmMsv3s7QR0V5RhF4Tnfo0OYyOGHBeBBIeM1rBDvLtwqF9NPaVQV/QT
GxQtTdC1ReYKJpksvHbmJMCWyAHFzQvYj4rt9z2mv/qGz2VGwcWaeixmTZMSSo6fW3TpkOM6W9vL
npjnfo/qV5zEwIbDvkymEY6i9A/DOk35OILn2TsjyqmVcPK6uFw2rnPC5m+zmLBMaIxOP5vydRv+
aa343ol9rFTi4FZ52+Q7WmJ4e6ivPIa6FIki6bpCJmGDpn/sK7dEX51e1iI203QIenIco2HP7SSu
qcvYOUT/pDdI71yStnDTdpvH4ZqM7LcHgqvaqQMtupOKSZRWcMrFMgNqsib+XVP+2hJDL9CfX9LI
fifZerDZYA5xGrzGhIWnNFsAfmQHOa+/Q+p87kicFIRizAZKDX3+BtY7d2HwuBkNHx3DqTbbt2W2
GG3ZxxZScVyzHe8vkSXJtqhQ+/w1FRGErL3+6MhLv5vkyzzx20pmnmcekJsLhoIuimMOgzBR97O5
YAYthx7SRD+rKE8MxtYBbzwn81SDDFPva1xEfprOQm3XlC8PYRg/x92Fm+lBsyUtErp9GzkMsxrz
xxyzPNJpeFiTCXrSFkBYMlthiH2dXfeb2rkrMHbbYlnQzYixgK7vqlrXEUbcGmCPbN4F5q1xhv07
GnaDjUFv/TK86QEQyKhnXzkZdFXX7HmzL1c1g2eARtEU+PUeYubTikLDqZmEyRh+jxk0RiHo6XOL
1jXm1WUR31G+x5zz6R2PqXKNLZvTyQfg8VYAJf41MymmipbD7CBmzHt1RZLg1gnRVoN1APGipC42
ibFE9fyooZVguuVnkarmtJGNg8k8OVt3Z9WHH2hm/tjMhgU8JpebqA1exxZMu9Rvbm3k0Y7V3Cvx
bQY0QY8yw6IIhUkv8TTmzScmEUfZYQrgJiSpf98wYgG12SD0hte+r38PU/IebclWmrU+tsPTQNs6
n1zSfSRLGTE9/RCSP7UWPDwDbpaR+kdqv4ZuPUda3UTUnVPfvCtEAwqappBc565yWfLkvJBnH8CC
lKnUdweVuVoC6gsXPwEspc9rprMX5hIFY07tp2ezmgzzLV6WdsvuMWyD2rf3TtakjPc0LcIOSQG7
9ECk23DNhzGyJzM32atlEmbYEN/QrWfFEpMfMHlJZWljy9Gp07j0LzNdYY83Y5d7QX4CcnxrKHsm
mb5NcefuM6beZeXBvUmJz+XYgw9fg6fdtN9C04zHQE5H5P5+xQjGnoBYfXEBWl5wT4e67lPUuDQn
gr1oEWlEA7DfMsGuCkxiavxvb9OlgvH9Z1Jg8tHYhcUQxD9slHzzEcRbLpLTTtFTsWkIC2X2B+IH
9hTH/TOJu/BoewiZcGIyiS4QEOd0IHukcMBxd8dfuHiF2sKzfTtBTD4Gazpc2tYfHAD7h8avS04b
Hh3mjKlbMKLD8HGQK57skKoP48SCm9aqHCmSHP1El7sDtlkGsFamQPk88qF/iKKmeYoa92SDFaff
uoEnUo3KyQr1MQQrmAJ6LQjRthJt81bzObiNEudvSow5bDVneT1YNJQfqWASDb+EJrWm6gyhCoib
QAbC9Yd+Cy3Wv7/1KVMXgYGPBXR7Hcw12KMzYFF+Y9g6T5EHzKeG4bqG4wwyJlZg9cn3UIv02s3J
K8lU+EheFximh36Gxz+k4VD4OZBHGSBewtE0QcnH8G4DUEPKzuWIzmpN9Z1EPjhOOgxxxM/vEJEq
sb67vkExY3QCwLVkT0b6wpJevcZJ+8q7zF8XswwPm7GHUQLzCcad3zx9FlGIk6RJ/1iTdoCpVnaG
OAZ9o/dIAeGod8AR5iEzRbyGc8mQK7likj60w6xOdRDcfTc09xpfwQDKb+vb8Gja6b5mS1aICEqP
meEBpV1phlocUp74B6kwsvOxeUP2DjI/wQ1og7zaINufEkzfTQJCixEIj8OqXuYRqZ4GrVKf1Rzw
hb43Lvs5RnGP4xUndogdBSbo3lqbPtVNABU2XN96II8HKKvNKd58UkSxGO6cpGW2ivXckZhACKrf
vFbmJQAQJO3YlxS6QRHtcZMz4thDJAUoIzPeVzc1Z2b4wTs+g6/xGxpekB8rhN3RTJc1MTEqi0jv
O3i1A6AmemlBWxfxPiC3soTjRTpWckhdx3pYTvj0m9vfl4aDCwdycdcURw6FH1N5o5Z7Q+r2DMnj
2z4K9ojyOx3rvgeJPoGaTHf1td7sz3pWkO5H4Aj1LIHV7ujBiAxKWkemoj5lRbc19Z1kyXyYUEWQ
V8r49X9fHjOVb9LO5y4EZgGbBm629sC/EsyDGiJR2s53a+l4ivdEVzxtElgHG78hpdaexBx8dZ8U
eQ0vvGg8UH3awX3RUXixWhpwNS0kEmmn67SjxscJu1pV1w8RtIRlklm+q1GXc2euELphz2ZCLFcT
7jHYCwZjLt3Zqa31q2rlN6/9eBzb990CBUpM9y7Dua+AyIHpomNTjCqkh6gPPqxP5HXGlHpJFBy8
ga913kScXuZ1d++jjV9SXGQH6ZSxSpOYXtuQ/5ITm24QnUsMoKjMUXQZxee0GiXNYe5E/whm/QF6
/pS3fY1GMrVZFWgPmZs3KGGLQzKqseudM0AzmUhRYgd/taBVoco49RBS+xIaGIS+3i4s7LonrgD7
ZUn9AbozzIe6Y+cmCvPQIYYkG/gjsW78tcEMBbO0VHw69020H9k62fMSAz8L167LI0TxynqD84Nk
n4QnDTDLtARCyc409Bb4dYLpGb7OU7oC+0Dau8+9lNE5I949a0xnS7PVee+pOauwu4Zpxx4XBXFn
ihDm6+RtjiHq08G9YC/eaSCyC4z+HxO/p6o3lzGLQwibya+xC+pDz/2pBahaiW4HNuWszONAuYfY
XOctQiM12vFkkBVAUOGRNi3ieJI8ZIJOFY3ai2kA+TOVwpXjiBrNaip3EtZnpbo3j4ugri1BLzOl
wVQNG28OpB+CPEn6+LQ0oAASiLgPw3QYkmcYXt3NWwiPKfqoMkK+sbIafVo8NOKO7o887Am7jZNe
TsDImznZLzacJgiBDlzeeDcucy9biI4JjePXLYXvgeDdtIECQzKrJFESoCnBmYnu4EScvO8OtYJP
gKrTHXzskLIY5eUcdZm5LBpTE+wv1YOeSkVJNJzGVoT9ZfXj/778/WMPn+PAN/elSxt1+/uCmMKY
L+h5D5uP2ly2CST9bPuSBBN9ToE8lvuYknKOdLkrHNZ7TDCTL4d5TZdru4nnNnYZqFcfXBK9liRG
eM1vQVT4vl6wroi6pwFV97lDfnRvvYQ8w7Z8DAzsGu/UPfh8+fsTZBt111uGUGnUyGoKoOp0O3Hn
Pon560QADvWI6OwjsM0EUUgO/+cgeVzohYfPUbSX06Ihs6IsCaKCPOLY/bHQ11GP9hRxXSL0Y456
W4BwadnmqKTsIBQUpnYoBGayx12QL/PaDGjtbJwHA50vzJiHfQgFzjlge1vEf4Xp/qqV6oFVPNft
dPP7gLFNPrYr8ACiHkFrL3kCHuLYtPGXRE9X0qzvyos/ok8gWJsXNox1sVryhw0aGPreH9s0Qg1E
n60A9dJufeFd91URcNfBcAHdr3ON8lZ1YMHaeNRHV7NzAA47ZzPsANDEXaGizRwIa3/yvb9KqWwR
rgv2F1w8AyeEfGIKGUNCSSbHAWhP2S/wBWuQosXMgAxFDqo1h1MkdhPgXPOiSHfxxvaparn6MuxN
XKK5DvO1/uPnIaiWZFP5LLrXto9/hQ1ZjqPdMVySKQcxhsyHeIigIZYcsSjukUJJFwFQYIMwguG7
WPG0zV3NbCjHbbi36nXY9jHPEjMfoJGCMqKgtD93jmftyUGbAWZRVwwDYT5mIRrzFhzwquKmlAFs
4rqGjDusJwL4rhDbcvi8nDJPxh0w6g85dtt5WSzA664rWad/DkCoqiioj2gPyJXtn9ldiMPYS98n
PawF2ubx0IvncXYgFSLgUzNsKiuBHYQQd+kEJCybfJGtgyjTqAolrL+ghtO+5TzsetR45IHGEY5O
uxYoS64UYsfmzLpvEWKeiQcRFhFoAOian+Ys4mXggk/QfPuuoa2c+no8CB+/tst2HeQp6UNYXAPw
wy4AUjT5+adp/X4evDq2y/pH9uppmUR/DJZfmPReFgWBM9X+Xfjk8e+xpNa0yZEkQBmDcxW3AyAU
pZ66lKsKS/bOUTGb2pvKD7Q/BFgGR1QC/GPBrW/kkJPJknPHa8yI2Q2Rn39258i1J+yzfe0estZf
10kMiAEMmHv75YY++LJOUZ1H7eiAEzeusoG7C4v8Lc/8T8VhAaNfOXDiUBV9ch8VxPBomQya0Okr
kFEcx4FxGNlTf7L8Y/ksaxqFsYxDv5cNNopj1l313D70rv1u4yWoungG3LZJlMaHHrktYIHDW52l
6hQkoM+6qdg83moXmh2JIfEjBAxeGZaMCOz4rwZK+knbejwmBDDGlnF6FXx8nqTur33LWIGbBGBr
1WHF4b5j0UzrKaCpKOJteSW27kHxKdirBtAuDoq8MbU+WoawRodOP2sEkhGh+Ma47iuzT4Ac6gmH
P81ylOr1tIb0gW4TsOxUpge10PPI7NetBeC6mWEvWI5JBDbS0py0/qd2iXkzMSnCbHxMZ40UQLI2
RTesv3Wr3s3QDBWMcS3q51j0Arx2fUvmML0a3kQ5uHt2SNTXxWYLrIpjoFr6XiN3n/XZu1q39jq7
ekGewf5eMkCBqDNYn+7WTBgzIOm9I2BxDdzgqz5Fbnfod6STJsgFPe0/YvMk1/lducmizI4C+D6E
JD04WpANRHMcdEXAando+Yxwj//YAh+VHBpr37oV0sG0la5f9Kmj5k2r/Re0/yFnOo6fEXiDi1PI
hv+Toq5DGyHV0sifnVnECbGAUkRuP2X7+GwQ6i43OfB8Y0kDlmorhjG1ZY0MHMKKQNCMSzBkY1uB
jMDY1iAksxlqqiaZHlxK59wENjvyBCNpapL+aQAU9/cHMhhkCZrwqPcGHN4uVNkm7fuUzNEpCJMf
Gc7iWz3qXz3OMdauwXlNmqbYLMaixo8wCOOllFJcUawQWuiG13QEpSdsf1s2du9X8GXgXvQxDmJ1
zKIP7dxTiMVQKDn9IQM+Pt2bs21Cl+tPPrmLkMUPm+mZJxgxunVUR7JghcLUeRnehjiiBxHVfU4H
6O6DIKAeInEUKB289fF9oOSfTKkzmJ+L1smPXoP2dnH7A++TX1wMKgOjSRWGMOc6kBcLQkCOqFui
uvHDwbNMY1hmgHF4qO/JhszVQPQD0JuDLyZO3iU1Fk81fKOf/bSEwYdu4dOZhIaoRDjdNxCbDFdT
XJZuf6B9/IeDC7saeJOEQgKwfSShl/a6ZB5+EMb7V4x5dTEs8rxv+FCzFWalriu0QCdrgPGHCCTD
wx0K5fV3Gyr51Lb7r2haMXLKfzrE4y+t3XK2Tfujni3NMcrog55nkzcZu/X19Fgr3T/YTpRIMa85
txtMXuEuIQccFer0JZbpA+5WoMdOzqc0gsiQsPFlxe5Cd7yiKcNFISWkG7hmyeSKULv2MHt/CzX2
C7Zb3u/7a+DAqLvsGWB7doqh+GV6+wmiDENcwuvjDuEWskVzaFnzJDJ1sNAbSiDd0IKY/D1agKWy
nccrGVNfIsNaJSG0lXhC41832RsCifjvcWYxn0K4ow0i/YgL2TR6ILVmb4s8DlLYi/5c+y3q6wfl
dRnbccqXMHXvixBvSFs5m93Tgcw4h3eEXafouCJNqFl2DoJhB+a3f0xSSeQxEexdVgANA9IbMQHV
0CLCkrb7N+jV6mFL1NUkZDnbv4PJekKe4b22n6T7plRhM9ww3rmQA89LfwQRnP89+mVIx28KHwvu
4BDgsBxkB+bFGR9HiGKvi233DxlYgwoxaoWRxaA1+Typ6Daf+n71mNHQwg91AKKciYd+TdwhNjfl
An3UPdGH0IgBrm7pnAIVO0znLZ3exog8B/aaGsQhRtyyUaDfVuceQhBJym5ezrxJ5we9hapcGNAA
KEhV33L0weBSOiGnfFDyI5oWdSJ+5Dm0kZ9Jva5FS9T3JlmfeNzXFWf4bjZssnDIYJDF+1HWBgip
t66sbQy6J/xoO5od5Z8GV5CwlaVnEFXXHWXvRKXD7E4RVxL7a0RKOqXHlqwKmuveFmH71XHyLHbE
JWj3jHseVOXhoMQaetScfh+jZSgbCDh5yDZ0KRtwkgxDjwOvsoYrqNvouZ6hPgnEoa1fkT0AAJl6
4DNLYnxlE4rmZp0omhwKqKOetyccYaWvh48YF9FcUFZ/TjZazlFwWfngLyMRFbp/96SjV+ThoaCN
Io92yhG5S8JD19zJDg7ByXo4tG30EOGIheHN7m5M/tHJ0FUwJO61nDHFA0Apxr6jZeDbOEdg9xzH
Q5xT3TziAhB9hknToKuW4YtsUtyRARECOZu1yDC9ZyPQ4XSgpe3SATCye6LJgntfkEHIDQQ4E/eP
K8l+79KaC6Lj36h91vGnL3JbmUyL0avvnQVICiG5pS17zDjejOmWF7aDktsbnFEpon8FrtX4TIyj
42wefEu/rp+q6C017gUZzevixzS3kAbvAK0xNTa5HYC5IjvRV8Psk5zwFrB1Z99ntBxFu0l6RFT6
LZjlGUUXy5XUjxIRQdzno6Jj6PZ/ZOvoS9AikLSB//BICEJ4A+Y7Gop+QuBikBpfscpsly+Gi2PU
DhPuUEly8PlQFuQYlGFME5A26eveoEwO54V+7KQ/ewLfClcAyDJZuS3jtGUHQHk9XJ/6G3eojIii
lmB+lxE35XQWpTQOvyy2+TXhhuU8mwga8ggC9RQvH7aLm4sb1+8jlj9M3gwwqejnKW9QcIqkf5Ut
oGzG27kaBnPqefAni7JvYh5vuFgEsjHHiY3+SJ5dzaenUIYTtlyE7mpTgADEyg9hjVtyEGFdcYlA
+9A2a/AYjgfctK2vYoXpwz99AYGjyqjenvo5BdW2xjfdJb6AffXeCgoZ5qOvwd37efqSefueIlHf
J3lDgMEvgl+C6bHxbVPC2+uPThUja6ZvDs0iOM3udTHRA2LBQPAbJJMHSusSxWYajLxR0PrQ7ZCj
B0VxtXUNuCYGNBUiKnGImUXWEL7+AmkLxAWElkCuGMC8Amg4YKjgCyKO6Pig9xJeXyRPcTfQ7Apl
D3PrvkQtAGVQPG0lDYPzmm0H3FeDHCnKoVnnp3CgB7o6IHemivUv0JOndhLYlHNfWNx/M0RQ1aKp
h/4/BoDTsTC2Jk98Jw4e6W0kgnfUL9DjTgcHzjBU7cCm17q9Ws4LpGKhxw5NGWzptwSL+Yp7iTo4
9Ym5IWkCnnH/ix8vBU2aZ+6tviEKEOBaHNwQZRGTZszCity2Y7dDgIewJ5KAHf0FknucA/RYqh3y
lMrCC49H8zSk/VXMey4NzncyuIqOY6FrYgpEge1J+dSgew6yiiYaAVy9AWoNXoJ9MgWigf1FDs1c
TUl2DjMktezG7MWj0iCuTBE+6gaoaMN4nFSgcjM1UKYBy25Re8IUogtcm6RLGzRfQhFVabxcp24+
ryF7G6z92BnuBBqoSkqvoO/YxwBeZtFx+okh+RKt3b3HlV2Q96K+EhSI79ghqltnU5mAVROynm7d
PK6gwnA3Dmj+lCGx1QzAYCODNwU/SlRhgvuUeBCkh3hVH10AIaFPFBLx4kvv+K9tBA5t5V4iHxjl
Wz2jz902VRkFw7Jz0PLhdHI9P7ggOyLTbuH5jUigbNlH0rzZiEA0WNi90cl2CBjW8bSvxdriA5R8
yOu1HSt8kn8SH+qjn8L1MEioI874GxwK+5R+8tQOO81aIMEgdiAeN2lJjasPPnv+H6LOYzlyY4mi
X4QImCqYbXvLpncbxFi4gjcF4OvfQc+L0KZDlDQSyW5UZd689yQa0YMVIVs06EwBpe44pFc3dNOd
aZTjhoFVt9W1h2cl42avQWLg1Kh3FMBi603OvDbF6O4p1wMy39OXxCWQuVJfB928ljJlGmwrZMM5
+rQK46s0ZXrSUe1su4se+te6V0RKoq+q3SOWXaeppDDJ0BvlOJ2i3H/tay/GyWFZ3FwoG+PkOa8R
fRtajPth20EFpaWxyRWRGRFZ1K28aRa7lKEhgmvxwfzk5o7Erez5NiFinMhm6lXuZU+FZRtvcU6W
IkUh1aZoj63Se68b5ENAUGY9zPaEDVEqilqmfaXtHi07PejOqNdz3NAIBvWhUu6rkzKwLax03fEk
bUaDOeqQuynZHYLHrgq9VVz56daK3L9SMr6udb0OJ7vYF6VXPyojdRnUt++M+8JDWKnwpovKWxPp
rb/G6NCn3t5RofWJAW7a1/IoM6M+BK0OGehNf0Z2wZz6qyVnOqEBiEBeiqcZ91wkm6+2bOw9qAmJ
6zX5rLz2WDNQGZyvIKiJ6OP25XNp4Jfk+Qxp7+MWVolQiGLJZG4qH1nFD821DNNbielaYFscsW+u
F8NQGuZHQ9PIj2QncW9ego5/4mcEN400fp+UtwptQRv6SkW18YWKOPiQHsuUS7bPos84LcdbamSk
Z0d77Y11uofT8+SH6RZ337TmQDMkddXc3SZL9qchop1x5RG54Ku10/cRU50VD9nWp6FZ5ZP4dPHE
1V1pkS+OZ04YxeSbMKU3AD3AOYcbjidzbhH13G54pdLdejYT08RonqLUfKJCDDcd8+2tzopf3uQN
BEvuA1R++Xxbm4iGvDwJP2XGrtOUN8v8G/aWOgeFPa7lwKxzdJq1pfB0A17zxNlOzGPrO/WXkcgV
Z3aPpfDJwT6+cnVIjIhPUKDnQ9JRJZNgUu9dyJnPYCPd1I13KyD/rJNOu2uzDJ6llUoUTqoF6XX2
qrJlsoG9cExHJBqmHrsSzyxztadQyK9WdC9Qztx93/FWevpPAyF2JQpgKbbdP04E9RUa1CaezIcy
ZSgadAXpSGmtqMyKrbF0KSPD2Qpv9trJQ8JlIcSIwDCW+SwOzFHE/aZmzrO2OlgOnepfs1LoPSUi
KB/aq9HBku7eyO0Mc7GRHvFJUunUHspa27exzbxTXn+CIAPTJsaB/3R75qyLUd+TnrjYXz/jfY27
tDiVU/hij/EPeoQ3W9qSstw6ad9grBbwfsRbJi3mbhqCP7Hh7idY1EhvFVKdqHamqm4Fc7NdJ9RG
zWQjVVzs4AHtu2z4PdcALFSM+mP74+8xIvyHKcpOSEnZIwJVxY/XOAW0PB2AEIlus82zCUlxBZAp
27dYGfzZJ4BdUMVAmMDAG/7N5+yHzVkC0sTbzWMT0x9GdF72/AD0kE+/nt4R57ZWoA6o88Gm5neq
CLe6ZszMtlQparBLJ8x5HQzGT8zfBhbDxrVWRRJvLVMfXcYeDE+2Vm/RjGTxVxBOpEvPlgln0Gv2
hmUAzkAigD8Q+t1X1SAcY4OZe/NDRx6S1EPBbRmNJ6f7rOz6SOBm9vTVoTLFzbZq5KAPreUCTLDW
OAK/vcz5O+nmKyjNj7rSn0H+7XXWD4ZYlfBQU6wmXZdh8DyIFFHHvc4tsSrR5/nGMqiZQH8kH0GC
+diwd9qR28CR7iovaF+KL4HbaJszqsbnRObVJZitfLujDzAJ8DjUiBrlFlcLMkC/q3p/XRuctqFx
sbU820NIx6hpIfEsrBIoEi4SwjZMKbXK/STmb08508bh4S7ckPSE8QszZo1Z1PA3ZpTsQB8+kuJ/
mMr1cs5IOEe11RP4sTTWmq7mNqTqiQWBwsSsDlzQ3TqeKNAjKyEKJhjzGE9G0/0tVJ1vy643V1Sb
L50TnoR7coJbGaHeWIl9CWMj25ktxae0yOG6zQrAw4iDWtKD4aPEKaiQNE0+D5XFUCR0p/0MarML
IrIG1hm31Q4w5p5RwzPe50ut6F4KItwbtyJNLMXvHvcMoTZqVjGK/ZCxrsxP/9ja+O4ahkKxV26K
CTOEOZKX0uP8s1ADt5/9bcIG3JhqPmGz+61m7HUiFL9x3x9CYX23pfPqVfjI2vK8EBPS+c9stC/x
DLBSflTO1G1dK2dk/pckXUkOHTfo3P6he6D1chjQZfbe93if8sRS76WT/OnbPH8g6mJVwlk3nmsS
POpeTcYk67nu240fQ+ucopTpA4ClgI+QPVlbSIrwPxg5TJXAutd55lo01iN9C3E7yGB1RgPj6vy7
tD183Db+KbqZW+M0lA4SIEuitMGDkJ1USSsyOnG1j4ZGEpeoH8OcZFLU0WJFSXQmcysbvpG0GX7H
JsbdggjsCsjYcxlHn7UkcVS18qdZDAFDBQ9nSw9VQZSY8NXwuyvMZheO/Wc8cvj5qv0lw+pRzwSB
va5vNjZ4nK7vTjHvkpi4sqKm/LOE6DfU9ww5gMJAco3KJxOeaU2fDVk03LQ4HFdkST4dQ5NR4NeH
gZf0bZPydMQElfEsnadcP+UNnUeju2tfwSctivTgu4yB2pC6P6fDJJkxkahKb7MOb00Z9LsmRZ9J
p+CjzCveYLsweDrdQ5Y3QEeEz7ONjRjkFn6EaeU53Di0QacaNyxnRa93cYS/3A4yUCdw+G7CzdU2
sfAQSTe09tIvvpzGXptzduRezte5+R0OatpZdR8RfuGTMdpVfkzTPtvqpom+qAlIBgGRg7G5Ri6q
MMikMOkA1npaoAqb+XEkTBE1uX/x+9fI5ZMD0RefJZ7CmgQZU6PuZxhVf4oEq1ItP3tTaTKw3Fp8
rI9z4V8Lcrorz/QPNs9Rg3HGttxrL5yDE6gfaf3hTCHHprFcZsRJ/JpZX4RJJR8Y/KcKaEBhg5Hy
KDEt8U3U2d01IDVqP+/XKRNmOFQNfVSj0W/cEgNnYj7WYXxGVRz2hZrVi78ptLQOfmqdMU2Fq4DR
JaO/epsZ5i2fyc54sCu24PQWr2i0hfZL4ViuC4/vJ1LGJ5pH3ZrOxsyGgSc23Wbh+JHH3jfphC4w
mTTzLzK3r7clIC3KSKbYXGyrLJ5+EqH+FZbhdzq57cXNscEm1QyMbTs1mh4kSXiCArNjDDneYMT+
tjOMFTgf0NEiopk2tSQWtHblE/pZTsdUd1/SCn6Go/uYloeszhgfjQLIl89TUenqdy/XND3rOnKG
o6vVhz3xJtct1zx8JlyxT6jS/Srq9WPQ9kxsSvjEE9gEMRer2o/4SbpObvhJ4l3oRY+gXnd9Nt10
ilTYIfRKvuWKdNy66+jLoyHZNJIoF8CDB7c1x1OeCWfle0SEyGA+O4SPIgRebq3Soi4SLmMfCWHS
sksu3oiigApvbYe/gig+mrJLAP8Yv2ktf2sfDpaIiNlHiv9aHxqkghbkWVH9CtvAWLUc0avACH6M
Qfc64KsA2uCsMkHZBUPM3QYgnFLLOeq5hf7TMGuoSv8UavWrGz0U1e6TbOCn3YYfEUX0W50HfxQq
BGET72a1wWfiFWRnZoFGnA07dI3dVPlXL2ymPTp+unZ1dUjL8DfTie+iVlfc6BsmC/PKxrXgIgaZ
dVWgaGNiTYrPnCBYIpySLibmz7rjiRbrKelP5ejtdSUPDZKOSdu2yZYfN3fDVSUSce4ya1+DX4LC
MhEr8l6wTJ3CYc3Nxnw4N0fwcadINHA7LTT4JuIcUQFeyk2GS+8U/w0L297Oou55NnCvFvLZDiU1
cnqzvOQCbyhC9ziG4L5WSVdSK/h0Nr4sd4SSMH8Y0SZM/F99wFh8ac6YNeULvyho/xqLkccvFpgb
vCXqhmrnlzUysY/xviekcTAnk6S/GWX7GSKmqC9MT3+ksXEdRPSj5TbeoKej1rn1p9PIZjnXvoOp
2FTO8LdeUvLRxSw4Pyr1px+PuUHx0ViEnGwHxSfN1U5YHg+pOz+NEXBH3U3rxul/jLbd3JKqwOCa
fmcUFJRtulyH5iSPGUX1KkQvexTJEvQtN6zkpEI+BBm7RTVXcfqeYGQ5igIvlytahI+IgcPs601s
0otleRVv+zrZq2h6s3CYckV9DkFEoBmpfoNhbZMwhENl9MEnxS+yC7sDfGS1aeW2kiY4mxDfVmE5
21GO0artFrZxG1NcG6dqsv4mhJpdqwN7mroP1Bzz2hDRxUtQgyc0974sG2Jv4qv0e6hqhrW28Hut
YunvmiL+MGWMNDKgKxoSKFqeVRANHLWehfrk3dnFZTjtEtACtanf0nT+UvX87Gv91yI2nWsMsjF5
q0XoFbglNpGlvhjjQrUJVY16B93HnueNrjVn8viW5gaM0JpjT6CX4yeXTIc4wgMeIG64kAFxH+x6
Yf8qJhvOVu6P8AVqilWOypGua2Oa5GJHLCxBkaiHzJzly/KVCMCE8gkcT20hmiewIC8+XrYBFhD2
PUc116otXrQRur/jGJYN7p01IWq9j4J+mWbzEhuXMtXOLUL4KL3eetW6Ubfe7F6GRI7WQUdxe7vH
tXwLuJAKSFMG+COAzY1fss3e+8gv/ybyd1OT9835SA1YJ58KTlpsdNBDDAzYU2cF19TI/QGECfZr
HGrG9b8XFwZQlXGU2yDOSY/jPRRS/RyCItrFlJw/W9+g/LsRuCrRGAny53G4BKfr9MfQ+qd6jKcP
fA5Xq8WX5tZtv/VMk1BhWVkMU5LkrQ6GmzPH5Rkfin9DcBq3PMvlBhAdH00LJ23UZRm83LIGJ+4g
IGfhygbxjoFGP3RFhiDu2NFTZLoMlpcAXbsk66gAH0fgmUsSpDlFQaOe3Dxn5DdDM5TF8NMG89BW
QfhWEXXfICe6hNZpGZxSzznshfxqxejHyzcwG671OrllSMr1LQ2C6bNq1y0iGWfb/JxkXMHS1+Nj
MrHEgOiXe45SQn9JZ8/Hf7koKWELzOFQXKgp6ZXttzYcvGeVeH/CxksOnTtw7Q1A2dJuMH8q1w2f
jTjtgQaRtxVUYBCUeO+MVD0Cj3BoM70/E3nGVSpy5xpmneRPjvZ+zrnL8ZUHN5m8lm1BdHrMzBy1
ZzTeLFIRu9y1Yb7kqDUqDOEwoo0LSMnVOLX7IgiQszvLeJ85oFZz2hQXzymvjp34YP2wX5ptPeES
iMatUQ2aARPAf07xkrfKgI3hL9jVGu4V1134Sqycucycv9LwUdE32biJZhGs49hgIUD5yhPlXdMF
8wosT6+Uzk8NxMXNPVt4f/HMRcTA/LezSMk9UMf1axYu7+4xOmiTZBzc6BRUifWamDXXBCncnQuv
v2j99jRp0VxM59lWfv/SgHAsRlMAIlqDRmlenHCraRGe7190fjhv0KB/Z3bfkMyP3hW+ZXim7xr+
/6cLqLX1LXn244G32LVDUhFc8KfWs//c3x7mezZhOGIlhyn1F2GszC9q+gbsZ5Mt796d1tnmZoxL
KnD2DjsBnonO1jXVZozRC3BBCH7GDQAoRdb5jjYtJB8p2RSn1jCB3fUUSP4QjgE5R9qnMpXnqeXX
bTLyNNz0Zjc6vdEidPt/nzlnbMutpfNzLoKLM/fBoyP6Zzco/6qJzRSAcLDq1XjjP/LMfETemZ6K
xMO3aAT+W1GWq2EkqTm6xsP9XU0sGK1Utq+D0TeXvh98bP2IVG2d6UszhfWqK46UHj+qqZjf5o55
a1a0YAzG4LMMflK+Dm99MZ61xCUZQ9dmroafvAEZJgIzf51GOW/uH5TYooScLMYzcUH4rCX2VOG4
aWJ7S/Yk2Id0no/4RbzN4OEOiavhZ6fr/JcXy48ogJlfj+kh6oS9Z4sF1Y1ubxNpr40cuxaSsjcf
BjMP8GykBZ/7yGwuo1AfwdhOwFOBB9DKuLsBmfk51S2uj+7Vt0X1Utszh1/sw9W6I5TNGhmOrIi/
slQwc/Q41sZhXpx3iYEBK+6ujiXsjWf06sAWDXvlaMc7N6n1o1TCvjQjeWJsmgATmjHa1QJ7agic
+P7CHDA+tNL4sDy7PftOh+y1/FVoTw9thh09hNMMMXPUaM4qgJXpM8zndVP7dPq6ieuLonryOXIO
uvCrwzDklLCTt1GBpBaZxtcIixscRMAzqWFaNNscIZEwn9ivsFJQ8q73l04SrB4cJDeSwMHNZch/
rXWwnSNsKo6OqzcG2RUGpmYPyVET47JOUwqvwnOL+WXMkvnYMCVBsPCIRsQtzhmn+KMhjnESPiNj
qbNPDHmVOR5+O4cN2Bn4jlxKwh2x80BKpL2kqnmt/YpkgdsaXyqIkL288XGYmh/p5DSX1O3KXepF
ESYL1l1RSsywJMsEb2pcldcMTPNazl5xMOyBzsrLPACNjYTOarCVIsR6UTdV+sgtaD7x/b/b/WSh
1vXJvqIFfqK7WBL/YHwhC4K1tQ04hFJMBxUQA1Cdki9+kgAIVKDg3GzAR5LiU7XSFjYjVTuyVn3w
m8BmEwujvD4PIwji5nAlqRaem1rTwVnMUnTQEVyocPAalPGrYa7zc4/d5TyZc37O0Bh3YdsZ5TqN
yG3lSzL0/pL1ZP2cnoFZ3mRwFpZnQVXWepwpTyXMgfu/ZYg2vubIGLUdAt+28BNYjtE+31+Smc4Y
EjePPTbc2LTf0noRWJnEHPKa9rYv32VD8RZ5cXlMXVBJbsLWCmVSudliMnci6i1S5fBWCSoGTxMW
hELHyd5w5wpWOd/cAIfphJT1klb+dJF2cTKLWj9lDRmjBTkdFgBHrLiAzNQFXOd9+I6dEbNw0uLR
SuJj5CjrJ1YjcETJO/uxD5EM5FaHWX9wh3Q8Rm7/WHd+8dAHzQ9rAUq4PZCCKjw643yaouSP4dvR
sTIrfcL1Oj7GARiTZObnzD3/k2UiPqTsUx9L8e/FH4snR3XlLTcTsacl/NIeBicXv+FXqwEaWMb0
c55cVCA8h403OB+sA6E2Lit9yRvw2INxaQ1xGUwwpBI45IO3vEQ6f4sTP94z/wpOXh0Ep/tfmZ0Z
nCqrUocp7A9d1NdnE1Xr30sxNkCzMhX/9QNEYh/ZU3sHKzC/nbGft20D/Vxh/D/b9Mvwpd3L/aWZ
tHtBubr9ixnnap4P/x0qlMDexlWE2tCoBrEyDP3gwaI6/btMAKTmuJwPeTh3tExhk569KIvpeycj
PeHrsbdkMBxAe8I5M8J0zvcvI5Ume0Z6aCNFdZHLC0Fa1eFsxXoZ5zAXmXxcQZ4xN14aPgxR/sXO
UGkkJNtLShIM36UJF9gd/XYXF8a416LeLNtPVDmPnDLVeHE9f7wUU6DYYARmusYwSMjFnrYDx/XW
mPD8urJ9pqD1cFZu71+g73TPMeuVDnXEkodKjMcq8DrA6RSf7PchuOswveBxbnmy82J7L4XLgV9u
1T0nRAZfAuQnL2zTD0zhCoBdPtDSuOlH6SsAY9TJe0sxInLaB6T67qGK2u7h/qURhhCF2/xWdXyT
mcNY5P6u0VOW1/9e/v29Ahc+8VumYea+ZrR77kEiHOY5uSmhO8boS9k00x9cOdyoXuut6AfBaEJI
Z507WPLNpfLACYdbIU8ZZ7NUQXItv5Wj/n0HRZRG/whUuN53eeW+ezksZrVgCSLPZaTABhdTBfzI
uLLnPGt2yKbJye8jquBSo7OmSbHz2zD5zR8HreozvFtM0Ru1rJbIl8RR1lIXGoptSKMDpKlu2lvm
T9xMIn5IQdSBDonMU4kFiMHgcz3jETNCu3ks/cVGWStxs8Tu/kXISUBRZHzXRckQwuz5DDKz+iq9
7DLX1S7twvzBWhZOELHgzLH9J6aJ+SmNYYQP0oJH0/k5vb43ktidg0Nl+HrX2kW4Mx01vpguc2Nv
WRcVR3gfZAptTgNk8qLuBoaNO8xXRDqclCFM5vavidvvjcK3sXMz1LGGptr/O3msgU/duPG7OL5m
kYmhvu6SA4lwsSGvUOxk3bB/QFvG1fA0jGXV/OpaupSAOuK1n+pgKyxfXWzJCKRIJOeQSb2RxdFJ
JPpXGZ68bEqf7hVn6Si1R9mB+27TPo+8c/cb23McWGADfrqCOSVIa36kBWLzjBK09WvSx6gCep1L
MOsbGx1wO9dhoI5mG0UHS8pzgsObiYcqDyPQ71R51qVYguupEtGu0CR1quVL7j0ca7PzFjbNWfd9
cAgU66+gfOSEMEo32MQg9s4kq2WJ88Fe2MJ5vrWHEY58GroYS2Y4dEyMO0YNAXb8yBl/uu3iLJ8G
PLFLxe90s3kMhfptF050w33P7bq88anZ/SpMebNFa5zNJKbGdjcebn6E8phBSgeSPMM8KtySX8E4
+TBI7z+w7DAB3I9WQvX/P1rt0PkczFCAB6fEZ/Igz3PUsmnC92FYx+TDrOiBtTTz5V4PeERC8NfR
MNx5Kj6pky2LdYKVS2RzWiVNo3dGkjyaVX+wHBfcZ7vQ4OlFMEn9ZQAYHbCtE26zMrGPItZPsU3C
Ki9FO26nsnf3rEf5+18tiGfMuHZd/56yDOJQoAxeQgBDvbJrwmqdzU4tDG7LvqXwHM4iPNuAq7cB
8FrgQwP2/LjK+KYiWmo6rH3Lx/k0Ct/fSFFsvAzGxwoguC87Bt8pE4VYDAwsdRuuBmJW+wR+DD1m
/2ipCk5OztsQz3F09QjPyQRGaTzF37rRzIzzBFYNGaJgLPtrwgW86Uf/08s9GGft+CDY4LUaC9V9
O0a9GXx1osa2XgcUzae06rdIwV0YNE8M1oiwRc18TOdpy+IW98uYrGjbdBKQUeoeezSXJ7yMYM5r
bqW6IZfTgYJV5PX9jDmZFUQO+JcGl1uQBPty4b1K5NgVlsRfLdqYTLC2rEocLJAmbZ6IO/XDoOBO
c8mDnlCRrByLMDCSp3tkFnj277IFk1SUauuaEyfx4IZ0R+HrHid8bJ9FRpSw70iE5VVN0hqpZ7n9
6Rni7m2GPyjJOv7/T6FKfI5ZUTy2Nf+MzC8m43Vfu8Whjktzff+2LZ+xetRLQcwc1gSLdq4a6XL9
r72D25Ac7g/87IzRYrA/Ji0nqBSJu/n3sSetvWFHmjxlIohoLCD2ZKql+Uzz4/1O6fjFbEtWEkQC
jx1JuoqQyWOTYPGyk+EzzVvJhRUGJzYgzU+D/dQqFtUxIPBpxUcMBctCJPJIw9pdGn/gIHLTMUmi
8UrDbQRU6gilEwiHwC8Tt/Gj5/hw2UL1gEenfLDIoIuDaIPqNBXxeHVJZAJvXErcZs4+kqh5+/c4
RywVO7JqBMNeJQ5haHtvQwWVhijXvzu+t0q5HlNz2Bu2IbcFxJTtEHpiZ6GZsRejaU/IJhdX+uWh
7Sl072050YdZabiKwxM3WvOU0I0Q7GAk21bt05SLLyMN4kshNM9I08qrIggF5KdHshU841HSHD09
M5exyPBFrBe57zzy7eEF6BNjgoGPkl9mJ83zts680HmgJcS6G7f2KUpm8SELRONgOlaFyq92SWrT
6mED4Ds8S+5RFiohbk0dfxhNAdEZGWVgjc353lwYeXj5dy+5ISU9y262Yz30z1NltsuMXb23YvyY
hhTBwtX+kw4UFhju5ftLMLgEoCY2SATKe/+v/LAnwfxnBjHRQhi+RCGnR4hrcPvvdJ+JpG2GImaE
zKY5CJTWZxz3w4urssd/b52tyWtRtf5Xv86CuCaW6LK5yArZVPTmpV/+4/eXhsUkK68q0q0LR+bS
9D1VHbgIhnQVGazl74WidQ5xoh4zzuUbygco1a6p1ncpwul9NrcgOnCDh3xzgUl+U2DKIc3LXqnc
o/4wKs/ciyTROxA1t6YgwWeXUfYcYYxt6ZV9NRTvpkt5GeddRypqoJh2W++IQHSG6v1RAOk7eWCt
/JXh+N3RmxjYAK8FVVVc8gm0hBij6PyvyE6xrkUTH9lGGq8G8MqTWdbqnUMfMtmSOzdqm1lJAxcl
jJixtrP4CgezUJC2QrNZ6zw7ulnP4LXurmnNgEFNjXPJK8/aBoyOFhDaM/b+n+yx6W7atkLYulb+
3QJcAxjW8i5n82vJIqVUBsa1FcF3sfDN/J5e6C4wUiSyrSmsrTPAWZZL0tn3BljDpchhqqK3iXCj
vYUD6DCj7az5mHJe5hnLPNH+Lq4rhwc2SBV7WRoN+Vu+ZJfxIwvapodI9gPGFDZsNEnrPIyuZCNX
0Qb7sSyZrDmOPHdGejMSlJM6KoNr4Vv2s2vWL5VNxqmRFO/IP5hPpakf2sH6BR1iukS6eE4SM32O
jeDazKBtS3MAChO2ZNSXSUFb2/DVCVrE0La8VcKOo1XvUOQ3c4cCtClrDWkFxAiVQdqe4oqNcsuH
kMqV/QJamhwb0FkgFjPT4MGJhz9RZQjyYpFmfpn44KeDkUg7I0CWPnGdz24PCC1dkHALai6hqiaz
Hbrb++fSlgHxGDc74bALDw0ssHXJ8s2bHbpnF0rI3ggaTDo+RHFPQNe2aYAvxpT7G1EHTP0EC9tK
QVlUyDk63p9nMTUlOL2Q0kopdZRps5+BE5xSrc0LIe4G6g51UCmb7Nj3xHxEFZMAXlRpy8N0V1ot
TAM1MooX8XdaOerdjsBYkxS0GczDLbtfEqHPQpIpGjCd+OYliFNMYakKTgwr5l3vMF+n5HNZv2H3
azTo8VNSP64L29tqMAVbZ+rFgxGVv+x6qrkK+NVYOBbnQtZ7XDfN3qIfPz9kgrQmYgznUfTomHJ6
FjJmit5AoBoYUZMeSSl774dooedsa2i4/kjU46Nsf8WGUxy6yeqJRhBJbQZDnkqgC0ZXTzfWcpBv
uO8ItEwWeGEoyq7pkH/TzOfPvmF+Zdlo7GTuNae5oX3w4vDqdvKI6TR/BVFNMrp/Yar6XDhOveZJ
DTaO9ttnthdAEYlZWRs3g35gGvw8QATad/f/Vx6a3YaJur+HceAQoB7Hg1YAoHIdUhjOaQ5efnET
zYug0y/6zv2vfDulNLHdx2jMCNyppCZQDx0Hw4cNIXkkSTP7rHGgDWfogD7NvcsR5zn5AW5/sGG1
wbBpl/aqS8cfd5nEnrBxUhAaS0E4d/xIyr6M2iZ7uuhSaBV6df8XpfLUo2LxyFQY397Q8MxopKEo
xYD67wJrKh4IXaNyiDJe1hG5pYnkn1frpK/fOkeiWQpi/mVlswamjm+IqGypyZPpkeyYQ5SVJWke
OvOmEgDkDV9swgWcmMa2uR2cWuLfouuwS9Y2wE8SmCeKEqLChKknNgP7kkzEexvrVSx70qR0wr0d
qWFTG9eYUuYvG1J/hh2FBQWnvx/ZY1Q4RJo7yBeHkPjKkcX22Ury7ZHbL5k4Io5utQiaPdlHDmoz
OlnsGD5XMA+OgQPDRAuempSjB3+ZoTzwt8sWuplcEQnzIAMz5MiX0IZPjI1r8r3fPmZA6iuiwQUP
8d704u7ERAzTdlQD1ws8BnhLgZGGU35xiv//Ys0uNP+A5iPKVljngXOFTsbBrAV04GgM7buh8/mn
kebNc106uC2Whgirlnlqg105yGWMLNMnZ7GNGKII1hOLuPaULD/qSQOiqMfjgHywy0fM5T7yzIZK
vGR9XS/fVUYx3wT0gZ6oQIWg4m/dEPMfE5Zh71cIDl4TLuiDtH6ekvBlGHN6gZF5hR9iklMDrJSY
tFVQ5wcWi42PKnCrhz4shhctnb1LRvZgLbce/uv+2HrylLIE9IKA5jxWumcQZFP1E7vayIRdMlby
NjR1sC80q60bsZDY1bTKwYccHW47xrP2Rfh2uS6LJLl5BsziktVychF4Go9MBxdkePSjHxy9AKaW
/1SL3enkJSS7MXWnyyooUIDltz2DLjMz/scFN/YpsR3/sU2qAVyR94nSq94aJiuGTPFLxZpugUU9
lK4z4GVi3PdRyOjhZInLuD8YZEMNswE3uAx5SR1vjciQ51rZ5cPk5r+twp0OzpCTmV9+peT3aybi
7l8StmSEOIR4S4CrJ01v7mJZtNegI3HAdGggtJFW56BsvywD5duvzZFtpi7nqUNvXM3Jsahc9DJp
H50iH3kE1QlnqHO0Cry8xNrmt37C0A83/xxK4d4sNwDpCVjaSFvAzG4NInf5nsqic/FM0AHQeThX
jwT0Zl5uN6dh+jKWnrPBsAxyNS/OhEjmsx9E1ZZFC5caXzahLgK/VLsfXdn+0pGWJ+WwfsIAbQko
pRmvE2HYhW3I1tY+h88JO60j1mLDPM7y/7F3Zr2NK1m2/iuF887TnIPR6Crgah4tWR4zXwhnppPz
FJz56+9H5ek6VdWNRt/3CxSM0rHslCUyYsfea30r2MU20qqwx5d0n5kGjZVsm4CDolnPwndi3Obu
2L0nJnyn3+n9U+J2t7ENwfl3tE6P80OjvsVTYaH3HQbUWm2LNFyVwHK6Ot27JduK07evFe3sWUAi
kcam7MuGAUo7cxCGc00fqrqQkPN1f19p9Fnmo00PovfcTYSmanMCNbe0iV+7YebfAWF1yNMKElPb
22YIg89kjAdcgG+kAYsJt7tl6Q+lFqnlfUpRUuzDVijqA4j1R+qxbIkKwT+TYuvhDnbsczGBncZf
eHILiyj1eacbCnoUTJaOnRWYRwck2joos3SXNGQbkngN6S0o2ktNdfFqCha2xknqpduGhJog9SX8
EECr7oVPsMJZZzaQfOIfZYWNunCGeEvtg33Iq9MtVlv2rtrLF5PFMmqoiQZBOLRLclMz4gc0Eqq9
7NrNMpVcs7+D9OJIqU9vnqmlAF18aImpD7HCG5Ld4CU3JP/IDz2eZMxGybjJrqTf7vqkTN+r1tmi
5wwIrNJeUH4vNc8TxxAZ/4l1g056+K3myAshazhRPiDn89vDFBdItkEqxYHeHEct7FeBrWyy7K2b
KHxvm2fTFhFmeoYvRoKZdvHpkNEwi59ywwu/CW+Z2zpYgmTSziZDEiTlP2Z5yhZQfXLCkPkE1V8/
ADC8yQx3jF68gBEorgRv1jthdslqyGfPVwCNEdzrAh/jQAPVBOiKHgMAtF/RB6Mm1mA7JSFy0rgs
GBnPd1lVDOHOnUcZTTYc8kzqlBn6uA4rh3OKg8VPhoWG031ndFZ3zG3O3A0dODVw//i3ep7p1IXB
HqqbJ6Bg3mqcP6Y41n/+yVWtzGZnd+gYElV9wTGIJboXxnIybHpZ5mDz6ZvWtspbzuuUaB4G1f3Q
MmAeB+Nr6qEGp108vjtj2K4bT8Agmy+rssz1B9QSdEP5U8dKPN+RxkitDpODJMjLKp+5UFYerXk4
6oi4P1AUM7YTDx1MBcKde/pw3aHrvPCkd+UXdwqzA+ozAdyDxmjTVO46bsv6fC/uutRsri0gPtsL
/KciIdt0oPLYRGNl4zlnS7ET+COB8NFNlOYHb9G6QibQVoPxZGDt3/ecYbExaHIJKKJa1xNEClhc
8Um5A/hsAtnplKI693Tk4hxI0qVKu5FU3SZGPMrpo9bEri0AWja6e03oTZytHnnZ/Q3AnieeQOC0
Sy8YNj79t3e4EnPasBCFsbuf9GwkRieZqobJKfWN2b/aPvQ/N4vgXA8ebV/qak0fvVWGbGDZaE19
8Ov6LXaI6TRl/TVwmGWyyBCplFreOcj6dutgAnc0+GrqXumNIU5Z2lAYoun80hd3f03P00ilB3bB
uej+7Hlhijsa3939Ten7nqVVFWN/aM3wUZ/Cba+b+sMk/O4cR8XxV5NiilcYbrRtObNwYVfXX3oZ
vOrjd6XiL8YAz+J+dmAp9w9Z2k47mlPIRabR2Vrajx4c5cMQr/TJo/jJ6f1zOMZvYDUxE5e0fOxT
uG8eggOmK/gnm1lBEA9TcAyngQ7uLAzUojp5tvPpLdRIpkY/oQiy6Dn29ybnm/vi2pIuNyEJdkgb
9SvrTQIbma9QXXFqZNx7xNevo/3caamffSDiQxTa0Ux3iw8QPms6s2Ihq+qi5njoWR1iCFIn75+f
wuAvLJPMacKyt/Z0g+PD6sgGzfGQJaQl+8YDCHWtMYHd6ADyazHBbQsHrwmqsOnY0y3dJlMPKJfg
qzVeM2dRpxE88wnxLDRoCv75+KUb1O+0nmlqpn5FL3R4ChoYE3JeNDQ7kSSBoCawBOAmjHIWnYDJ
mh2n8iqCjNFQoVmLrjEPDMOK9Sj8cp+C+UETqBjBzXV14kH3j0cSDzTLzw/u9D3QLDz8925gVa2w
/2rPIWzApdnhX69Ed8uAHFzCyD0UxPAki/ibyr3+jB0sWkwKzRgNH6o0dNHLoByzDZxQ7DCtB6us
pCbD1jhcK6RknW6Ez6ZJRYdo6Bw6QLoQcAGkT3W5qCrWF8/OAGyi2gTuJ4dTHXTfyhoFhs0E/xh3
sXa09H1L6N6GYZa+vq+kcxdQG5r0GhJXEkTAVOx2Fc0ygK7lOF6EfbqNZs1HT9bJ1MbDN8/FVjh6
zyMwR+TtziXymT3puqZ2Zd/xudJHWHVDHm4w2+FXnu93xBk7xI0pIa3JTAVCd+C03tadYAi2vT5u
fC8zUIM+m21K+zgxgVlhLYxoAnguzGkO3Ys7Hp72D16s+yE28Mhlc41CXnKB/by36FsFXN1BJhlZ
zMr1EOflsVe0wuja0gU1AtFtnEC9Evsw7bS+A7TPPB8AsH+MwnYb28WhQzpk72YJY21yjXfTJC/6
ANqnTQgDigC+OwFon8BAES+x2OwKLZljh8EtzHeLXXbX3uiHI4zYbqPjcVwocgXdMB42Na3obPkW
ZJhBnCYdHgM3bZDKAY5PK/0A2/Sb0QfpJXL4yDRGRfMV3VZFRB4VM15V5u8FKo6dKOZ3re7lfHBF
IDMQHg4MYw+IrX/G5BGsVN19FawAqzwZXvNo0rajiWM3bWB1arkLunS+lO8bWQBXddNxgrhvFgld
QCy3NKeaqgUD7H2Zpp4PxEIl9poyCp6LFr1Dbcs8wfqlYSm8eDpZ5ng0ykm+lv6bQDq2UaPeruZJ
5r1BRnfx7d5snCQ5ihkpDcSkEurFNKhc0xBixe2IvcW+qxOVDi81SUD4liEL7X0olCeIm7yB1Moh
ljFZFvjL45CWNY79YuPe7XPge/VFhpcnKMavcmbwSbW5H120cc5TqKg7720fTiziYgtxawSkDejH
y1hXDwL9yx7fpDrhF1sN86Cj6oGy5rr1wnkRId/9FNRwUcq+HY73j7u2zHRVcXU/aT/i1EGym8c0
pV16DXYUboRe+zvT1XBGxl7xRunL+UzW8b4xScBLI+lshdOQqqcBPBhSd+WbrTzq1lcLvDUdd4BF
YP/ygwTp49vmSN1dAyq7I+bFGCRIxuZ+hE5YiYxRxo/ESNKAq7ZVKvxNlUUgtZhSaFJyuBaRPAcW
4SgjjUBGGl1+JI1BLVoQlPmYy1/HVMcT5pV2BqbEgOJ7GABnsUVrCBJ3DH61s5JIlukfD7raoihP
rmWkYLPAgd9zX44kmwVPbH/VXEREx8aZPnqrCJ8mcJSP4wAr0CItaP+r7ZG3ygUW3VcEoBT5hoSm
8tWaY8WxKC2Y+UYnG2f0rwFNYpPFoeU9H5Y3ABaHK1BOHl1jx6oA7lXVU62MecRaotfivGrAg7gg
IYKlQwbgqfPHn0Wft2twEtUNUvOLk03620QqetIhRgd1zfqb+h8OhV03uN25BJl7jhILtIuBAkZz
jIeUHN2+e25Rd75PHQTDAbHW4i5+4ZN4lgMynV459JEGi8rDMF68lpYDIzcMXxJ1Xxw5wPnmqRwd
iAcswYgPdTpt8w7MhG8r07i/9DW2rnoc/GeaByjYe4zpnDaye+fPMYJDH7XyVzHBXFGeIQoiKHrq
uR9WuV++/8oIuBcbwpxLYUs1N9jXCxI85TImo33R1ppzMkwZr6LJcpYd3fZNYgPXS0fRHIoyVaR9
sWWiMARpDlBgr3QdDlhBu+Lgqsh64yTVslkke/5oJAxRUE67vhnKB8eTr5HWvyNkXqMKSB+hhHpH
//6sqqhsNjkKnCmpnkKvfwkCRZwUtzLsi3SZzifboU1dIAb1sB9wr1tdx7ycAgRxCdXTgCpul9cG
+qfWwQmBPz8i2HJfTITB08vR9x7W8yUhvltU3MmlrOPwnBJYAzJorYZhvI1GdYJEGhydFvVW2fQk
385VcI4prkQauuFX9Yep+CAZhRQVIvL0KAMX13rdgRom5QC719BMj/NV3YBe6uwNQY/NrY7NB7J0
3X1l0/lysUAz6GFXa1IXxEzwEDGivdB+QjA97xQqCJmz9NZ6nmhccrx5K+TIGNu0n6lraDDCpvrS
cadWjesfuhS9jqXb34rKISisQTFtxXrwXmYtLQryFjRHvlZ2OB184DLELYB2ugsnBTXmikPlj9RD
8FnTDX7OLe1nz5AXeoH7Q4pTkT7W5lS8FS1p72FdvygJXzqZTOutLT10+0ODU48oGwJ/2ZHuZcN9
fdQkA+WpCLO1E3raa1JbdPLNkEyLuadpFdX2DqHGUwJP25+56/Nkp7Io/mSAPZ/9Ntl5NhK/+1Gn
NkrMWZlnIKfn70tNX4HJxKUVYTcjR2qdtyJZjb7Oij8f/Qwz+1D8DfschVDO7Wkkybgij6T6ItHL
Ls40bIobonJESU7Rr3+VDUWqSQYGPYQco9krRXpm0HeAk325mTxYKDmV2eZ+sSklHmXQoRMD6P3c
G1W2wNZ8aQBYI6phHzJxyW6meTpeRO6P+7vjKtrLKZKZm92DR2wcisC7PpbWDlS4uRPkznA2ZI9i
dV+v67gyOdXNjdpCRgwunMZ6QcUOiJyAQlouxkMdaGKPHK+jwYhvCk/efGZBZUeeQRHRg/J6udGJ
S1y4ZkrwzpCT01CH+QU58LjWkV4ek/KqtNC5JSFTdNF4D4bZwCQU39WcfggnJlxmCvtu75JEFck5
jgQnrJk1jxFjh919Eotgba+qR6kN13o+4amoejWG/ETFVX4xS9IPMY0g264yTmoAd5WT+C94Dhnv
D/6B/iFOrF60h3qEmRONBex+nDs7eCYkDDnZu49nTCdZqJGocKpOYJPAS4n7uBy/CoskMATURHgO
ixh/4LafOjBPMe3LYib3OCDfLd9j6tmFmykLtGVrKPvaqw6/XlkxiqKKCh7LZ2n6oFMU1KTOhaLT
VbMjpnyyYGp9t+a4PIQtNIP6jCpMZPHhfilMbVQeXYvRvDEN6WWgXbAYiuhU1bX9x/XeT6F2oCMJ
9ccHEOxy2P9jq0bpmS0nPtYK7A6GvnvpwP6dIYex0ACVjJShGnJX2ILJgxzpjvfxcNCDFll1VAL3
dEBI3S8Rmo/FPgRH3YRdCSfcfXenNLmV0olvrRwe5x46sRPFKVWVv2+8kPchN5463ereAn3RjFl4
9eNHLciiSzvh6EuTSZwiu9lNZWkBPkROA5W6e8IhUjOAwqGWAlFY3K/yX8sbA2AUzEhm2ESeJ5KD
yR8f9n1ix+RcqrVl9OHl/iVCUdkI6OVQ9GzQ0EO4adDjboapIe9LlMW+J5x0JXEfIZocT/dzRlH5
u7zQqjPTMs5cOvw5Jwvsva2YG3Z1F74YQJ2IUuFFkPpxr9gcU5MQzBo6F2NerCLbT7f4HS1TNe9x
RZBXONoICDqt23Ya2nMiqmHRCYiueT8bT7Iwyd7CvLjKNkzevLzeRAaq+TKKrZekTMBOkCa+rA30
RVhV33ARZKvKZoKTSe8xkgx47h0lW0pmtgGKI5RZHAygT1uBr+9HdmZ+I6HVeYflkyIR/Co2ywJY
fk6srS2mepdHSGKWiEmz8UV1gQn3zrniCdHv0n1ESA+aD7baqK3bgORix+g13s2Gd0JkDLLt9WnN
IaCB7695tyBtzg24eSRemCph+4EqGG06OK0VkgqfufK1doN1O7r6rhbliys94+wUljXjV4Q49Mnw
aLRp9KBa9a3RyG50vLC4DSZtPikBkSumyXRovo3RgIVGTLf7yoYzKiRsm+zw0W6A7Pd0isJIgp6P
rPL8x7FNCPMw1t6rlH3wRh7egD3eY1ut4ZeOcyCW0dQcNXFU7TMWb44TCIiVZPwGnDaudjVir6OR
GOfCgpZekY0d+F23g1fwkxacfoxwI6wVzp2VmqcIMaepRODlckyPhucUWDT2u2dWTG1GrTrdSZel
WiKjocMuxwh477DnpqOyHMK0XdmZOZ5+3Xt3GdGuSZkIyLYMYcshyMw5Dy5pz0+nBIoGbQhdvw2x
Hx7yNn8jzSHc+1X8jb8mfEJK1Cy62DCPlSvKV0G/eT1oA7r2jlpAb5t0rZsxedTe6Dy59TWdK75y
kO1B88KN06vo5mUTzBH3h9PpBF4Udf0owkyttSz64eFYvbHzMx209HQLmYR9NS+IzIwgFOR6z5zG
GUFgdBl5eWMtVnFdTUfkhbA2phA4zJR9t2XxLYiIPAPsiZJ71LthMdSZOrZVYp/iRj8aPcmymPrU
N49RbxamP62kEm+ghzkrxe6nGPXXeeKwGQTgwCwqHwkXAkV3RojUca7ijcpRmq8MxU6A0xpABviN
pTHPBLHWJGf4x8gmQAzRlG1QpuqpJZ/9KjN3sNkF2rDEPSLcgp+hUu8NnBiCZTsIv+qtlh2kAR2o
a41snXTtrFeyQc8UUXGmjx6vMp0BPvdBfBukevZmsEqnMmNtD2Z3UphENq7t34RyM/qHUC3aTAtO
ffqpdxFH4rCnzfDrIvYE9Fs0IniDgu7FYnp+tEp8EFOY4wFuqnPU+d0lrSOIZLk2/VF6KA2J6H1k
h++JLmkb5lv8rJBL6TTtU17mrjXRg7a6Gb2bvUcrKs2SM6HM0xu8AtqcVM4cz1fd7P7og/bkNqXD
2BxrSJIwLUO086QL7CEFQtJnT+o5FFP6XU0X2AhYCvGQBzhS5kddluWnPMGNwNHUeS1Qka5cmykj
OKhoJyY0QWCnv9meIKLo3m9xQ/t0z/UzI8ScoFX1NOHAkkdPetR6T3aA0TXkTJSr5F1zkuEcznB/
E0+HFTJpDiz6/FbbFrss9Ka1yn0NyAw3xP34FNd5gAmmIA4mI0l50M3h3DH5AoSUoQy5NyH89CO5
ywkbB6ZGL9Oj3WbWrohVe7S8rT62xDzM3UfWZ4tZMYimubAnvrRXJVCUeqC87dpdZLX6xbHl68QI
FQYUWUoG3gM8zGArtLZ9TlAbkUhfTW9BIkEw8FzwN5wdh0BD8VkjvpFBjmSztjZM840vSUQ7ts30
0xg0X6ZZh9hb8MkCR7MOg6i7ZxwsHw3yzDXQYMz4Tqu9Dr04BAzcb11bLpHZY69SjfnITg9Du0iZ
rmd1BKirO/i4sLjOW5IHVGGufX5p57YDqp1sn9xLbUNGYlWoIrmZQsYXmSk8L3H6Xv+g3zacUwQZ
v/owEEGxtWSFc6Y5AJWxKbS9wUBuBSWR2Ev0xhs5u/9C4RTwQDp2pESZ6yAMghsbwzfKMYz8NenN
REns0iQ9t/Qyj87chYvN5Cd8V5uVpzdWQzre7oPKqYnkQ5oWXxi99CetFwzLpzXsg2lPDWnDAu/c
PTnmwx4f+rDIpx1NAoYSJdNz1WXd9t5ChsS/7lqdSWAKcLVphm4rUjEsiyIJl9GQF9/7qERHE2av
flu/lwxsF05nJtfY06Iz5jd3ObOw7G8BkSI521vBrJHYksqqAHml9Wus6muo1+hy50epDsHXGtKD
PZrVmkUxZZMmsFEr9Cd/KIwX5ECEZzDPg2uXbZiri70ywmBJ4zJ/EekhSYmuJykZfZz1OKcZoK1k
BhmoD6iAl1HDkdFOOm8TdpYSXQp/A4ZH6TgFAin6B4pGVmxAvWqrFGpI59xsejdrmiMz+BYGw5x0
22Res8UKB54ZfXwcoo7xHx2tT1eM1xQOjZboElW4D1NmdqTntk8GaTtYPyDjakq8VRIKgMqJMZo4
ROPXZa8S4Bs9iC0ABZJjNDSr4z1x7t++D/8efBbXXwl99d/+g8ffi3JUURA2//Lwb89Fxv/+Y/6Z
vz/nn3/ib+foOyev4mfzPz5r+1k8fGSf9b8+6Z9+M//6H69u9dF8/NODdU4wyfjYfqrx9lm3aXN/
Ffwd8zP/t9/8y+f9tzyP5edff/v4kQHrjYhDjL43v/3xrf2Pv/6GKAy9gkG63r/94z/yxzPmv+Kv
v/2fpP7Akfff/9gn8rm//mbZvzsGdSQcZ+nanm3xC/vP+3es303DMaWgVpPCdnX5219yloyQH5K/
6zbPlgK/gXDxI/32l7qAzMK3xO8cKhwpHN1yXdPgp/7z5f3TZ/nnZ/uXvM2uBY7Wmp+29N/+JQNR
OsLkN5LbKQ0ToDff/4cMxKTXSLebkOfm1YBd3fUAO81fzHBgzZn/XyxI9xZeBSNyfigxJ/76xp9P
biKiEZVVHbS/f/PPp7XcpDuv9N7+5cf/fK4lkfm2A4Oh+1PKZDwZpAjt//wB6L5glbJVW0zBNofn
+RR57q5S5JI7cWatTK8aj3o80XiDFFiNNQVRkGHA8GfSJYnDjmifOPCyu7NurKoK+LTLlXa5f2k8
a2Q19N3VRMGGD/ZQuHWJtNKVj9EMJkCzX394qdxGtap/VpN2sPx5LJf1BupYG8lSLaOTYMV4QGvP
wRnzziIzzOrgYLJAnjhr5nj/OqM5c8j4YJ4LTmm0+2fXpJcQaExChO+Pz11PReEPW2Y6zZl1C3hR
XXzW9NZOpqUdOCYSolyW2N693AYCx8pR6ga8r04SjCAcHAcx0Kfc8opV3FTOlhOwvdQY/B3jaKOH
KnoFV1E/OviHdAkL1h7xu9I8RHfpLDVYmJyAo+IhskGaVYCfF+QmFOyv5qvUWGgwz+P1EMI5+voZ
lOB0brAwgSrMhwMrI2j/ojIWrWdBgmixwRCfGz2XbvkDMNRp6uagQS2fFknqmg+UseRyiQZBVugc
zIw/nRvlSVPWTU9t7S1xc4MP3EsemszpDpBLwm3kUL0ALDAIqHHUDzu+6m7cnqsRi4Vyu/Lg1IKM
FUaGazQIiBcGDkmBgMOE9kSPi0eL6dJi6An2gPbw5HtMdRY2Q267jfRtYZKiLcNPwqW+cpQ85XFk
bJpaax+VmbibVEZMfwJ0sNJ5IZTpWzNhoY+9XZHmL61Q1/QNG4u719rkVU0QRZWZJQhayPgBnrDE
VI8TUTPQNg8Mtq1RLB09TG5h5YPCQkMwTbnaT1GMDXEWlxAQuTXrvCN+MUAOyGlrU7sDhiKPV2Ay
NjWdKX42IuvVrifzsbIK92KQz7zw6yn+0hHBt7KqIN4ZrvasMm4ecuLYNJiHRNfEbrcWU2iSXeAC
g1oPFw0xd5FPLsn9kRNwNAJicbDQ3G66dFhHLk3eJM52sV92m7IZvI1s45WADAm/KrH4LU94GWcI
TWLsUntaDh34XzAgzLW7hODhxmLE1+jDvnGNbt3Qb0EN6goA3hAP5m4hchUyTULAWM5DJFNra9ju
2YO8uWjARe6yTH0f1nIM39vKmJOpqO6JXsXN5aC70XuPuyK9uilWXgP2D6UG/S1ezbo01uNICqVJ
AnuOinDp1spdwZI6ZJkQWxUP9daorC+DtiY/1PsBnhHG8WCkBzN09RVLzbWcza2UqpgbJ0i1lRU+
waABGeTED/dHo58QNomGZClMeBBLO8DiLggn9B1TrPJ8HE6DPn23gx7++8yiSe1GvorJ+uGnaXwM
vShYBoXZHlVSo6duo3zpk/r2aDnVE9Sej4Kx1nNnMg6VZfqMSjO7ck2CBQm+IoirHvyoL9/ocJhj
brzluWvD6UYrIWJXf4u7SG4SKb7SUIuImjDiKwpJuLq1Ez+XYHaXk15P79Jtn/5/7fC/qR0kG6nr
stX+D6VDnlA6/GPl8Pcf+qNwsH73HOlKacJWdoUj/iwc9N89RpKUFMKwLIHb+u+Fg63/LgzD1HVh
2IZhWCY/9J+Fg/c7L4rUIse1bLy+rvn/UjgQ1/xf8qal5ZqW4Xi2bVKl2PxT/1g5DJYNxIxsMvzg
rtiUzE/WAJwZL0UMW1Kl5Ewp6PeTA3jA7qIvvasZew2VyzgffpQHB6Zu9K9mFOPncce9CtGEtn5H
CkvIEypZoN+SOY4LOe5izRjWqKYfSExbF52pLRuBsse1oy+JNE3U6fkydzMM/wk5zAFEgA09fblM
B5jecMizTdfG1SHRgO2Vow++UClOU+MAbyj/2on6exTzDzM1tpARbFS497BtbxLsXrpDBJ0aE3cR
TF29qSwzWdaSDGOJ3YHEweYwWvbWKkeoW0GPRKmOrrQSo2s1f8kLdMclnB8hIAxOaeit6EQlQOA4
GbgTkyQbP9dj2TivbRokzxYLeyBZ4Zt5rbfmVd+Z139r3glE5G3FbK3tXEyTudMpRrgcu0je+GxU
k5DrB/fTwYQaRn6yn8rKxaRRLM15D0LJm2wAensEpGWvMhzc/cQIAsVEHZG6EoEWDs7KnjAKIbQj
lPY7oKxuC/nqg8tNX8YNAPYsPvIehmdCtpYB8mFk8ETZxAGwOaU9p042bghSnHYolTSbwZ8pYg5J
7sUPA0Vt8gBmJTg7CdSELEZBpjdE4HbGSEvdlJuh5hjTZ+os0LLye9JZpUlryc6dPQnuxkoT8Xd8
WwYliIRSnDnvut1EB7tpwlWQY+ce3AAcqckYRvk0c/PJXUqqnnWvlcPeGLo3HOnjsmdfXDqUUMdW
huYq8+uzNnJlJAnPJ+gSNmnzHOV5eaiRYsVs7WzgRrfS8q++a2nLWndoSowD/nzVLOsSceadIiEH
woXsfHhNqoKEFO7Ghyx6soEHoefykxtwlYNbGtXKZ5yJr8F7NPK6eqiL7quN6cPC5XedzInGhpXD
sLQNcewiTZCbSiq2tBAThMxZOEBjcEz6K0fwEhodub/6WFzLrLD8FbDfVyj136EewOBq/fCqN324
NAqDdoPhMzoMi9ei9TCIgbJxcrd8EdTIJsgvL3LlJfk00nGYBy1Lw8n3qSuaN08St2RObfYoOkPw
KbnBKsH3QLhYUb7YTM470/DeMwwhAdFDpz62rUvdg8fQjcrdmwXYunDIvhkWO32dVwTa+RbMkQFv
OtOR8kS+oHfUpPmBUdi63b9oMR6KpFSEmxe1vfc7cEZ6pzZCHjDjIZwIMbHnqQquKJCDa91SRote
OtQjYXgt8+Yd4bt9QcG+JKZDf52CrDsCLfCWWtdXX+CgbR2nw2WWkPxVJF9g7THFtP1yW7ZcnBqq
650ZSfc8WF6HqGDbpyFA455IJ3NwbmXRQTduWpsu9jSs0564MGj/9NP8dq44YxqBQPVtrf7iKmGv
3aLLDkUzl2TIlTccw3GKQPnxUIM0m6ZN1QkFg2CwiT516gPAd82zHwzBuaJ/svADsgspRfRDkylC
pZPGW+Pa7c7tbH0v4Kas0xLJh5v21spPy/rIMb9mYD5uaBmIXV+10zarh2dlj5cpbVoG0tN2Stv6
ycqsntMdzrpYn3NeeJ0qo2HV8o4+lOaMmrEvwkw2Dm6mtV+E4J6MdGPl3Z6BoPkQJlRg6MrbBTrZ
4SDk2C/6wSSvUKfN21Maw4ohkYd+bHRW9bCKhzn0WeXVUatT+yZc7cPJSvVhhfjh4npMLhaGtQdZ
ALLB172dJ0G7hmwvZit8gTiOo1xBMLw//PUNXvXRDvVjDRv3MNHBOYRKY8AauBfdRvDWgJ67EMab
7plY/UTD8kkX7jluGAZRO6llEZencYzcfeBGwclsx8845TULLrVLG6+HYQivClHKkil6swP+ne0t
EPp4p2kmG1WfHm65b3Aq81V2i6Fx3yKWK8KMupKcnPm/jabaygq9pqVUOa8gIYNYBLxtVY60+wiz
M23sBgphmN8QyTYfcfG4XcOyxQKdwiHp3WPMPQTi9KtFtoudinc/syz4ksLEcEfqqkGM6jYmR3WV
ixXk5xDrGlN3swwSBCtA7nGBPWOzjyvtKdE4z7QYN+4k2pz8s9jFZ5CB1rjEA2ti05K2QdP8gGdB
oG/N3HWg8Y2ObPuDUdmIo2lL7TI7bnZ+YUOnqS374sjEXyIMY0wS6+7GSkZznfvDF1rjuNLaOeaj
xXmihcV3A/3I1h+jfV+XxjX0iP10vNpYTQUmDxDldJfzIbrIkv2VmDIE73yJtSg+BjXzfmZ7XHLY
dG921iXXHE0UUj59pwwcxZmsrdd2YgKQzQ5Og0KY5nB9kDrpPvcv1fzw/t9Ydb0dx0YojHWMdmbu
cYwahyEnNIDthdPZSiVz+xx47uF+gd2/xKRKbnDekDYHV1E3veyrNk5y7fQh+v+ItokESlvklnu2
yB1fhoTC7UpdXgN/ys5W+8OdgvykmcWLYTXNTlNaTfg3XwrO57++3P9bUOTYIAveuft326rd6Sh4
9m1hO6cpEWcz7gQKQ1gZtknPPIOIUtQztXOExNLN7jsC9kL8yfVz0qvwjXrsuSQePsnq8qvv5SX3
/AeHqvKi1ZznAjtpvjBjPZFjaH2Gg3bA2yi+jJrylz7pIpfa8Lh76GpAqtGXVpWTZCJIRgZxlG9k
6MtjSmT2ynTb+uYk9keSeNnrlJCaINup3CeZmb+WvU2JGDk0kye5CTH3YBGMWhRDLm7D2r9NYrB3
ujXH5Zh+dU77XFtpnVvCRC7U+f7fzNB7GLTYWuM9SLYIwRgL9jrrxkjVgD97LRMCSqo2jDc+W8GC
Q6J7bPsS9bLXmJuobZNHzLNvtojjIx24Zlt2sP2iLpbwSmbm0UB6kUcYjJryk/cSZL53SOuS5kwQ
PYcx0HhDjdU+iuFjY9bzF6I32wtJBGg8kqraVSlJiFlB+IdiJ3UrbWkYMN0NXKrYqLGgwizujJ9l
QUXShfiwe+8hc8RJd4vXuvIOsaag5iqwAoh0csCPke86x97U9/0gz0Ucbs1kQmWcqJcGOSKT1O9F
wrBmRPXihu1zl7c7jsiv2Mc+cap9pj426IEZBm2VCSmnRVoyKKkB3V76npjMxGcMg6N/RcEKgqN0
yFAxQB+5eyIznikvW9x99gkr+gNULUDaJWmf/5e9M8mRHEmz9Ino4CgktzrPpmqDm7ltCPOJ8zwK
L1DH6DPUGbr6Xv2JhkdGRgKVyEBtuoGMBaGq4epmrgMp8v73vtcl63HkknT/ZYPQ/WzXAkuQ88XK
u6ekSH7GE7kjyOQ0Dz/oISNbbOec2eS3SVsYOroD/RivfrEZVZA6tOEXT3lbLGcL7xqQu9Q+VKHl
U9bGCj0FRSn0b7Y9fw9y7T0AHYz1YhVY2hfTS65RbH/Nh341tebOnvS1ZptLwD1nx4SjQ7o27EHz
0v5aV+esPNRQjYngrL2OXXPk95+H2X722mFL6+WjeiEHAxBcj+GYisdybw4ewZwRk480+X57DgWJ
zmMZJ+mi74s3vBQH6CC6TrIC+4IesqwjCuObLVoNxPI59G66F/dgoavHTsvChZc/T6k4D90IRlKv
aK62J+LkOrlZNVyeWPoQU3rsgC6r1/IOtfH8caGP3QvgBay9EyHYEKwl3Xm4ABrpLzQJ+ZVi2KI7
CLLu6yIKvE27dg18uG2+DimRQxsEEETBOtlwy1gg2n5HcCO282ZHtAh0kJVRrHcjuHG2RoQ+Mtdi
wwAOYYrhoui5vW5b4zw7tM9ZOTWXFjYB8Fud+UT/5Itd+Zc+98Dx48ZJs3El4/a1CYySld63tnGe
cVFZq7p0j85U8KF1a4CLBmEjPGP6zpucfNly9lqaMmuP2lSnF0d5237mBl4IXIDmU16vMYI03w20
xcUQ/MQ2RZiGE2rWprhvwugZm7/5LJcFXBeJa4lm4dxIe0pEMfN6BrWgBbYl5xxwQUfi6mDTUDjr
J5wtsrmhzsuBjtXklLJOug7I0tL90zSv7+E3nK/Jy9jRcu20m5n+rpUZjDSTZclWsoEkVghzRRv0
+eF+K6y1mc7l5FhxUSPBry3BEzQ39ceTchQPo2GM29zsLq2OpOmAtX3w7cw+dxp0dHLdNCbLGGXN
riaWpLwYgmUF7CBoG0GYf1DgSgv0uBnnGi95Fe/SqTD2ZdoFkPDq7yzvwkfh/Gjr8Oy3uDFEkcPX
LtwfXTkPjwnNO5CFfEwU2dKqrLU7cPlxaYeiy4hKxMrOx1V5Bx+ZdX8K+JNgPOgYd6A6OszoN0ns
8pZRhwEyoAMX6417nX3qIp+raAOpjbChRyke0KLPZs0nrvAmyoNCFsxi6oD+6G73NQ6yTRzazk/N
tmgfnSn5LnPq1FyZnMiRONNoHIiGiRcLIwwOLmoaJXz9vWEAJczwoUBHqFdmantf6jhp1/0UN0cZ
kLfPqZ5Yol7m3+J5wDFkhysGyf1xlrN5KCY2771heNdMN6CaE6N1Mmz+5IMw9kdcuxgdxyttlm8D
0sYzZ9sqrMRD7VhgAfimLL0uN5kYJi844KYXI/J3dtyaSJPJgkac/EmXnNP5VvVjAsskCjdhzKuf
SNydujfHO01YE0N9NsCDU7ar+12K6uaTiPwDqdMtp0C7aSNK/eCO1YB9OXsZw1KrjeIkXf2tymig
TwoACQMZ3TUbbBevMMJ6TX9FQMlhIiaWsK5qAImto9mnL70FUcIZvR9u6sePiQ2f1MC4aeYaIRyw
h8cYHHRoVswNpol9N7GoZasB7TGpWlia/PiDy+NYONR3JaAMYzD6iwXrp83dU+Rr8jZTXJBG89bv
WhfXZuIek/K99MX4FILB2U7xi/Swc5gpaPfR32L8oNecjYdFlJgx+qw6JREx3KYnbNDTt6DLmVlO
KCGVSXoPw8iBWdjERzPTK9YmXcS61OyWzZR/JhWQscoUZznCG+xroz1pUXvxsxDwGBSui52wB2fG
0+8tzYejw06bs8aPEeJ9zcCZvQiDVdmfxzqishgEMOspEGl9kV1aWAfPcTVeAj/SFqVE0IZIV974
JHtbJ9TkAj06vIRG/w0911xrRkWNVdaMS9Pyx6sEwLJxJsiZlkWZfG0H0RqiWXiKbAkQp6/DbY/p
69pblbuj4B6iA1lmuuLaD1PjSonCEi5yaiWqngpvne5jvFLuQ+lVN0P6j4x5sksESebJyQTXbL9i
5dDtYkLBnEIA1GuJswDrSk0ESswWy2BouRQh1GW2KnkrstrdRrytKz8G5oWlwVzQSQnorKJnZ0T2
30jb8negL4xdoWPNS4z2++S3xnedShTcCt/LZvCemF0f2ep2+4COHhydK3A3+ZrSE3vfyYNJMu+U
WM46mWoX80B49GYqGnErCd5RNKuBDa6odQT5nkVO0u05p6bndLRuyC9sUAJ8XiHZ3NoZ95ldfozC
efIhkR4KtpRD5OUPSacC3gPvhlFO5ZmON41SyUBs49DgREcs4KErtG1tDit36EiOWPXWFPN0zs1H
gw//GXo8VaqZduQ8uAiZmJ5MrlX/VsX/NVXc8XTX/Weq+P/+j48i/a//bP7rP/+sjP964t9G6oZw
DRyOHitm01Iz618jdfOTZRuWrjNqtxxS/X+M1G3jkyE8/pcwvV9z89+VcURz0wXFgYTog58SpvNX
lHHL/8eRumPyH78GDgLiLKZt/VkYzzAwRygD6YpejYpGs7Ghza/8dYiSIkJT9Q90HC/bOM+xfqKD
+ZbtrBtvaFlQsKNqp5aEYTw0l0rk5c2V3o8YY/muwdmy64fsMo6e/YL7rt/NIky2ImOvh/JP8DMK
V1bQ6+iBCEdhljGrdgzFsxHprYUmUlIFT6cFVBBO0rElN5U1N0tgWNplIorOjjeyz02OjIhX/pwE
roTj/I0hnP/kQypaQP02jkabR0Aah34tdJC30i69LxNINZRoL0HRrrmuprD0CNmw1EEUWHVd0u+h
wr8PupgoQQWtWkn9WNE7fBhSR5zYiM46KPfRGx/yRE4P91vCRu4ZOFcs3M6KN8gf9mKMQBJKdZgH
/6kIfOOsaRr2vLpMj02YV5umMty176df2dpM7wOonEVIlyUl8i6tHmDa2ANyvk8dvToV7repjkxO
xFRfCOrEvkrrC5tr8Q7KIqM474wUBEo38toXtEOG3Z0ePQLzXHqlXT7eD100r2nLLR9gIVWPaRv5
RyLebyy1aZZtiz05cm9etRXF4W0674c09s628k8mkSEWpgsmiIXAdKjc4NsMIYs2rHwtI11/oQd3
RYJJHoMxgvBS+7gB5xpm++QcIyONbxUTF+qB6cisg21tlKMqu6R6ctDpHfaxIydEvg6T2vwWBdlk
i+pSZi8wUkOjBYaVbXzXPZlBYp9x0k3X3nWj02gXZySz6apZqHuxzCFLzb51LLOxOkAnBsdR4U9Q
B7Mq39Ke3z3OGe34UfFoi0meAy6dNf0vQ5Cn21Irhx3jLH3LCjeHWpb+qOt03tq9nBWpbDyUVrQf
MLAfBkeC95KlvQ5qsiGE0KetDa9DBLB3/9CB8tiEIpMQ0ABJmp9SIpmkCPQNO6XXgI/foulH+T0H
2Ow3wtgUie5vAoHnS9rAfGgrd6/3gzsQiu+MH5LmjQWom4bLTlZfq0hUV6CjWExgVSzud/O6AAOl
x96+nalsHsZ46RdaCHqHoplYXLFB+ksHFWyt13rNwmaSeFqYA7QZqJ2eJpWdlPpD0hvidD/QQUND
eOxqm4l35tIL92o2vCp9XjCdYPr0GzkY8aI63cHBeTWu7awyMeZjkmxm/+yPvs9iRdYkT6gYgUL5
UVIGeu3lmN6EU9GNObErrDN/l83UyQ9CAK9OAIJqdr6OUr9faQYDsr6b6QO3i+Q4UV2eVi38FUZc
qxJgxDHIKaulh+TstBH8NozhF7/IJppBGNnkfjE+lb4cFhFInbcCtSCMaj6g6sDaia31jCPTM9DL
ixGgb0LAa0kU53Oj5UgiVYB9JFbqaKx0UlspppHSTuO7iqoey5WyetOVyhopvdVUyqurNFjs3R3v
ELrsqBRatAihFNtYabcGIi6KYXialK5bIPD2SumNlebrI/6a0vpRe93PWQMkxtLeeWiVSJwmQHeL
PNjQ64rvXEnJoQnVUinMCDTNtVeHSOnPBMnE7n73/j/Cu06NYM2ZBa6H0rBjpWabSte2lcItkLpx
KduPg1K/Y6WD1wjiEL9jvi/8zrjTi2WkdPOQ/MWGWPu48MORCpW8QAnLYG9h2DUvjTnuAfFnzOjS
H509Ko5ABvLWfigR7Dul3NdKw59CvlB+H6yF0vdNpfRLpflTI7iVagpQMw7IGAuUszFvY9o8d4Y+
bzQ1QDAr2R6FblirVE0WCjVj6NS0wVBzh1xNIHCZI9moqYSv5hOsFcntq5kF1b/PlZpiaAPM+MBb
TgD3V6lMv1hpb77Kqm/Xzaizp03LV7Yz0L+gmcZkZ83pe+NP7uLfC65/bcFlenRE/rMF11M8fLR/
Xmv9es6vtZb3CbMhLkMbWISrWwZOxF9rLeeTZ+pEXJiMsWL63brIYsrR8QP4QhieUKuzv3cgsCbD
KsCTTN/E2/BX1llUf7CO+s2uqvyZ7v2HeCzaSCpYtolL/s/rLAvAJtQPIkWmkKpducI2Z8TvdYI0
IbJMbAydcmOgCKsUTfGG66C52Xxy1w4NGiuI//kaA0V2nrKNM+Rgp5zE2obCNa8touy+Uc1W97tu
WFjXyUmMK4aiTlf1K5GFeybudyNfh3XRJOzwpjojCZNot5b2otUMT/5psgj+R3ZuMor3YXdJ4wXA
20gCSJQrZ0gulR7lL2XSP3p8k+lcdb+wdiw575JAqMQVBBRt7aZtP9TSsTD4lfaxDL1r6Fj2N3WD
elPSJxPuK56XLdl9In5nhzpLaLwggApKYTx16pDi2aOA2tvd7/3xuKMy61Qu5htLGY9NhkgbEzvj
onZ953I3I9N0Ga2ynIBBSN5yb9jN91yAdSlle6ryuLxFUdt9xibSwa3EcjRr3S0K8WFm+bjHaE5f
H3QAxAJJXYc7Eo+3YhO9QWsf49puV02b0HmUi4EAbo53DV4ZqMjalO9a4aabLPfhO8ClOgcmKfcY
8UZokgaW+YPgGtvKsoamwpy6nuNmJxSmIspnSkGHYno1jXJrWpX/MdfwCZhC7Vp6xQmFZNWCUfyw
xm930TG6k3qmnqGcaJDU0Zl7P88fXBJPzDXs6gx//eyRol7NTgplzXL2bm+2v6WRapbIu1EG7oNm
t/LcsI5ZSNfCpBH7iyC25QGi4QmhHeNF1SE2lXWj6oR3jHb1HYU5rJpTV3+y1CHF1hnlFdtvf3gh
fBvvOwAMp6gF19gKClepehSIWXF2kjCG1o4QlGkynprSB6aw3hPjB/8ZdxC+m9l6NGZLu2a5hiyg
Wa91mHk7bZ427txXuwIH03ls6dq1YB28VUVL2acuiu39LoycN+YWFjTkBXUiLddstYPBuh5SGHIw
XAZOXUF7Gq4V8MXQAo0w2ImWdni0I+BOlMxTLzHzAmOYm6ZYHCkuO5dDmH5hwgVfqCWplPdT9zjZ
3bGr+MFhZr7fA17SGlkAGox/HJPUzCJFhw7LrNxbYfzTioNlXZXWz/cqse2fcKC/9R7VTJRXScrX
ScdXXiEvND3o27Ye6eVJ8dcP7cdIKeZF5QevFu1gh6og1zZalOkmRuit+8Y9NImID51uwxV3q3zZ
T+lw9ADRLTH9VFuLQOhLUMY/ZiszNqMxfTcUkdB7llaP5ZDV9ol1drkBUROw9jbr8zx/m+3oORn1
7pyD81zXOFj2+EXEW0cta5ww1EZJZoDWP4AQis5ijGlz1YLjUOn5C7Dpcil7YqG8rMULuDOxGCsJ
CZQa3pFeW8zNHCoXlQ3uG9hphpn4kuxsT1a13/v2Q4SRAutIWe+g54TLLo9jED8mnUNco2c9R+Ce
BDYS1pV0qVX1G1B276ynkY8O6bQLP9fs/f3jMuti3g56zIQtRdn3mTeq3Ci6JMvJmYWYGWrhvqkq
sF+czXbEZbtVEEHbEFa7K12cCV7WOzcdJbFytGPrmeMaJsFbXbQ9fJN2PUeJoHfQUjHOeqG5ffs+
Z9/9qi+ORfvB3ubdQZH8kkXTilqYNdNs46CVNuGLstj2YWjf8sCRL5WeHPhoY/ty6lfBlnXbWaMG
/aZ6wzTMOaDoSYm8xgN9P05RffSV+er3g0/ORo7GqfKMZj3nsbtN3OpjhA/2Q4qZpG+WXqdG01c4
OwhpdNlTQrPRY0VyG3z80Nb6cx/YwDEL+5bCFAL44joLY8rpKNXKZw87Ul3IN1fvaQtoahqFtbJZ
dWWIcMfq5wpROmkyC6ypNI7eOD7GcpYHWDzT2TcYv4Q0P5xFmC27XnPo2VPDKb3QD/dDKCP6/HCF
bXmbmEniSViw1ApuknQxDoj6TI+Is5JeClrcp/dhoXd0rRRWFZNXZb5mWwEPlqgTyzlMGb5lvTj0
nQPGIqZpJQ+ZsaiHcF50ECtdVS2NFj345rGXmX52R3c+j3+7Bf9MP06Rzcw3uvS2zZh6rtPnMWK0
J9WBl7o5192uKfXuNuZ9+lgN0TOA/viANLtnNUwCfvTNSxh4WM5CNRKkYvbOcJiaeHpoZ7FmGjHv
KeT54qnJa2PCUiloNDIzLjG9VtO9Judft/7Vx+gn/P1pc/7dt/Vy57C1fvD9V7fgrdJzkpFxW1cr
0Y76FT6eddACCRvNhxyRZ62xh9X3KIwx4wwc0ZwcjdGL17UvpngUYbhtHWP8EgdUQPjYGE75wCLC
qkdBRZ95JHvt/3ZRQcAO95mvfWmi3lzX/sg5XfCvzouYNLCvb9w6rw51n7/GehFzdc8+y8jUUZz1
/kW0xx7qy3d6syRAN6aHeDUmELDxg2Y2+kNkcbBjA2eFWT4VJhBPuiQOpedCmCnGHXneEIgIbJXf
jpxeqS009OHQdW12mHziCj4UawU7LSAI7Kj30LnaT52CfnYXMbndJftK9Dq/CBMpAebkQWjvhtYb
V0ejgpJNDgFxbVhbXEy+miMzpHhOM2YsaceZgX9Ao24VLv5D1KGlJKN3buGwbit/hKLOiWBn+8N0
tOoWKK0dpyu6l7N14mTOxbBSGlbd5yh0yD8pUsugAC5D8KjRPn61Fdz+/kiq7NUWVlOL1qeOiRqd
oTTX++3k7yDjmR0G6zL1GxjnPdFjJuD7Pi2dmzUCxDHm8LEY8da5TEPWE0UwmwKxYUFycXxu8RzW
qkMRXwuuiKGFzZ5Og7KRMsbM3EuNT+0wwWhh7Kdacu4Hruclo5hzqSpziNNKhLUiX8Vjnh3vBz0S
Gacl6/ZbS4OfDjosYOtRbz1s9MFksLprX0Q0fCUIr29JqW611GXWmno/anNihmvDPS6n1j6giBz4
EqKMzepMwDJiIwkaH4GetJdQZjvIuRmdnrm3p7jlqz7X1WNYeS+yd/QvWgYMZOjceR+D8n+zpoPD
IibP9OcqqeoXE4t9Fk/B4/1exwfVtnB3DDL96OxE27kFKUFqTo1nIn1fq8J3vpVYBsHA0AvvUF2V
gnGihfFGolIcRNTU64A3lmE/KWex7u8X+op98wu5y3NFuuWRmL1+a4L2xpYyeB33XUirSiQz45R1
cjVANKai2QZ84AzlgQFTu9HczPiMeHlzNV18c0vnPZ6d4upN0WeeWy9dIP/bLgPSFIu0GS4TKuG+
AOjqUgGEPKJ/sZ0A3hI245Ntk3ppTZ9Ev1+6p/tjqbqVenM7LErHMilXZMzq1i1ijojRdtQtu2an
QjrwJmNzB84iWv/1je+/Fsz7nyT8/h8M7/mmg/7O1vO/N+Cv2zT+P//rRxQ3f97+/nrir+2v+Uln
E4uQr7OSVrOBv21/9U+6QakNkwbic7ZlYY//ld5jC2xgtMe57zmeh/mdJ/1uwifY57Cbdj1Cf6T6
bfcvbYE99tl/2gKT5rZsTycFYOoGln41ivi79F4gLS/FtWwvdcaG5tBqrE7G6tT1RnRk2MsysKAn
VyfQ27uk++DOVwuYYDB6etdahjX0hA4v4sW0puJst5f7nb5093RBdGsBoG6lI9M9tRWkqqHE1iGE
D8PR78gKgaCKKrzb7Mayz+xIaB0XBOSFsJbDwGq6CE8U3dD6R2XDJZFEV8yiOEejy6l85ufl7jNT
uW3Q6TEdu4XcAv3JlkNg+StNmm9z3/TrKAZP1M7+1zdjX9XY0V02nCsG2lAlAP/rWCrhKrHk5HJ8
ITuw0eOiOpYp6NEg0/NNEjrPRVSNWzjFz43r/EQv6DaDn2hPBJ5CSMMdFip116DIbd9qmQAXKubH
rODUIv3uasxUh9CV5m4Szak2QXa2A7zxFfA4y52+z3bm0NkRgKnh3L7qHLozLa/R1qHNyFozinE1
wftA2/Onz/YAM6rKtjmUpktMW+qJ1nSsXG24gefWPVC9W22moQwuEEpnDJrdxum6YFlZPimmFoYm
Xck3qDEhvKvYu/hGh/nfM0Cf9p5zMBoI3ZkcXpo00R90XtiHutlI2B3UbuTdURC+wmjw4bpds7d7
7zXiMrF2auALlBxIRtO1cxjqEDGWtR5FuI5aYx3jyktOcdmS2ZqFtWlKZy+DQvykRZVfse6/xjX+
OlhF0xp0+LjtaVtZaFivP5uWe/GSNKENF8ZP6g0gmOt02vtd3Z1T2tL4Y97OoIR+4ypXiVT+Eho2
F6lynNxbtmrlQpmUH8VTzhQ6yrvz3NrrhLOpptwrKTYWYqED75j7gyuLtXAqM9hQm3iW1c8JXfyx
wAxTKVdMYzbGPpZ8emC67n2sMz4WGtA6H6ny1LjKXRMCOr4MynFDTSzEROXC6ZUfB6+MfRbKo9Mp
t06BbWcy8O+0pkG+AUuPq7w9ESYfvAQ1QFdSXcr/UypPUDjiCbrfQnAIL+qPW8o5hHfEX1VR2GHi
oRrJSl7qsbJelFGQJcoJZozOiCOJF+To2l2u/EmBcioZWJa44JZ7xcpbuA5bzYsuAPSz4IfsrvxO
iXI+OXLV/IR/2rlcbN3gKW8xSbm4pSxlm6KGlArqAvIrhqqCfmllsCruVquFUL6r+4thKS8WZwYG
Hsqf5SunVqM8WxkO4kU3tsrHZaw47eH3Kb/5abfBS7aP0iVfthP/yhUMqxfSqAf66Knu2kNNI3rJ
ZiK3H1sjWhLHAM2jxdR3s43pZrpbzP4d0CmOCdrPMvs4j8CGsonsWrc0fX/HfANevv7Z1ynJLut4
HfBWT14Hj0YFGlC3kyfw2su0zK5W7DMXiC552e/bmmThIN/q6ksYAj1oy/bDKUoWM5RYjO3EW81K
eVk2xdpx0jPnjNabfkY0Z0hRf27yYD921kdW6ecUNkdnSkhF09GrnbUx/0AXsF+9rPvwhvDSMQBY
MMO6Raylo9R+rYZ47fnDWuN7hANmbZjw+r3mEmM0Xej1WzsHT5OevQxB8tzW4mK1+XMza2+5Ha1R
J58SN6Z2yY/Y3sRbR9+XE5Msh2L7OBxOvSh+0rB6GcP6Xbey79hT3yrcsJMrX+qetgCnT8QatJRZ
R3JjOgDoRjP7oo9HJpBLk2inUt0xUYZUhJXfLWO88gGhyiZ9AIK+4GzwGDCdu/+uAI0vxOmPox9t
HNtFncmqXdXVO7aZN/WsxqMuhtoKKz+hPBHKHazS5d/M8znv6B0Q4f7d1ZNzpa4OVVNv8g6VLsfK
3Re7nnnXQqPte8l8f+0q2yw61J4xOBUEDejPkTZZga9kYdlN/xDg7mb6xU7L/M2Niy/XxaCLu3lC
B8Szqz91XlWcbGXjZYO5T+r8QY6ut8uCTC5N5fyF2c10ETNwolzBzIDNDXNL+Ooj6BqzxqsWM+Pb
BCnfvEp5i52AFWI75PrF7ryTsGvAKoLqZbB4l1w5ljGBNmeynjiWlXf5/hhxPb7wytnsld4jxLt6
WSjXc6z8zxAnN7lyRNd3b7RySQfKL60r53SmPNQCM3U+BC+N1WMdVcSHWMU97HGAq6IOPQXqqzjT
TdBlYXO9H/q23rTjq5ZSFAB6DRbxaFI31if6ixa/StSnd2mM1bIWGZKNW1Ewg7gNJbgJ38oO75PF
omEzjw53LYMy8ZTB8UUOtgEcKTvkSVTjh6bWAEScuv5TlkncJ1rpjR1dIzArO7iqAyJmsiSdLx6J
tq1zJ+3eJnzYPtolAkGAAYBtOgzQlxRuHl9a64cD0PvSxypSg5S/peU+YmgZMUu2vaZGBJbymCe0
MfiVxaeFQmZcQXJngnR7LG2tWHh8tXdDM7ZUTNFNG5JTX5h8oOJO0FsP326XxUK/iZYIM9LScwc2
em+N9NsFMyVa7I79lU8SrLSaad/6NZD8sJyp5Wjo8DNrezO7s/HgO9khyGGTzGYznNMIHqLb07U4
03q6SiRlEPagohX9WW/cR4h1myyZL7GYD8bwmjH79+iJm3ROWO0ABmDc1cgPlc9yKY55RQD9htpt
qt9MWDLsbz+aqLwGbk5WEuaAlu9k1V2C/ntl9Tfasc5lOV0sP7zQIHLSI0IgXYVxOVu3fXDwGzjY
wJzXjQ9ryuFENFdM6qIDXNSl49MPxd9nl/PezOiwKvnMut2ygDfCsC4JjB1cE1jc7T5vm7Mf59eu
rKdFC80I/9n4UPbjMoioJSjT6Z2uv3UWTuVOx0m28CkNupJ0fJ4bP7paYXbMjTl7agv9rE2uqi5r
5kdtEnQ/zPQRFiGUnK7qtkZeZSSq+8tcWy1OshbCi+tQ61zqAmuud9NqNz+WUfEZ9bE40ZPK5fIm
U6wrdQHM0En81wkGzNrFRYm/4li2rkF4wqlZ/3E9kZWH0y21F641Cmhvbb6IcmfaEOSkVS/T3Wtw
CXQmFZ7BlaTvPpQx8tRQmrgmKILchltxPQ12ufS1/czM5Nq0RrYuas/dpqld4NiNh6sTecNFiM6j
FVuY6ywL+pXTYpK0obKvPaqSD9IA7zLLIn+BiyNPlUtufaaudlOzwNlP1QCYkSn9G6SJkFB4Vj/Z
FpIEp7a/vlv8n+wD/0SH+f+O9GKyS/vvd4tHwtr5R/H3W8XfADHqab/2itYn17MdJBvT/IdRqfnJ
1h12fb4wyEozMP3bXhGci+PiV/M8MDAO41V2eL/vFcUnQC+QXizPYATrMv/8S6QXfsif9oqObtMW
hXnf8rGJs3H9817RbvjV9BEcSDm4aq2pj1/G2Vnnbi9ekk5YxzxldpLyd8A5x/0eFYiRXOiKbTvg
IrV1IsSM597LqIK9KpufWTPvTEJf5uh7l6Gb22vaiWcsNfkrtq7sMPuGWI6Fd3PZoR6m3rCfSC1P
TrvHwpf/zLPhEPZRTfevVRzywh8uc1bvg9Cbn2iA7SFVjNOyMRiUpG1lrhpBp4JHJHBpgzo6d5hI
iAe71kvWQlnrBuPWe408MC0slhPtXUbGsrhlD77X3fCnFRjxdoZ7eWRbQ8+DCINNFETeY6Os6Jqg
GHWkic53VfQ7A0c2j3ZzwmCOAWZ6kJ2pXeY4PdZqWZ9QTWOxuKv9o27H6wEcVLZoQpJqKejdAzG0
BxEUUOKYWW2m3DWhRmm46ittOk8hxmZrDulRmUPjRXb2foim7MZOAtZlJ7UlI2F0KqlV1wzzSg7u
vmu+0mWvPxBNDtd51pgrs+/kPjKTt5LTInlqJyavTOcnvrHtHHjyCtQF3QnG96WaAneRTeSwE3fK
tmkXJU9+6Hr0Pnhr9Or4Kaj0fjH5lb0L6W1F/zflKxHTlqiO07xP8/QuGr36JiU5CFt2Py2Xelqv
YBQ4U1hmtBmOd+AbAwkpoCUhEZO2FIeqoTiTCevEbHRisSaJ78E5TRgbc7jf/eMw9spxrAXGsZiA
oGJJWFRT950sP4VtQayd+sg7O4Ynj4M1eFeyZcU64HxKeN1UQaKJyyPriye468HasBi19qUzvg2O
dY7E7NDoUCUIv9b3+8Myjirk6mLeVirg1ct6YLQJdzfo5ed1knjyswjAgHmkjak8fHCCMDxDTe5u
Fdrkvux8+qxgx9xKMyXgScPOytKYZurYwC8pkTMoMVgeM5HHjLll95kmBBJQs5nwOS24IDlasJqM
xKB8b8ye88y6dTKLb8bUouC7xU8zrMWXgTgGKOv5p585yblrQi7LrBTSobOXRWQkUP60jgGCfNIA
fsOS3SYgj1CeflSW5GUTdXF0mYuaTaMdfWYXk+QvFFWsPdIPq/OeTXLdF/1EoMen/YqI0qbW+4HE
uMUODlbYMqLYbku5U7E2C9ejNDEotsM487kx4NoE9sWfCcBbVZjtRzfqtnVv6/iP2l2EIx4+rd89
a2by0okMFGWbDI+BHddsmBfDIOUmgT1Dxyc4Nn/iK1OYmbse3J48SMq3H4m/ejGaDXZT/dkA0QiY
2FkNpmgOcWl+wDgFFCPD+GHui3iDTaqgR4bH/vgf5PFW5iC9/cCp8Sii7i0bKdZjimAf7w9Vw/BW
VQAGp0YkhAPG5JJ5WXLx2Ml6ydAi5Mq9l4Js9TTyH4ZBA5xJsUViT/I02G15kmZA9knoxWc/D96F
k9c/Mk1jQx9TUuhFwSlmjnMe84h/cuW1D21sPZaJUV3apta2wQD6+37XtqqaU6hWXQYPjazticeX
hk4fdcvKmOnKkz1mLxpxzUPI5BDWWHweY+ldrBhlogG0t6qMETXaU5W7SRAwU2rcbZyLkU0bh8SW
9jYReE/VxPh+sAfz161/eIz9xbD699LiX3NgUd+mjEv/bGUh2x9N/PcrC5Avvz3r18JCfEJoZvRn
shnFiKWWHL88WPYnHwQMUrL9GyLm7xYW/iflsSKhBkOX5xhY4X9fWLifXMFfh3fKNtGoDfFXFha2
krP/vLDgIss3yOUXMajS0v9BhG6hR1il70WrfIL8UZbNk6S3zgA0/MqCg2qchNbg/8veeS3HjaRb
94nQAZcJ4La8N7SibhCUg/ceT/+vrOlpzZxz/omZ++mIRrBKokSWisjMb++9NknOCgnX1all4jJr
/dQxilbXImjXDue1A05G/UQFsQ7xAShZcIsoQ164uY6HXZLNiM3p5gOkfUOW3ro0apki0d4rHbmo
SnRcppWITw0kxmUVV6Tgo2ZYGnkZbhOUsdjJmx1FXznNArq/MdOGXpsseaNINju45AavAdO1KxP/
X9T5Ur7sAJqkhOCO04fO064It6HhBrti8uTCYmZ4idqxPtEHjPfV2425G97rFoP8qPXG2XSsfZu4
7XsSKgxy46uOLWZ5WonyCxc9+rSatZachqof3uJB65Y6o7llz5j2oGcD2DFKIDalHvSbSQ9BvQe2
v8WzMdzbRrVZIgtso9As4aAF6T3PnWuWEjhbxME6zD35lqUR063BSTFWsZJ3Y13tRe/Od+kVWOAb
zfseWv2yMtrg0++ifmXrfn12w/ANaA2KKA1q69Joyxf6dBb1dKF2Ur+lbavfHh+pZwZpXR8PHpep
p9JpxLqy/f2cWZvV1gqzCHYMnymBfJuh4Z+Fo8VLr9XumQ741DPCiRLuwLYPYAWuzdg11w5u1zkP
vLUPkRqRkQQTZzzrqZ2LCaoL+bKHGyt+KHZId1TaSogC1R0AmfHWKn0vkCh9rtL8BqX+ZciAKezu
k2gwJQfHmdbod5Axd/CH+p2/rn8qQcQaYq5fyxQmFgAiZz1Sq6YkycgfoIqGhjx4URiA1c45LMax
/LQI6RmC2pJGfqdT9Vs698YLanG/De1a29VJ/imU9tkptV5po5nSRdlB8RZVSqnSTJmW2+MBN5f5
ZVCaakDH6XpWOivzhFdDKa8eEqyvtFipVFl0zV2sdNpZKbaVif1kqL2D+fBwMII6DGZsH3D0DAup
t+HSq8VPmrxwChVyGytl2EEi7pCKB6UZG0o9tpCRfaUnJw9ib4LIrAdzup16Lzk+LhJIzMoRFo0x
SrG20W7OabZuSwvdSF0MXZsB89UyOAzMBTQK+pauUr1JrpBeV0p4rTTxFnG8USp5ofRydmzRxlUa
eqHUdBNZnfuAICSB0t4rzT1W6nupdHhLKfKtvqLz2tvh3XGWnVLta6Xf20rJT5P7oLR+oTR+dt/V
bfCfHs88Cikj5QjQnBdTOQSSITYXc9/gzAIS2xLO21ctERAniSiXMhHLxzl748ci2Rs1O7lhgCc7
toa5wxadMJ8lx4cFIdzVbfyTo1W04tukB0Z0nQWLClpEpXAkj48cmBZNRr/NVDORd/qs+5U6BVgh
Sm8YyJjjoeppeHBiXwnDQCfN6lZT8Epxic2AarSH93QC+NwJGh0eD2Vav+lt2vHtVOLUOvlHVWT+
wUjNDB+dvtYdeawHK3wDllVdXbN/teZ9ORvpFY8mePYyT7nH8X6w+3QbCt85apFWbaoCM3aT0CQZ
T9AOW0OKPSaYjUEhU8SgOqCtBUYVM2r4t999POWnwkvGBT8WwMe1tjiHDkU/dWIlq1rLzZ3Hjpv2
S9e78w00e34OHHL/eI2gbKfnYC6yt5ZWUSvNscWmFgMwLVj7c81P7JSW16xw0dSz/hQKyjJCKV/Y
hmv7rsd5iG3ZequiNKENvJC3uveDbcvO+Qg9N12bwexsjLhYisLKMNbNybV3i4TuXPtnbWX5Hu7/
NS6E3EdN5a09a84vuTmFu1i0QAe6E7XaM/1QVfrRmPFFH/Hc05z4kgVtTWtqFD3bY1MumiC/0FEI
xjHj4jQkrdxgvhV9nTwVDHaPSS8+QmwXy1oP46Nptv1d1D+mzjjnBncJc9KOPRHQNq7tC+M8+rwj
XbzYhQ4Q0kjsm8HwUPNnXrqQXSQFxvNTwWBoIya7W1aWUr+SNn5pk2jZWyErD6Aq24snFoX+l+zp
MAgTw3ihAXQT5V5zkYlBfVCkpatGb6vT46Jxn1Q+/2BpuL5NZt7HAxjNA7XbyZOF65PD7lQdgmqo
+RGogGJVVg6Ot5pWVR8XT2FNUYF08n0Z48WtnGk6jJX1DhigO5BMrSmQMHRKojT55JqzfMI7ubGJ
ndHlToUHW5WjlljYqgsa9h4Pf1961fWGkenmcF67OS+NM4iF22nlJhVVedG8cRP3ub0gdJXsDLSr
pcv7ZllEULmjaI4ufelF3Ci9aNOr+IJQZcG57ZE2ZSMce7/+u9H99za6lgfy8F9udMl1/l+Giz8/
8c+9rv0HUUyP3a5hc8d+zMP+3Otaf9g8aeEjlySMH7vgPw0X4JJd7A8OqhKglseG9q+9rvuHS7QT
vjI5TEM5OP6TvS5Jhv+11wWhLHSJu4T/8P/98xCN/VjEsI5WgKyA2IJT/KLG14s87NmXRKG7Z49W
H/MqXBl+dPeg7S/Zs9GM0n0SIBiJhU/RIZ70/CW0xaKTJcCyLDvKidUC9oEZO8Mz7a31lYb3/eOR
rZ4CnU7snjTBgd52bSUzgp/s+b/PZVe8tjNdhUECtjj0zOTqkrZniZ52TtJ2F60F4O9Rzb6LMxPn
raHpuLE9favlwc3xk2Az10a8yisoKJ1gcWvmvdvDsEEwhJLjzbTjZLQiNISaROSm95JDK3iolo35
GJFe1b11lzrJ0sn9YImQK9cm0L4vgYwPMACuiD7Fe+faP2JI+u8D/q9Vk5G61mKi/l3UaaeU5sVl
0zG/a1EQF5phb+inrIjY2T97HXAJ5fCDVrUHa5rqJQPz9mjAzEpM5yDyTtrLeg77g2Q9G5kaLmu7
tw5l0ohF62nd1ku0teywC+aurwGkCosvqSXpv0qTb0PGwDMnsrcP3OnFtkJ7k3S6t/NAXh+BmDyB
5C9vg6ZAZhxK1p6GX2sGRXCJnOKgWeNwNaeOygMBH+TxUM96d4fS4ixzQq+LhOk+h7DFWHfOZXLJ
A6TzEH7OSmdt9eHHlEv32Dv2TtRav89CT1/X8Hm3ead9UnmTsLaaMcSTqdjE7I045s+3FGLCKmJf
tR4s69mz2+FUgVQghBeu1P+xaJx9pszkD0f546PHxcujeJcb8bNTGHsqbWDiUmrMEck2QjSqLpq+
gArj/FLADfCtjRZXFvKfeR/ILa50vR7WQW9DICgI9sLxqdKcfwBsKj7JrU77SUCUbETr/ojY/vh9
ebEb59NOVJuFSVGdm6uNXQVDTzgBynd7BMyXkgz0sg3GcEkg2pJ0W3dbwwp9+pSsfh1I6mviwbCW
aaGN68RneiTbXK71joKyroCD79nG2k/RNau6jW50O5/7N8Zr9SebQvLC6SGmtOOKtbEB72CkTKzU
vLCzORO1nXOw9YRGNCu1Ua+dbRXhO/Ddzlu2s9VeYwJBe827wAXsVxA+lAhuw52E5Lzt8SQf8QBl
mc9OcWqSkyVT8V7RUQNqXbxKGxYFAB1AP9UsFDq429Z+u4lt+DyGGfRPI+/UJwwzB8qDUtq9eKrx
mg5Xi/Nix10Puo5vi+e7TePSptsK8+y4z3lCAY+nAJKiBCWZwZT0FVzSUpjJNMKqNViXWAEoLUiU
rkJSPqI2tcJUgp9fhgpcWesgLL1B+xji/hsL+TYOtW3itPe62IAyXnMH3oHxO5Z+SukIE3tluEDN
JmhOXIbmyADz8ERrxVS82Jl/rf1kOTqw3pybXj9btXUcfpnGcNLHnqTjRDdlQmHS2WuNO50zm5rU
Bfakn3GBUijqu9VcY2961im4r3SfRhY8DwxlA5zpRhZw08ufPq3SPlBnunLafhf0zj6I6x1qwL4n
MZS2+aI0+1vmj8ve069qN5RAtMd5oW3VJ/qUIXI8aJods85VhLdYULmjfiUksomQf88qe8uGZulk
V/UnOWlxc8ziCQDNy6RboNbyM/v+zajFr17RfXfCgO4FpTJmu16vluFYbdSLZgx7LUbYG8T670+H
uBYgZS4zEOtWkW3TbAJwZ2+F1R3LxF71QCXV66i+qha7UlR1N0owdtD9YH5NezG6R/V5eV2uar84
qFfHaoe1zM27yMWmthHEeUEkQeouXMzp/Nnz1VVNfAiD4qJep5hKRCxEBmHeBXUkqhJ8o5GyDdrx
4rfui5D1EwzBvfqu+9BmA6mBoVJlFP62xuHXktFtvkyW9hQI960m/LwopPEzaecn1+02LiV76v8p
Tk9l2F6phd7Rb7ytKG4BcjBsWrw8eLTOxlRt6pXrJTf1bCPLCxjLq5AtyJb4ECH/Sqwn2Pd4mxsc
CoInKHkLN6RFsB/O6v0Z5PaHkdCCZhoX0ngC9zH/iKkvXjtoWZHefah/f6vJV6a9q+tXu5W3gfKw
uEnPFE3FELGrXVTNr54dke/Vvrhjt6Ev86S+l9ZmKlPZ5Q9rqOVGOFVPA3bBrNtKTi1QeAEcPjfd
vaVo8YPu3kymGyMvvvs8DDDlTUWXn8HMJ4o3byvyvKMY9OWwYzFCmQjMedVngGV5S3kL5O7ubMW3
UrHsiwZTGaec6NlQpPsmg3nfKvp9rDj4syLi+5C6XBD5hmLlD4qaXyh+/n93sP/mDtbVlTL7L0a1
RT59/vOg1vrb5/y1ecXwxAAUScISyo/716DWYBrLPyl9MAZTUqn2lb83r5YpoZkIhwgr09p/GNTK
Pxxmu0i2OvtXw3X+IzCJYTiKPPKPiVkbARrxQrf5Emziuf9j9+qLiPYnQkZLzx2/zEoHkXUujgJ2
z6ZCDHk8RXCXd3hvrYqsjq5CSSyPC1OSHE5IG21+/wKe6c+5jptD1suVYLl+TRraiMppQzF2hZ+B
+S0wjpR1unaUgxWZR3OyTR624bVOxbQBq925ZcUtuO+fxNDbpwATpK6ko0iJSB1qUq1kpVEJTLaS
mpgO4AJU8lNGDE/JUZESpiwlUdFcla8jJVsJJWAZSsqqlahVK3kLJhmb7kIf12DLWPeFr4Mx7LQn
D5IA8doMI7TOeRyhZ1byWaGENPDmPy03A9q8c6hteyIz90yirjs5tozXekolUuFrW2FX0yUMARbx
LvvlUCxC14gtPxqj+oVbS1+QXInuZibumuWmL17XGDTOpRqpOGrkzMSPd2II6oUutfZN2HW0qvTS
XyXFHK6arpwv9cCOmTU4XhWiLrduW3R3m36RhWE5yR6tvL23Nqg3Tc7XptMO0ahbdysv57dzoiRN
O5rXWTn3B6/KihNTqhkaF0Joq5RSC200VSJpoOTSDt308bSupFRXiaq9kleF2WxiAhXaooPKuIrK
KV+z2XVvLUmsI3UpZ9dqtJPOtHybFsOPUnh4QlF0KyXtsnQAHJyH6Pj7YitZGHrmn8+Bd8sWhRKN
CyUfZ0pI9pWk3ClxOUZlrh96MwOT7KFAEzVZDUqUHlGnhZKpeZW+mkq4JulNYEyJ2VqBrD0ogdtT
UneiRG/abtauksFBRsXP0UMaVyJ5oeTyXAnnnZLQmYRMt84Mo2Vt6clJV33dj4+0OU//9tHjucfl
0Q5LMfa5SY0YcaNjbiYq9262pnuvZ+wFputCsUjNPW20HosALcNEJMNLUbqz6gzFKhFSLRqPkp0h
F6B7d0pBct0Z7l7vLtPMil5Ntg+wQjFSsp9yzKfUouVk6qJF2yS5WOizUV5jLWfThV9r+3hYYoZs
rbSnDFxKOCH9UXfAf0oPG4FTOiYMGfyNLV1iFQieBg5PJUBx1lMjduc4t4xn2LDmc9SCk50YuA1V
U1311p6WmsEEKpzHkwP651sZN79k4RJU1Pwv3SycAyelb9rUxAu/cFpsupSBbXzQ/d9EHGvUd3j9
kbmdhM2dbu2oNQDEog+r6lCCDyoIORvHx0e2OS2lmJ1D4YuN55bk7EVCrHvOv9r+xRUaCdQ8eee7
9PCDko139OzFalPjiUPcl7B0jno3OM/A8bdTV7Mvp0tmJS2fviOYUryveInPTOI8CP6YyPORJO/k
xK8B0OTGMJrXFljYmbZgjj5u0cCD1VxFhXsptQ+R+dHX0BvYXJdDdmFcPFy62jsbrSLQzPr0mjoM
pdrO815jEZyaSkRkgVsYNl2Z3B4Xs/MpKe7EWZHwGN9SbB2VWsLh2jY+0/yLV87pV3P0xDpJLmll
6mfDmjTCUGX61MCG3FW92M2JnJ+7qgm2dFhmKyFXpeIZS0YK5xF7O8774fR4BEzGXdcRmKnHw/qv
3/b7ExpPvHde0hG+59N/P//4vSQuK1Viun/84u/L79/GNthZ4hYYV49f9b1M/O0LeTyc2dsc4Ag/
66p6pFIlJFkj4pdaFZPMqqJEqrKSlNaSRNWXuLHUoff7kJxzyk0sVXMiWrj6Q/mOkl1dBtWEgjxg
q2oUCRPpZaAtpVS1KSb9KbaonjVVqAJNkWWMdsm1TbPPkex8sIQBEwOjs35kqpQlU/UstPpR1FKZ
35FSx5Nfu6DbM04tHLpPXUX9S1jH0XMB9GY5mc2wezxM8g62HwTmKgYz4XD7WjJ05Gya/mhNSVFC
5kQrqQng0gzCF1rGsa40EpoFSAmbUBBtls+lb2LcBoyz613ne9bH6buXbkopPnQW3q1vWLhK3PnW
du2F46N+bD3DQzmszJ0hjDV72RzAX4ur1oYcb7YvUIh+kg/2Nk3wI2v9bGObz93URivHHMq1hQ9r
gVT00+fu6s2ZRqVRXa1SHcviCLt0YcGEOEswlvtybBY9tbdrrAyklZnqLMPkzI3ahmYfUDvZWuhB
JhjZgTOe38XaOs+pyqPkLF3q3iUAacuEaBU3PV8wb6pVUaEO2MGYLwcQERQwsMZkFaz7XFAO6A/r
Nm3LQxRF5Vo3Z2ctgk+ramC/I39tul6VJoW44jvG7o+/aSDZr9p5GFAHZbAs3EIli84QwulSjbJj
wKvHGap+T+yBqg+XwlM90i8BZlWosKJY12nZLyOnG7ZV+hYEBrlSky/M6s2FKVyyLYmTrawo/ISf
03DcBbQoIS5GCr3oKAijCY2xdMt7k4NnNHRAjYR0lznkRmK2MBwtaI5JDtaRqgNYTIAee4V8hF7o
3xyFgQQYoTNpAw1ZK0iko6E1pRplGXjyjA3cMrq8DeQE3KisrQo1GcKcZJ4aXKTCUFZJhvtJSwvc
SZ678X2PF6PrLknZdS9dG1/CCutbnEeCUx63yDwuOITMPrkeqMOQMD2FxKS6eOE02s4/1I0WPQ39
k1QATV+hNIOoufh23ZwYO9C7qtvnXgvSq5Unb8HELM/POaCaY43iaQfHoRfROYJE+dRAIuYVffaM
l6Ef7a1tdcOzJj6kEJJ6ZSAGCQhkrSXi3ujTvWMDe6r9tR7X3aXs6becC61dkfBe0BjZ46CGJFBr
ACYDmxaaqiCMgiIutjEQU32w52M2U1sbjtDtmhiKMmjYJ3A5P82qIiuWRa/QEqyjqwipiWTHoZip
dUGrWm9e0pybV+wE5RrGV0GHeOxdZDt9mZ06PzXmgHSewCcLRRodgsEPPjRk0dFEWPUOngbFNXDA
uw6K7DooxuvjoaG4r4kiwMIHhPMMb5SRGtQt59WtPFi+3ZQ9mwLgRoQWbOIqcBRbltXzNcEGddeZ
vCxlpfdYJn0KDeQmNlvnhdXmC0EhipBxPDwNVkFNRJonpPm75okAEUB+OLeFIt4CUzUPsaLg5oqH
GwPGFYqQmytW7qyouf0IP7dWJF1LMXVj4LrZBGXXVLzdWZF3J8XgZViaL6B8ylc5QugdMuL4sqoI
jan4mG0R9vFVpCwde24JnmuuKUF+lyp45svPKqYJJGs9CFN27lIrtmlUYo0h9HwFGfpqqiDboCJt
pgq3jVbp82NCmMxsy+DQajbQU1MshJzh91Wffd5eW0ufnyF1zADw6QVKSvdYSrpTyAUzFdO2uael
z07c1wuz64ol8KwI8X07g2rcMU00aAMttUVle/7zkCYciQz9ICLLO0XzDctlcPMDOsda2MuMdrOZ
KUuZ3Vkcl9bY84JNccyYk06UunOHnYTStkCOpTc7yX9m8GrQ15MARwOtG0HYPpulvkbJsF8ZgcTE
3joyXJVl7MpSb+gx1N4DDxRjlFU+Zrdq0eAkZ2YTaLTW9bgqE+qSxkpv9trEG59m08MQGydjBvWR
yHA5kcg8GXVUvc/epdAJ0euMGNZ+oKTURaERV3MGtirzt8xcUegNCi4qQXBPDrhvu/iul8172XRi
OWbjyofNuZyokqXCZe367a8orrYtd4WlfTQdyY2wfyNutfYdz18mWtaQMBGXcqp2c91cwJSdo7L7
mvfDHQLPvDCLkq1d4p+d3iPaTstc0abaYtbsH+5oED/SmUw38UDxiyzWFMu9s/Jkq4E09RZL7qqq
+xGjT6GzqBrvqUYKTQrsbdyIDUGfPJZA5vEIBTVT5IVraDcXxgwvpUXUqHOoe6l4BWeqDJY6VgPO
LT9H/D1ESXANi5G2JallKzP6ocHWXY/2SCDRSSh2HmSLei34y4v8PKQNHM6kY9Nea8mRs/ZPCJ7u
gdoM4+JW2b3RTcqy48xdFibbP0E4jdk/Ox38H/EixrDz2U2UTYbsVt2or06k0c2NFFYJzaRNvlTk
KWI99756kT6tge6Ze7tcd2M2nUxl16hEMQCitsd7BmMadtZXWLd35fBZyIoKxFhvLDL+XLrOsBjV
Rvpi7uKT8AJzZQcu/oMoshd6L81Xsw9XVkXQc2zqBryPix4S0GbnyS+ArAVhG+BwpFq2g8vbIRO0
ErQ1Dd8hRcOyjm8ZoOllZ3b2wtLLHAvSRDGS3kAvCJN95NbjCnLz12m2Otq5QrQLO9gMpSnVirsp
tTlZc+6/sFRyO7eND3zX8MunASaME12nJjzEszXQJ2XdJuZqNMLDedSKJ9M3CFmydW/Sa8GOf6F3
PvZGx1ykVQaAQF1aJqMMI+kPdFe+4XeM3MJuUXnxZRo0mgBiKsaTF8QBsk/WZ2w7n3WUn80gHjZl
Kt894oQrr+5+eZzeFkYdbB286ksXWRxgNRZPtPBV6XrukqTntKijWnVofnPkLQutGPZkTRuVupQZ
y1QBLk/U0yrAELcGcsGKoeBNRRYeGxKFtd+Pays6ZGyhl0mWUo8lg59RPW77UQLDzmLF6MsBHaHQ
GfN0pDkdxGTBwlHNRCArMj20QgC+t1qTL1Zca4kriEDqwgWxdWZiAoOhpMIwYUop/fmrU1jFItKa
X34tU9wrMKz7oDn4FcUTmHq/Jh3djmE+rzjjzbz5tp6WcQ+ALZ1Lai1wsm9SO1vog9MvQ5p4lkyl
oSlFGFu0H31vUawT0GyT/CroBlpi12+LzNjOTgJ0lNl2HnenYYopdi4KuLKcXhdOmq51RM0lWTU4
TtIk+wu0clFWNa30DqFuF2kTxhTucGtN0uHkZGix1TSuRBbHl5pJy2ICJLocOYGuyJ8ZTzIyf1DV
Vt0qiJWLWHjResQdsGrCKblxI9nRBVTf3Ehb1akZPs1m8zqKytvnom12MvZ+Wm2NcpebWrMFhOUu
DF6fm4xyokh5AjGUju6F22uSbYkd361+T9+L/e7jM6a/jVNH1pxCvHkXXdGiJnUJg5yRGVNhwyEe
6ba9tgxhfzIqE0+tkN2TNnDnnQCBQaTFpfu4BMAwdxAVry7J3kvGWQjXSKpTh+O6K8vwyzW3ofQL
K+SybqF4twniGVNpqJhYRFc2u6LJcOorHuyVU8T51p6M7I7gJyfIZzK0SRX3ZI2mJg9JYWTJk/0e
uu3nVKXp2Y2z+sXAfbbqpJZuXSSjl1BSAoVOni2pMa5eMn8Cdk5XzqJu7WSXUkJ7wCKXUa7iOGRI
SufSWuZ7wIBlRUu6u0qcMDqG1mSs6qA/0/1NWEy1zQfeCueLdvPFFD2zVdaXMKO8LXsK8nCC7qO8
sMfLZEQTUtS3UMuYy1gpFkkGENLFT6p7MxU2xmoo9BdGJ+NFgwZ7eXwUllDBayzate1OG4eDA0gQ
bZ9qDZioOUKPLAOARISsVgBT3K2mHP20wN3TkUXfpFJklYCEWPx35v7vzdyVpZkp9f9/5v5Bo/Nn
+89D9z8/6S93NAF7l6G7S8TWIav819Dd/oNiQpDf+DX+DFD9fegOooPzNkN3LCMCgrea1P/dHe3+
wQzsn/68/yB2xfj/f8zcFfLScfgRczBjS1iV/+wYYYDCKS8DUIR1EKGKhM41dgFNjEyQwvpqAYN+
AyB7HHJjDQong+Xd+4eyqj6cSRenZhy6m+zbt15Lx/fMmeM9HXOoSOohNQ5YN8zZ3U9jWN8k1kEK
F/1TjZkQ1vd4wHYVkfDihqy3Xfcrsnw4rFozXPO42dbKnjgpxO3jI6qgemtJgRuhaFtEqzzNfpaB
CDmEcASNPA27I34EODVpqm7I0coN9GTfwhh5kxHbzshpqeliRRSF1KjsY06uoce7KWWGeTmIi1+K
dF3Sc7aK6RpY2rEYj2CU9F3byfrkBhCsI5poziEbg2XBtrVREKhW4aAq9VGsEFE+mESmdW34zQ5p
A9YIUBlTyDkvk8at6j6TaBAHSCNnfiW7JN+EglGNCkuVKEBVSpiCdZu55hjr/XMZ4z8JneWo6enB
arz+0DlTt07J5H6uHlcBshCm5bgL/KSAhMYAUgGzZrN4FgqhFSmYVqAuEr5WOwDaahVyy7OAb/U1
GC4H3IrCcs0K0MUgkJ4KkF017C5A7eVB92JjQ1w8WuZ9Ol0jPIZNCPQrg/41KgxYrwsS/rjk8Jmb
R1vBwnKFDfMVQKyC0r7WsRZ9RDjUzeyZ7jUyhek9Ka32xNERw4b/QiJk/vBnXC11nu8DqxiPmZRb
3cjaE7NqCIRh0q6CcZDbHv8D6Z+oOxuSlqjtbagpRqeBKzg9Lg6RtXXaeqqAr/MgEKYeU9qmWnsd
q2TXwXqpB4Jubvi1YwUDD8cFDz86Qtm8GpURvWpBVy4bA9eeptF7GTRJ3WysCI9OZLhsXWvO1BD4
FvMo7Hvp1msZC/dFc/3vlf8rL+vsmW993scDNE2E2t0UeNZH7njbNGbIxlxpWBsGsOOGLjNqw8KM
HescvsWFOW6qEI15NsZzNbwnvOEvUIxjiiY4lXiT254qJ2Ufa5rVc8iyCkfDuz4uooJzmAQTLgnc
wwxNNcrLOqvZNnIkD+BDA808cDqYr7QjWrKGnVx766LBJEH3RRgagGxx6xp8FC7YC2hjL17OGWUp
m4NhYI7AEwWPWp4bxHZslPKz6G+xH1i//H5+s5zMhyyoGYuMFg+oLiMumblZZm5GMVzsZ4fHxaNJ
8yBSoof8K8W0as8USDJZG/g0jwgbcyT6ULF4VEIzbnHClzr23QlZDD5k7XxpitBa4mKoMFb40Tbh
e1uYRmUuBtbqj5DNM4m+ki+CNyijZNe8ZXlzrenXectcRuq5ajYaYts/6KaBt8qr263jRj+YRnbb
vg/0O/M+Rvw4gBaSEgJjEWhOgG84hMtIEw2ennj44cAtYXb1pI9AJSInAD6jLo1bEaSAHGp1Bu/V
qWm/uTYnUiP57mO9h2ABeIJKG7ENppqhCBlOP7SpnY9EumO4S/S8jRuVMgT7MxnByfc4XrsYekyG
t1SnGzGwbj4KaUOsObVdeVk2nR4k66y1S24RRUZX65xdQtVhL9wa9K4PVA2/jLfUK33eg+O5JGxp
N9EALNOdXNgE1E3QbSod2lt086zTu+OX2mYgaHbNp+4adJm8jDp+O5MhqU07Q+7Y6dpSTimIg0+N
8k5ZykVlU3fGjI7uKlwF2Kwm5bdqtZ8e9itb+bBM5cj6VSh7ltZh1JqVZYugHSQ7XFy+snPxLrGo
WtsZyugVKcuXpcxf9YCFCTPYyNkbvwP2sfjZVXaxVPnIHpf4r48iZTDLcZqp/0tlPXOVCY35DD8y
2NISZVAjNTHfIjxrqTKv5crGFipDW4azjchKtE2V2Y2IRL/v8L9JlxVw9NofWsiMtEzVgJW024Jb
kHPROajGOOkyZalzlbluVjY7X/nvbGW9M5QJ7/EQQvJhUgY9V1n1aARo1iyUSH7KyJfi6HOVtS8J
OGp6+JLXjjvF597L4Qg0ZrtxfmhSMzVKdnSUVvFqJ2a+9eDfn4TRtMRGAuKeVE1fPSxefJldwJ04
dJ8zU693Y1mArUeeXEUVZRoJxY+55+HHsbU12KaPbhD6do5K7wj/VVV2mBQPyfxGbKO9lpXi+aa7
nJ8Fgs+pcfx9CakrIMcU2ntFZor18EOUzQcDACiGHW/rvnfWQ1vQ5tUM1olm6O+zgm3aD5c+eRkw
lEsLD3+jzPyRsvXXyuBfKqs/WYJqY3Q0DVvkADilyG2logH/3d/+e/tbMnHmv8TQXX72/6cp+m+f
9+cWV/yBl0PX4bwJsEuWsoj8FQBUdTaKEeD8jR/wj74SW1mV+SyQc45Q/fG/t7j8QTbWEsPFeuKQ
DfwPtrim+79B7LbBPt7w+OtsiufZTP8jha5x6WlmuB6uujqaTm06fqJBQfwMtfL+uGRDxj3JyiF/
29/FYI37sGyjdUuYftmSc6GDOXQOYTMAHBgrksFW4B2n3Dqnzg9cc/1dmytKOnN9WDKux7Ooc+xV
eYssauZb7pMFcaP0iaUmfaI+82LbPck49MPnrGb8j9rAniqY9s2QYsO104+auzUzCDIepn2YMxnu
ytDPL1IHJJMbobOn9+aqyS4Hfmn/HB65EZUgkSpLYhIqsQLSJbrKmXQqcUK7HsrNI4Wi8ii+Sqb0
KqMSqbRKJCVmFvIrsUqy5ERacjIKV02lXKIyDdcDTCAH1/UBqtwr/cpUmTkeYHohchan1lmUZE0Y
NOT+PSxwNvcMBHZa4iartHd8sL5WcRZV1q3sx71A3RUktwfJbSJW94uw3prq/hGpO0mn7i6/L8X/
I+/cltrGsjD8KlNzL0rS1vFi+sIYGww4cZok9Ny4HKB1PlgnW3qZeZl5sPmWIQmGQLXTVd1UzY0q
lImxlrfWXnut/yAZZ5Dcs15fKMlFW8lKLulJkzylS8bqJHfxHf2mk8ysXVpLnUtQptocJ7B03Evu
yyULFpIP15IZl5IjE8mWIWnT2SVQ8RK5sCWrbkivdK5HgSsJ17stJf9uJBN7kpOXkp1xCQKg3NX+
qYXv+qQwNlfIRtGd7Hqb1p4ZfwnRvwIXk18PmICi4bIZ5Is8KZXVTlOE6mjogwbfDODCbbKaVgIq
9b3CtY6x9wM/7l32gidHTYghkWDMK8DmcWVM3eKuNVNA6EOnJsDi1yPPi41FWbbNcVYm2kU1COE/
2qynFvj7MRtu9TlLzdsOW5fP5Xb9ziqjGQHJrnsb72Qtc1DfFpy8NvgnriDnYVPSqxA0vSW4+sox
RogbxhT5YO6zajAnulA96TBly8Y8LQShrwtW3xPUflAEWA6A418Lop+DQ0ALrgHl72TFqWZF7Vxq
iZodBvP3OnkXcBKYbZf4zuZk+Y9lONz04JxOizLTxq4bOzOMOatRsWQml8llYzZnJvOad7ufIiSx
XEgKnrAVACGNI+gLifAYANhEs164DRB721W7WWAYTC99GQCplcYyfIhMmBFZt72gfLkNozy6Shjc
j5ZDg5PVkNH80ywsohIMxGs7AJMVa1gIrS+BBdjnqWOWqIeRDeLA/LTZusVVaRXLEbWdcVzi3j5f
1ormWw+8ltNIdQrVuF8Ag5ta4aRCa34xhFX0KUK/C6XYcxuw93GEGt00A8eBga1VHQcoMoyLjtaV
H3TAQc0qHas6ssY21IZRD/vyLEsZhbr1Fh2D4s7fMnq0rba5bJbbaUtB5SyX/dW2a1bJxpquay/8
WIE2uMh7mqBtFda/qXCzHOGzgrZl1FnM5cFymjoTQ1wzP3VNNUfnmtY0siE/oerzf6oBK5svEMeX
m0vz6L//ub3bby49/KdvO6/YoWA1t9t2lXR3vu28BoI6no44rLFT7vm+83owlcB6egbEI0N0Wb/v
vO4ROzUmeHjrImhJw+qgndcVwOZjQCeTcYX9Cqwnw6HzZT5pLvmqjbugwBChqBlV73IagKnuJCnQ
FssNM5sNTlrgAF6KOwiNzLFPsxeccl180OWyrp3LUAVfsrKFnSunC50hyxw4znpuZ+5t2mxXeR5W
s00Vd7PQXF8Gma5wrKrMsySvhkVidDEDles+dN15UrH1jBxkvabkgJzcJT8zk8Esc82ELm4S/xwh
tW6a+tmCeoKNO4jC98BPznraJzOz14sLI1oWF/SFjzWvrc9SQwvOQ6sJzmP7Sxbq24+uk0zz3rM/
AarHZo6hIcfZ/CbmI3kezCXldvEs9gfgkRQTTAnAupf4u3Ayqz9vrbZH2gyNIKv2KoxWgaAKL7Eb
EGhDNRqaoqqqSeq5zO/gMFZCZkROoJ91QnBsMgauKOF+gLwB+dEqTjhzy4MdAkFpNWc9q7IEgj28
SUMIlLFQKU0hVaZCr2Ssa40bHd7l7rLZ8TBdGJmxUDNN4WgKWRMlf2+C8fvvthA5FYxOmLzGZSsc
TyF7VkL7dIQAWgoV1BNSKAYwJsdpiKKmg9ycUEdtIZFGQifFeIThm1BMkVhgoAfpFJTlNK+VBwIq
7ieR1F6WVGGt1GOtVGaR1GiOVGtDeROnGpaq+JCOKJ3Kxe7iN0v4E0O7MhXnbI3Upe2S2IZ0FpHW
lOQ3FOfVhyAm55WS/SzJg51kxEJyYy1ZspJ8mZI4exLoJmPLcooUj2E+1FUTIv9epfoK7inKrwWH
X8jkeHmvZ0xM17Om5tjLUu9nOYIEc3c5RBcq1ZE80jK28iLjFgKm6Fu3+t1jDlFB6F71nOI5mXb+
olBAsDybvVEzFwofQv5q079bl9HDxamciM5OijHjGvZAp3ftrybBnaeddx6EY3K9QsQFPlK9afwx
UNH+PDUEHGtutpNKgHnIulCWClgvEdhenMwNgfF5AuhL8utGAH6hQP0GAf2ZAv/LwQEaAgi0BB+4
u5QCF6wEOAgu+qIWKCGq/yXDSObLugANGcoiMwj0MBAQYiBwREuAiQUuAuAUtRTAoinQRVtAjLXA
GSsBNoIwugL6+pH2aDGxBPxYJY0/PUFKerOIIgNOv64DkwQD3ZfuEIyANU31NHF/bXR6Gyq7NgVm
6QAmQtvWe18LBNMAi4mZWnNa6HMtTvN/0/NchcVyubAU5GUBcioQnaaAPF1y1vnuX3QzR7EAQJVA
QX0woRD8nXPNBiZqCWDUF+josS8w0sOPqG96mxSV9eCuGK+aFcxqFuGivav6D3d1C9Ls6/FNXn1f
RHlzVfzcL73+Rv+4+2OnXkgOz8TXdx9r95lfe5d0xa21t3f/+iekXgetOYTNdcXp15O9LS3y4OvL
hgx3GNOYjHHkSHx/yn4UpZfi8Pot3gf09d957QbuIyQGZT7Gzs8p0T8RBm4fGohjWPau0tgPg3XE
9m9RiKABZEP54OxNvfPXh+GmaPNG1mMQFXsyiYCenpRgL4TgyTs8WglM5Dxf9xXGcV87GY9Xgi3l
lokDHLL6D6ybvyUEq9ssysdRDRzgZm9iea8UabCA90rRF+Lw5G324nDvaixEoL1nQR15iiEjiDET
ay8Y8n/TInjy0b8/C/cReCaxeXAE3CPd44EXVxaGWI5U1o9XgjrCC883HctmuisW0W8tDr4JWu6Z
BfahYWB6zTwZLplu3VPDeOj3wyCGFNC73G+Msrf1QMhXhAXXn30efARXJcXKbP3hnPU4DOaR7VkO
BYQyJT28xdVA3n6mDnfoalAeGyV2I7qJhxh7pUjIPg4DPp2KMNCbFUE4R2wy39pqeGBR/tnsqCvu
jqY3Gpd850/qBVkN4EBwrQSPZ+1O8m8rDA+7xFOxwIOXA2IoJD96kvi9KxLEsxwJXkMEUTz7K0f1
bcWBuukHQ5ODw4BxLSp4SBMqnXH9Dhb0+KlAZ4aAG7qNXowjUjNv8Kn4Qfvq4DC4R9B9LZB/SsH+
1aVM3g8DXSODwkrJdrJTpn5rq+FHHsYHh8E/sh2Eeb7rCu2HwT0iN1JGu+jXCRrsvmT966voFwso
5I5+gJT7iTCQASXRuC7kHtoy+2GwqZ8os3WbVw88TPyBWHFKld+6Se9W1S//AwAA//8=</cx:binary>
              </cx:geoCache>
            </cx:geography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_xlchart.v5.9</cx:f>
        <cx:nf>_xlchart.v5.8</cx:nf>
      </cx:strDim>
      <cx:numDim type="colorVal">
        <cx:f>_xlchart.v5.11</cx:f>
        <cx:nf>_xlchart.v5.10</cx:n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regionMap" uniqueId="{FC7DD6EB-0F78-4130-A7D3-E2B95190908D}">
          <cx:dataLabels/>
          <cx:dataId val="0"/>
          <cx:layoutPr>
            <cx:geography viewedRegionType="dataOnly" cultureLanguage="tr-TR" cultureRegion="TR" attribution="Bing ile güçlendirilmiştir">
              <cx:geoCache provider="{E9337A44-BEBE-4D9F-B70C-5C5E7DAFC167}">
                <cx:binary>1Hvbct04luWvZPh56ARxIYiKyo5o8HLuR3fZ8gtDlmQSvIFXEOQPzGf0N/T7vHXNf80+suW0Va7K
6ojsiHGE4kiHIEgQC9hr7bWpvz7YvzyUT/fdL7Yq6/4vD/a3N9kwNH/59df+IXuq7vu3lXrodK8/
DW8fdPWr/vRJPTz9+tjdT6pOf8XIpb8+ZPfd8GTf/Ntf4Wrpk97rh/tB6fpifOrmy6d+LIf+n7T9
sOmX+8dK1aHqh049DO5vb3Z/+8/ub/9ZFPfl05tfnupBDfP13Dz99ua7E9/88uvry/3drX8pYXTD
+Ah9iXjre8RjLubMI5R73ptfSl2nL83kLUcuF5z6jDCXefjl1sf7Crr/i2N6HtH942P31PfwXM+/
X3X+7iFetT3osR5OE5nCnP725vq//k9XqBlmQfU6+NwW6NPTXF8+P/6v36Pwb399dQAm5NWRb4B6
PXt/1PR3OP170d939/PLRP0JGPlvKWGMej5nr9HxCeOcYx9zl/qUvtz0Mzr/wkh+jMzXjq9Q+Xr8
50JkB3hU9/XL5PwJiPC3yMfEJYxwJrjH/m7XYEoF9ijDsLm4K15u/WXX/PF4fozL1wd5hcvX4z8X
Lv9eFzATL3PzJ8Ai3nJfUM/zGRcugnD1/XbBb5lPPeq7BBNM8WtY/ng4P0blpd8rUF4O/1yY/Nf/
vq+LZ6b583Ch6C1AIhhDQDCIUwws8j3JUEqID03c9xGc+XLrz9vlXxvSj7H5tu8rfL5t+rkw2t3P
/VOnXmbpT9g4/lsPES4Q9glGxMWveIa99QlsHMQQFlh4vv9y65d49ofj+TE6Xx/kFTRfj/9cuER9
of7vfzxlqnuZnz8BGgHQCMwxAlw48THM/bd7x32LuOsjBGwkCGHilQT414b0Y3S+7fsKoG+bfi6M
Tor1fwAjwIYL33MpQ65g5HuM6FsXu5Qi3+eUuS7/gYj+4yH9GKNvH+cVRt82/VwYHZ/MH8/HfzPP
8UEacBDLhCCCMX6d59C33EXIRQz7zKP0hODnFOtzhPuXRvRjhL7p+gqgb1p+Lnx2up7/TNnmv0UE
SIUSxGELkdch7iTbkAeSjvkCTjolQd9i84ej+TEuX7q9wuTL0Z8Lj6P62388Qjr8p5kC/K1AlFLX
J4QKoB8glW85h771POxyH5GTpuO++3LrL5vlD4fzY0ReHuMVJC+Hfy5MrpS571/m5U+RAcxzmRCc
AJMwkGjfQ8LfgjKDFs4ZEcg7Cbhv98gfjubHiHzp9gqQL0d/Ljzu9JLeDy+z8qcAAiEJOMPjnIJw
Jq/2CHuLqSAcMWj9Aef/8XB+jMhLv1eQvBz+/xuTfzi6bwPXdyf9d91M/63wBYJ59xFzOeOvxDID
I+2U+YOh6f/AzfzdWPzHA/oxLL/3/G74//Ne5T/2Mb+6vuH9cB8928XfWJn/vPX5IcHHftX1nxHM
5xnbPP725rQnPN/l32B3us538eikTV952d93fbrvB3CnQTnDpcBhI8BFTBDAc3p6biGwv7BAyKc+
8X3vpKlr3Q3Zb2/AbSCg71zoR0E4AD+9+aXX46kJ3G7CXQa70odfPqS6Xy37c13Oqa6/zsuX77/U
Y3WuVT30v73BJ/e7+XzeabQcdjgWLnAk2OOUuwQhaH+4v4S6AJzu/q/Gr43pyyENl3G0Yd1c25ke
eqdvVqypx7iAwUntU3PWpcl10dkxyGxvLglpy6NxvW1ZFdPl8yGjjQ1IbuJhmMZVwVPv3URJKucB
l2eWZd7NPI+Stwt756a42FdaqSBLV7lu+h0ZWLrCJc9lljb8kmXFFC76zBQ92TSdGs8wWUSgusJ8
SHKxIstA1xq3c4QbwreM8V7axXWkydPqOGeoD0ze12fNuK1zo2J3Gvp7/t5zzMFrqTofM3gskzlu
1PCxiIvCkzMavAhlbbuyTTlHTumRQKemCswkTNSILjmodFyhjHhbXo7w4YoqrhtVBWgyu9TLs02H
kjKiaF5XviiDsqrllEzeMTfTmS398sxpnNgV6rKGZPiQJh6XKcdsJ2afyHzyllU5zXmMh+TotmjZ
KNaIoEtxFohyagLXdovsraiOg16qI8Z+ExRV60dVcm6KORA5D8es9eUk6v6sb1gdelrgAxl8d8/d
koWVUwwfrN+FTcf9eDCFjX1SJ0GjBJWtyp+UcrK9qh9oOsXcMc5tNqGHecrMRZsklyUSaA3zNYSp
Z1g0iJkfRpTStRnJTaEEP0zpgAOVNHYzZQnaVJYFVZE6snQ8e1OTZpRukWYr2jnt9vnDprrbDr3b
yF5YLitsH2d3VkR2bp0TmZb6XT8hK5dm7CNajPhdORd382jn0Ev8oHQ6Lq3g7b6JMmuSnSK9FFMb
LUM2xpq7PGxxVW1V5dKITu1d3jMelK1QEhbJeKibIiwmXEfTPNjI2oquh7ZX0rXs0sywiMpMKZkV
K5fM5jAms3foYOus9bhQ2dOkWeWgLVdY6eKOFYWkzGzI6K0Wq9q7cUl4AHF+3NXJhG4rbYK2quiZ
YO17J8fpeZ1SFvZpiUNddun5UqXpuac6scaZSaWDtqht49Fb+m3p53RTkGoJOLVdMBsfXz5/dB26
p0XCd7gxzd5LikVOyk0lGnIWN0NrQ1fkH4lWhXTd1tt0U9FuTU4JrEWr9iMaj7lf++9Tg6Ou9PUN
WhYmS+OmIUEjj8c6ry6K3IjADuPwjnXVZvREgMrZyvyJK0+cDVhV0kt2tPaaG2IddV2PvqzLTN/W
nZvskXbDZZiygIxJdm4nr9rNFj2gQtzqSpMkXGZ93nXuFFa9bSQppvO6yLxQDK0bZGUvXabSMKcu
3/lDz3eFKrCc8eJIPKnpnOhRdtp8QHXfHmvrX3xbX/suZD7oZu5Umn0pdH79+m/XuoKf54Lb7wdP
ddLfvx1eCqz/9KzVkz7lF/3rk04U+PVav5f2Tpzztc73isg+l2T/Acv908bvKPA7rn+RlidmwAT0
99c67N+x3+9q4XfWfO7ymfUoPdmtwufguJIvfvhn1sPsrcdBVILTBFz4uVr7wnr4LbgXUI+i4EF9
ScpeWA/sW5cBWz4XEF+e+jv0gOt/QHin+sn3fHfyiAUFUoXKFpRRwCX5ju+6wYyceGPQ+WJcjS2R
fB74tkw8jSRXaIhUUzT3PTN5LkvR8HAw1FHSJKWkCUrjJUfmCnitOcMYbUr/RqtjRpdur5rcbn3W
qBKCl8VbVORIuqj4iC2lcVWN41YM0651ssfOL6tOuv1UB7oyeWBs0lyhaox6f85cuXRY8nKw5x1P
50M2Ak+iys1iYoRdZQO7eG5M+laW1dJFjW4/TULoC+WUjmyHau1qle/mApv1DI5EZEoeibRDB6Fq
HDt5QuIUoY/1VBy+WQM/mF2M6EkvfKcnoAhCQcC6YCRC3u2Bcvl2fouxx0PdMhNUtdHSsyyRVdEn
xw7j5Ej8po3crlORM04fFUvLo2s8fJOZ6ePgDsHQeuUVHlw37CaVnTd+X69wW/m7LE8S2deuymRf
lNV+wfvnjjXE4es2PeCuJjcW3/pNNeyUTWogbEXe0cye10vXXjSzGqS17RzAZOHNc9/nrxVQ5Ub3
cU99e7EsdRqV2p7+QgBDgtiuLNTWc0V7XTS3ELqmQJVjvnZpqq5oU1SbtBcB0aw/YxCpq6C3dfOu
oklxyNJkkiip6rDHrt6IxaC1GNgUYlvbWzJnKp79ksR0Hr0bXUW2KLJ9xsp4JIQfPdb7x4z1hsia
eqVUpvBiZHDgp13+fsgrEmp2uuwg1HvV+ls8+mHGPLVJijyzUgO4K912uoonmsxhW/XAoZN5x8js
BBPBavv8VSf2rBsne0EyyiUltg5Ng5xDy5Y8EFm1fDCij5nfFrDW+mydUVFsFqL1Kq1Xzw+7FBU+
5l6xqf1hl448A1y7UrK+z7a1obDO8xboo51VNKVjdpfTrl3D2yZexEAK3DloXNdZruaQzU5Rxtgg
cphoPLG536mqiSuQwVPo2XrdL2w60o4l56jNgmak9FCN4q4h1uyJW5HIXRhe4WFhfYyguhoorLqw
5hxtn6FcqDeEHOlQ6NR5mubiJkfthrfWrhUf+IE4hB+sa6+wz/HKSxjbPX8syDRB5ek5dLk90iwv
NkPX6oPIUrafxpi1DT1W1TDth74MSWP7YBrKIdJJ7xwS1CWL1C3V67FP760z7+uM+JvsJJcGJ2Mr
NdhWzjanl5T6sZ14e/b8zSlNtrGQPMgs6/sVTYY2RFNuZMtYIRdhmzs2TmPA2yo7dCU5po64W3zd
HUlS9md25FdmdkClQ/VFGqWnPLAPJMP9mS6XoGtIc+hbu8+nrj2Mbl+tRSWqIOsWT6aT8CSnI92n
GXs0qCM77ZXvlqlCBzKOa5zkzb6l5qpyU3FVFM3GlN0jbsSwUm7nBWW3sLM5bS99v7hvrcfPHchm
pPVm8yHl/hUrfGmYbg9Nq4dLqHL7m8XLZD0/8aV/z1qRXdFlQEEOBLM3RtwYLrrbvOcqZpqoXTfh
bFXl4mpqSXaFu+bGbabLpPNl0hh98E8f6ULmHVV5wHGlj41wMjnOptj0vik3xJ+07BrNzz278HPL
PCfux1SAprOgvviy9ajmB+zgKZoWrwnqwSbHJu/cYzbI5vRFtSguMTKHzkv4+ejOOHRtU0fPF8y7
ogjz1OFxBwEkKLNs3qDaTa8bBhNdM+UFi0bj3mr7wUepODflyOUC8mXldK5/DkQjzgeNu2hu7BL+
fiwtjVj3WPXy+RRSq1SCpKI7k7RViElNVmKq62vHtO0mWXAdFAWvroULj0qLIn5uLOc5W+nemQOt
xhzQLsoPS2a//PX5mHVQsCwEHRmq45Gp/tNA1KEsOL9z9OAGXd2S9eeILHp4x8npMAjoCY93Vamj
yfOnlejwHENWQW5YUbmbXC08dMrCkbntmsuiYDrolrFaQeqHIdVyi1BDuAxSz3+Xec0SOTxFa1Ya
CCGW5hgEv3DOnz/Gqb7zk4FtrfJINDp4RXrnckj948zLaBL0xhlEHWK/vTH9Tng8k7RZ3vfav8ip
OlSJCDxfydYdtnOZ7XqCo4zOq6y9bd360jXOStA8WDgc6kHMZ30860WWNVqbTkvlF7ConFXrFNu2
/DCY5WBR+U6LupW18OMsr8PK69ajxbFI68AnXjQX3dbBWlbiHuddPCRufLoUdvOwphBYJh4ZlEbM
2CgnVPqNFxXIDRDOwnlsQ+y4GyflK4/hGJcEGIsFSwkRXs/bCWgATdWmU9VF4vWR8ZSsVBLqum7k
4IiLThWbhIkQcophYmcQTmPS8dWIYG+MyQYxegCdc1mmNC6T6ZAZvW5ovExpWNk2bhQHvpwPUHGX
OBfSpokstBPlWWB6GpKER12WrQadrhPI0Qq/j4ipoyItgjGb9qYUu9MkniZi4c45KXQwjtV6TNLd
yL1ILTrstdQ8wsPdKODx7Hu2LIGnbhFxNrUDMh8ngVJVxFu9ytwmLBwc0CwJRghcZeXHZeHGXRsv
CQkGd9pTJ1sR60ZDTlcKpXJaTFiW0Ebsjky+bFgbcZJumpnEo2PDStDDYulZ4jSb3vYRaotbL4Wc
pdSHfrGAg90P2RJMSb1JkzzuDA3ddtonIwLesDtnLm877R9N3gbOUkKU8QLVmzht6yifx1AQHfdt
J/k5ViRIbRY5kM9iIz2S7XyrN2PyWOpkY2C5VLXaC50EZeNJT3RrSqoLRbpIQbSacEhtFc9mDHrH
l+W0rDTGMaR10VAuqzblFyjtoyFFspnTTEKx90MGd0OwthCvgTdoGfOplNh4QeuWUYZsUPkbNqhj
L2BN1ktIHLg4aICUi9CiLrDZtCOpOcN+HZVNGvkkl77xL9tuk+EpLuHB7jPsBXnpHzy/in0BNoRo
PlYpCOus0sHpnmKY5Uj4upjb0Cb9mjR0lagQFtinoew/KD/ZzH22b3QXAp9HCbgL2Rpx56GdSOjX
Wvq4Cw3rtqhpVg5zIgVPlWE/rhznXKXsNk/7w+kq6rpb8pVJxog1l24KigdWTslPUS+9GHsmR8GO
U2fXQ1rHfU5D7cyrsXACYUxY5DhOUufKNI9t768z08VtO4VJRcOuV6vTelb9fKiH4bZHZJeo5bzE
+RZGHrYluBx9lA5gNCRKdkCjydSvjPZWp+Oi44fC1/s2x5vKG4JRo0Mmum0+VjGDDT02k6SoCok3
n9HSl9gO29PvHvl7ZSmAd0pUDlXtbwjNDklntwnLoloXgaFt0AGUJ4x7dkRNJRtPRaU/b91+fwI5
UeXGVA0QYB/gKduTclgXHjlrFXse3IRpaI3dNsskp6a6PcXCSsxHDYlF/z5zcUhAqfp+L0cOTkA1
rkeM7ubJlTiuUw04zMeJgy51I7D34tl9OMWzcgfsdkEnL+oWsTG42jM/hyg2BoCrdAp2DaItGOgE
O6Q4dwsTIm+JLWniCZNzxqpAF+I9YcuW2Hy3NCA133cijdqlOJxQGBx24aZwRY+tllaHiTsfhFBh
2dXvDStBXIACnaCbpudO5hbSNs4DEO1qqu1dnybHuqmDvvRuklZHlYvWPp7kADYjBImgqvCqywbY
zLBx0n5rfRK7cxdjbs4YBMy0vic8hfn3Li3zVViT5JglXTiZ5DDmzrUuVkkji0btazKtNLAecpJN
mdOgm9Ntw2CmxvmQ2+my4X6YWhImGkdNp4HK6XLLkNkUrrsjeFrjhazTmt0x4x0qPAR4CHE/hX6F
UwmyJpOkRu/ywkll2aoPy0jDeUElhHkfHK35RpCbviguksTsSlFCqguTOfFhxW2ZS0L9tUfw0Vc8
YMMIc+W9z7ukDm0x7lVq7wZYvx5q3tfzela0CZrG2fLev+pHtZ9qLuv0A+kvklS8GzIW+n525tXt
oWu9Xenqbea18SzqXYJHcNCq9K5y6hvkOPC6eF9L1JkVcxroTe+1m76nhh6KcQEjqUA0hGqVpPTa
wRlERLMuk2Kd8vXMwN3yZozk4vObJiujeqarrJgr2aWchzj1YZHiC6NV2GaokiCinkDr75NyehSe
+cBGFZnZNJKBrOsx7EJn+aDyGN63WKfE8WD6i4sn3Ip9i7yPHthzkiTNA2RGe4eSuJmHVV8tF1SR
TDr1sqtbuvFrBOxygYu+kAVphmDi3sfJJle9PVraXKTKuaZjf5507uU4rVXvXad+diMyGhVNEdcd
baVB5r3XoVratrnsksCtbC1zvuzTuX5qavxBL+/nxb1FzUCl6boPw5juuwzdK21WHp1uwWRsZZ7o
g1Pw68Hz4yXL40I1a0izV12/RC5D61mTe83TewLw1VavSGplqvrVUjvbfIk4LKqgcsjO8PY9vEZn
ZMFb2I7HrO2urBJ3npcPsnXqrXpsdbbrGgbut4U8LBQdpNma3BY17HcqLvGUHx197LF/SebyMIgy
5Fn+aIplO3bJJ1TUUjhArjo/Z6UC/dpsFcRDDfKsF2yfixFEiru16Jqh/iJ354+1rc7aVFwyiH8T
Xza4kafdqRZ0Axo3pMgNhTs8EgWpVOXeiqaYpTP4Y0COfYPf9UKyAcRDKRfrAtaa3ekySHm9wbl9
p/LmfeubS1gzt4Nu7lwH9PiUyVaXj4ttjtRJTTAO/dqDjV8Dw5sasmla2DNII9aqCZCT73DywZ29
D6Pwtt2iH6feacAzWo6FO7Og9WfZtWq9TNnRq6Vq6Jm/JDng7TwOoB8kfRxIiYOxcJ1g9p2wK9GD
7sZSJkPZyEmLkAJSJVmuHT7Kucn2QwLBzE0PY0pWIBytuy1mi8E6qs9ULg50rDOphLNW80o7EwrT
gnxUvNyqpZHU62CxGh6nQz+BGit2JXa2C7wQLvWoz5qKQqSFBGzV8CYgYgqHgaKg4VbJ0XcdMNcH
6YAkkMgpIGNaN5mC7S/eLblYIwgxqmLrZqhNuCD7sUJePDQgPfUSDYV/NxMSMkyAXPW2cPm9cPpz
DT44gxpUC3ILKhOb3o0EMvFixp2GqG/cOXKbYZXnNhRmuEmpuze2feel5sKpV3NJzt1qAO79wFMR
DFCDMehQtaZee5UG4tLYgYBzUNY/tKmPw9Ft/RDsv/XoCLOyttmZGkLngtpeNqi0UVtNKZiBdWAp
HOLtDIEgB28CYmfspe0VMHsdtH1Fgsl6D4XwM5nkdSULECYTxivHIavaqiCpGgSpvQcbLTNQcki9
VsKgV0tBDrjhF1290nN+vnT2wtoUZHsxfrD1FTVsJXz3TCN/TSooRyRTquUyPizFstOZ3oDFcTHw
+sJC8r6qcxVw494Yt//oV7ARkjpwcl3Ljo+7wlfAMpd4brZp6hwXBnbMwTTaSA5gtTSJXCf/1DOh
ZVLUH5ICKAWyfdpOAS3B+IFYMThFkDv8AlftGlbijtXp5ajMmVuB0dl3uyzFcTqquHUUKAIo+mAV
6PHWjCxckmIvJr5qKv6uTesIkvA4I5PU+EY3YjsUScgKFrnlRwdICM3NQZW4CChLDgIynmQCVQqy
WGIHxc2kNpTcdGkV9VO2WZqP5dSFpFAR1L1kXfCoysxqBkHvdmXQe/YK/ldKWgzhB9zT96OaA2eA
tAr1O7dP6hVvsF0XegRZV9UbqNVAPSuLGojtUT3RMwNmjDSLewdJ7JU/VmY/CICwrcEQcNJ4nvml
SVKoTfSQj+R7b8llsrSg3frVtC/smAVtxm5868redLDZqqNYcClRg4FqLsFZA5rFUjvpmZtUcet7
V6mjz8DcjXM1rLJKHLgpV5a0QEGfKPB+NT/6A2QY7bKFrTsEbV0f4R+7oGg1xaKe1g1SIZ29C8rT
WDddlIMAXBLnU90kcVfoA+hO1N1rx7+1Lor7Ktm2un+a3DxChgQe1CtFlQKPedu641iCSxyrvMtl
fcq+kLPPfb2iY7Gx1As1zq95NsVjyQIoMDpQkiIZ2TeNenA8vUmhrlp5lYTiWeBVhZBKpWcCtCki
w7YZs1VSohVTKlZJedtc9Orj1JShfeKd2WY5hApG1kw064GXUAbD/h1N+/WEcDQyFhq0HGaabCbf
g8ywidwq7Bww500nVrnwLhVG29rDi1QMrL6Jpx+9KqvkMJJI98MnqEhdzpXyJPHf1aaA782GJSqC
fx07dwqoPxndrLRFkCVVUGgDfVn0/sq3/doisRKt/6loDt6JjZLA580q6dFtkdu1aPwdSmCnTFhC
neuMDk1UkMsGioEY/hFMuexIFrPrFgR+sI5phsLcZee55+ySEsdGD+eMFzd61ntwJM99f4AECTYc
yvYLgsiImxWkQu8H86BGtclsEi9pFqAmDcyYg5njB11efDQ9DjtaRWZp153Po4Wm27IpD73bRR5P
wMKAqO02Kqo0fufgKqAFCGjR7LPSN2t30R/NKZ00fmhpF/dJGSf5FMKLDvM+8zwkcyjIhiX4ISUb
TJAitw6LZAloldwliY27Xuxy5TtyGpszYmhQwpYpyYcRlw/Wh9jpcQqexy2jWk4pWqUQy2b22Hcp
vAgwn41tslu0CTW1EPu9T4AiTHIF7uVSbuqu/jixe27vGpSEHaePvjPs+qGRrZkkuMJxRef3Zsqv
epGBKcqIxCWN5wUse6hAg6EuEz+Rc8ukw4d3uhdhOkKabAUYFjORwrOBky6BXrwYKq3XDuXbduhj
27lgYkGZEhZZ5Jr14I5XAt6flw1hB3hFIhBdEQqHxVNKzie4KgdzGXaqLEtwvSvIZGYmoQze4vNR
QDpQXifefY238NO2PLRQPk8XNw0mZm5ZXq00sbGexJZM63o2UlfZ5v8RcmY7cvPYsn4iAqIkSuKt
hpwray4PN4Lt36ZEihRFan76HWXsi959DrpvEmWUYSszSa61Ir7gFsSnXbXHTRKak3gtY+ovku3P
STCWruGnluyXdqyvY7c87F1dQS/8PswZLOrI/KkDvuVoe6/xznNB9o99lR0ojuyIEn3p1sYWwuRZ
zy/T/NlKr7JgHQbbQX62IsU2iMKHN9X1OUGPWycibyCeLok943x4HUdftBm7ZNhDPZzeeGsuPhCn
lu85rR0AB3pM5/oSsO457umSW6MOcyRhL8vCbOxATV1ZGfVn5UvmMnMIe35vG5N37rA5WfGx06ih
4ZOCGpBSf6c6hBhicPZ62MA/1yGtFBchvN83/dm2pXz7MYBlUVP0smfNFTL227L/HjAqx7L5tvRR
sdV1BcEVQ74/6wHqbidpASPuFMZ9m7PjMvjjFN42tx6DhL+JsT2il/9hlvrGGnKHOXKct5/x2WOQ
KLqE5BPZX1xcH7i192CTlVS/p2UpRC2qVGIeJ2G1Wgy6UHviOXtnU7zldXTSM1zxeTnQopdKwKAJ
fksf3do5zFCfk6ImeKsZVvseF3TOqnQmP+IZs1/swHY0+uZm/h3ue7Z2ZzrSk+nInSwtoAOYl3MM
lT3gw4N3j37PzovDfzFIg5PvVUEObOEUVTzSudcap54rmmA7mkCc5YY3xLKilf0xya5xcG56UXAa
HhooAgyCpnWHjuZJGxbr2l4xWBQCB1C02EPC2Wm3fZVOTuRZtx66kT8B/iioXNGDt4URQG2S6YJp
9xR7XUwLeZIhmlQD84zZhzDti7QnWKh9RYK9zOzrtvgyicdyDacynV4CV6n25qX/xeu+8hMpm3Ys
VONv6fi92y5y0cUI263fHzRlVfpL9f8kE0aPoGiWZwzwxa4h8AbAXug5y846E6fAfCP0LZDvgfox
462n/9Qhf9p5U3KUgrkOQFWQitO2kFQfs3PitguO4j0YITWmeebgSXXoh9Mfy56+yiitkmHG1xBD
iuuBmtg8iffcHK14lQ2tllVWGAKT9urrDy233Jj0YUa/FdIZ2t8Oj/akb6iL2ktISdMlWy6kGUpM
SfkICCQyqmrSr7ArryFFhzCKKmkglI7hkzDfR/IlHs68vso4vrt5L9Px96LbJWdmPNEtvQfpmVMK
/+1PK4XLY/81zSrFrmtWF4Bzz3GQQND6zmawGZbcoeaGaXIJx/Frp9eqaaHbBz14ITZ9WtWXLD3R
1p8TnCLd3hcN+eLi6IZZDB2AboslID8zuz9l+w3S2+S+mA1iVU2KIGJ3tUsY7sGxg6MoTZ23Oy1U
khwW449ZoB5VR56bTp4zCkNKQ/3TBbN9MYbji9QY8hS+fgBDxQLJbgOOZrY86JqtCP2MMSv7lPzi
YyK2WxSIDXo2xKV+vITiMNdQ6paZ8dPmd4qyENiDWAjWtoqe+qhSdKC3RjT0Fnl+ghE9FnIK6+fm
88VB9w7Z9JzIOSv0bjnAOe5uDj0DGlMnOizFLX3U0zq+kM5dJtueJg1ixSjImT0Ml9vqVHMNM1kg
2Y7Wiy7Jg4Kxcp6bfiyH1bHXgDaq6hUmWh+TOzc8uKVwSmCLbGgDI3Me1qX+7ZfoBqnzCydiO5FW
xfcgbuiRpP4PbMvtSui2YVYX2/XvH10U+Fxpb9H14bd/XwbOvrcT+5I46p7lwvRTSj7EPPyEi8eu
Zg3LAajH49+XdmnANKmsKQ117DrFIuedoF86qmzJMOE/TuqG/Z1BTWvpjcdhfMxqBd9+E3VTSF8H
L3RooftZNVTZvAUv1iUvZtuGU9salIQh3L77HRDFvmNtAEJkua138dBtKBoMKOIhtsmea+u6Ox9r
9joZdRVLLb6l8/u6QZ8jqZ1zhhnXFcmIY4rCWF/rEbO894+EBrYga+t+cvVPzMgCPXHtICxmSZWl
Wlz+/mQg6x5FqNFNpfAC8uXT4yb2lslQv9mRJ4XaYl+My7xUQ5CF79Zep3Bib5mYoGE5467tzg8m
WNuvRKzlf8Ms/j+QBf8ESgMGVD5jn1Dnv0Cbg0mbtJvTqSD1tBZT1KLmMt59pHIkhzhucEr49Y+w
dfATopCxTt0im4jbfkxdf+xrBoMx7J70vKMpUrWuJBA8aLdN+EYxyB/+y+OCm/03JoRHHAlzzkL6
Cbt+Mjn/8riK7GMkgiUohkjoplz2Qix2v5MxQH+wiSogm3liS1vf1fRpbSfOPqoI1nhX7/U12UdM
6xtIvU9kQqr92WydsEUSD/8A/MJfyLr6CjihXOJU1zk856oxkj/+fdnl+FvT9//8juj/SxHxOAgB
zgcpB+UUgpz/13ckTJi1fdcEBab27Ib7L4ZH5/GYfU/uK4WbEPUE/X/aQ2tNbHshLHVFnSzvSmto
EWnCXvDFFn28rU/RaPnxvzzfJ8X0fykc7Cxcq8BCjjA5/fv8//KJz4KzmYQuKBS+bGi/61yZCJ92
JBewTGqH/tFS6OZpTLJbM7/twTYcO3x6978vYq6r//xEIQI1//eJ8FEFUYzwYMQ+wfXPNfIvT0Qb
kk38Ux9lni7VRMlcTgboHgvn/WbsCcbe9CYVVkYQXvqEhGfRBKrUolNoWhZ7NvHFRd1dJGp9YDB3
3QQRg/Eh+GDDACVCLunLf37mBHn7f3tq9jmRRPh+wwjB7ij4N5qpH4xH2w9DbmmY/gKBumh2ut+I
6HIeD7CoKe1yrOmCsRXAxCmMsv3s7QR0V5RhF4Tnfo0OYyOGHBeBBIeM1rBDvLtwqF9NPaVQV/QT
GxQtTdC1ReYKJpksvHbmJMCWyAHFzQvYj4rt9z2mv/qGz2VGwcWaeixmTZMSSo6fW3TpkOM6W9vL
npjnfo/qV5zEwIbDvkymEY6i9A/DOk35OILn2TsjyqmVcPK6uFw2rnPC5m+zmLBMaIxOP5vydRv+
aa343ol9rFTi4FZ52+Q7WmJ4e6ivPIa6FIki6bpCJmGDpn/sK7dEX51e1iI203QIenIco2HP7SSu
qcvYOUT/pDdI71yStnDTdpvH4ZqM7LcHgqvaqQMtupOKSZRWcMrFMgNqsib+XVP+2hJDL9CfX9LI
fifZerDZYA5xGrzGhIWnNFsAfmQHOa+/Q+p87kicFIRizAZKDX3+BtY7d2HwuBkNHx3DqTbbt2W2
GG3ZxxZScVyzHe8vkSXJtqhQ+/w1FRGErL3+6MhLv5vkyzzx20pmnmcekJsLhoIuimMOgzBR97O5
YAYthx7SRD+rKE8MxtYBbzwn81SDDFPva1xEfprOQm3XlC8PYRg/x92Fm+lBsyUtErp9GzkMsxrz
xxyzPNJpeFiTCXrSFkBYMlthiH2dXfeb2rkrMHbbYlnQzYixgK7vqlrXEUbcGmCPbN4F5q1xhv07
GnaDjUFv/TK86QEQyKhnXzkZdFXX7HmzL1c1g2eARtEU+PUeYubTikLDqZmEyRh+jxk0RiHo6XOL
1jXm1WUR31G+x5zz6R2PqXKNLZvTyQfg8VYAJf41MymmipbD7CBmzHt1RZLg1gnRVoN1APGipC42
ibFE9fyooZVguuVnkarmtJGNg8k8OVt3Z9WHH2hm/tjMhgU8JpebqA1exxZMu9Rvbm3k0Y7V3Cvx
bQY0QY8yw6IIhUkv8TTmzScmEUfZYQrgJiSpf98wYgG12SD0hte+r38PU/IebclWmrU+tsPTQNs6
n1zSfSRLGTE9/RCSP7UWPDwDbpaR+kdqv4ZuPUda3UTUnVPfvCtEAwqappBc565yWfLkvJBnH8CC
lKnUdweVuVoC6gsXPwEspc9rprMX5hIFY07tp2ezmgzzLV6WdsvuMWyD2rf3TtakjPc0LcIOSQG7
9ECk23DNhzGyJzM32atlEmbYEN/QrWfFEpMfMHlJZWljy9Gp07j0LzNdYY83Y5d7QX4CcnxrKHsm
mb5NcefuM6beZeXBvUmJz+XYgw9fg6fdtN9C04zHQE5H5P5+xQjGnoBYfXEBWl5wT4e67lPUuDQn
gr1oEWlEA7DfMsGuCkxiavxvb9OlgvH9Z1Jg8tHYhcUQxD9slHzzEcRbLpLTTtFTsWkIC2X2B+IH
9hTH/TOJu/BoewiZcGIyiS4QEOd0IHukcMBxd8dfuHiF2sKzfTtBTD4Gazpc2tYfHAD7h8avS04b
Hh3mjKlbMKLD8HGQK57skKoP48SCm9aqHCmSHP1El7sDtlkGsFamQPk88qF/iKKmeYoa92SDFaff
uoEnUo3KyQr1MQQrmAJ6LQjRthJt81bzObiNEudvSow5bDVneT1YNJQfqWASDb+EJrWm6gyhCoib
QAbC9Yd+Cy3Wv7/1KVMXgYGPBXR7Hcw12KMzYFF+Y9g6T5EHzKeG4bqG4wwyJlZg9cn3UIv02s3J
K8lU+EheFximh36Gxz+k4VD4OZBHGSBewtE0QcnH8G4DUEPKzuWIzmpN9Z1EPjhOOgxxxM/vEJEq
sb67vkExY3QCwLVkT0b6wpJevcZJ+8q7zF8XswwPm7GHUQLzCcad3zx9FlGIk6RJ/1iTdoCpVnaG
OAZ9o/dIAeGod8AR5iEzRbyGc8mQK7likj60w6xOdRDcfTc09xpfwQDKb+vb8Gja6b5mS1aICEqP
meEBpV1phlocUp74B6kwsvOxeUP2DjI/wQ1og7zaINufEkzfTQJCixEIj8OqXuYRqZ4GrVKf1Rzw
hb43Lvs5RnGP4xUndogdBSbo3lqbPtVNABU2XN96II8HKKvNKd58UkSxGO6cpGW2ivXckZhACKrf
vFbmJQAQJO3YlxS6QRHtcZMz4thDJAUoIzPeVzc1Z2b4wTs+g6/xGxpekB8rhN3RTJc1MTEqi0jv
O3i1A6AmemlBWxfxPiC3soTjRTpWckhdx3pYTvj0m9vfl4aDCwdycdcURw6FH1N5o5Z7Q+r2DMnj
2z4K9ojyOx3rvgeJPoGaTHf1td7sz3pWkO5H4Aj1LIHV7ujBiAxKWkemoj5lRbc19Z1kyXyYUEWQ
V8r49X9fHjOVb9LO5y4EZgGbBm629sC/EsyDGiJR2s53a+l4ivdEVzxtElgHG78hpdaexBx8dZ8U
eQ0vvGg8UH3awX3RUXixWhpwNS0kEmmn67SjxscJu1pV1w8RtIRlklm+q1GXc2euELphz2ZCLFcT
7jHYCwZjLt3Zqa31q2rlN6/9eBzb990CBUpM9y7Dua+AyIHpomNTjCqkh6gPPqxP5HXGlHpJFBy8
ga913kScXuZ1d++jjV9SXGQH6ZSxSpOYXtuQ/5ITm24QnUsMoKjMUXQZxee0GiXNYe5E/whm/QF6
/pS3fY1GMrVZFWgPmZs3KGGLQzKqseudM0AzmUhRYgd/taBVoco49RBS+xIaGIS+3i4s7LonrgD7
ZUn9AbozzIe6Y+cmCvPQIYYkG/gjsW78tcEMBbO0VHw69020H9k62fMSAz8L167LI0TxynqD84Nk
n4QnDTDLtARCyc409Bb4dYLpGb7OU7oC+0Dau8+9lNE5I949a0xnS7PVee+pOauwu4Zpxx4XBXFn
ihDm6+RtjiHq08G9YC/eaSCyC4z+HxO/p6o3lzGLQwibya+xC+pDz/2pBahaiW4HNuWszONAuYfY
XOctQiM12vFkkBVAUOGRNi3ieJI8ZIJOFY3ai2kA+TOVwpXjiBrNaip3EtZnpbo3j4ugri1BLzOl
wVQNG28OpB+CPEn6+LQ0oAASiLgPw3QYkmcYXt3NWwiPKfqoMkK+sbIafVo8NOKO7o887Am7jZNe
TsDImznZLzacJgiBDlzeeDcucy9biI4JjePXLYXvgeDdtIECQzKrJFESoCnBmYnu4EScvO8OtYJP
gKrTHXzskLIY5eUcdZm5LBpTE+wv1YOeSkVJNJzGVoT9ZfXj/778/WMPn+PAN/elSxt1+/uCmMKY
L+h5D5uP2ly2CST9bPuSBBN9ToE8lvuYknKOdLkrHNZ7TDCTL4d5TZdru4nnNnYZqFcfXBK9liRG
eM1vQVT4vl6wroi6pwFV97lDfnRvvYQ8w7Z8DAzsGu/UPfh8+fsTZBt111uGUGnUyGoKoOp0O3Hn
Pon560QADvWI6OwjsM0EUUgO/+cgeVzohYfPUbSX06Ihs6IsCaKCPOLY/bHQ11GP9hRxXSL0Y456
W4BwadnmqKTsIBQUpnYoBGayx12QL/PaDGjtbJwHA50vzJiHfQgFzjlge1vEf4Xp/qqV6oFVPNft
dPP7gLFNPrYr8ACiHkFrL3kCHuLYtPGXRE9X0qzvyos/ok8gWJsXNox1sVryhw0aGPreH9s0Qg1E
n60A9dJufeFd91URcNfBcAHdr3ON8lZ1YMHaeNRHV7NzAA47ZzPsANDEXaGizRwIa3/yvb9KqWwR
rgv2F1w8AyeEfGIKGUNCSSbHAWhP2S/wBWuQosXMgAxFDqo1h1MkdhPgXPOiSHfxxvaparn6MuxN
XKK5DvO1/uPnIaiWZFP5LLrXto9/hQ1ZjqPdMVySKQcxhsyHeIigIZYcsSjukUJJFwFQYIMwguG7
WPG0zV3NbCjHbbi36nXY9jHPEjMfoJGCMqKgtD93jmftyUGbAWZRVwwDYT5mIRrzFhzwquKmlAFs
4rqGjDusJwL4rhDbcvi8nDJPxh0w6g85dtt5WSzA664rWad/DkCoqiioj2gPyJXtn9ldiMPYS98n
PawF2ubx0IvncXYgFSLgUzNsKiuBHYQQd+kEJCybfJGtgyjTqAolrL+ghtO+5TzsetR45IHGEY5O
uxYoS64UYsfmzLpvEWKeiQcRFhFoAOian+Ys4mXggk/QfPuuoa2c+no8CB+/tst2HeQp6UNYXAPw
wy4AUjT5+adp/X4evDq2y/pH9uppmUR/DJZfmPReFgWBM9X+Xfjk8e+xpNa0yZEkQBmDcxW3AyAU
pZ66lKsKS/bOUTGb2pvKD7Q/BFgGR1QC/GPBrW/kkJPJknPHa8yI2Q2Rn39258i1J+yzfe0estZf
10kMiAEMmHv75YY++LJOUZ1H7eiAEzeusoG7C4v8Lc/8T8VhAaNfOXDiUBV9ch8VxPBomQya0Okr
kFEcx4FxGNlTf7L8Y/ksaxqFsYxDv5cNNopj1l313D70rv1u4yWoungG3LZJlMaHHrktYIHDW52l
6hQkoM+6qdg83moXmh2JIfEjBAxeGZaMCOz4rwZK+knbejwmBDDGlnF6FXx8nqTur33LWIGbBGBr
1WHF4b5j0UzrKaCpKOJteSW27kHxKdirBtAuDoq8MbU+WoawRodOP2sEkhGh+Ma47iuzT4Ac6gmH
P81ylOr1tIb0gW4TsOxUpge10PPI7NetBeC6mWEvWI5JBDbS0py0/qd2iXkzMSnCbHxMZ40UQLI2
RTesv3Wr3s3QDBWMcS3q51j0Arx2fUvmML0a3kQ5uHt2SNTXxWYLrIpjoFr6XiN3n/XZu1q39jq7
ekGewf5eMkCBqDNYn+7WTBgzIOm9I2BxDdzgqz5Fbnfod6STJsgFPe0/YvMk1/lducmizI4C+D6E
JD04WpANRHMcdEXAando+Yxwj//YAh+VHBpr37oV0sG0la5f9Kmj5k2r/Re0/yFnOo6fEXiDi1PI
hv+Toq5DGyHV0sifnVnECbGAUkRuP2X7+GwQ6i43OfB8Y0kDlmorhjG1ZY0MHMKKQNCMSzBkY1uB
jMDY1iAksxlqqiaZHlxK59wENjvyBCNpapL+aQAU9/cHMhhkCZrwqPcGHN4uVNkm7fuUzNEpCJMf
Gc7iWz3qXz3OMdauwXlNmqbYLMaixo8wCOOllFJcUawQWuiG13QEpSdsf1s2du9X8GXgXvQxDmJ1
zKIP7dxTiMVQKDn9IQM+Pt2bs21Cl+tPPrmLkMUPm+mZJxgxunVUR7JghcLUeRnehjiiBxHVfU4H
6O6DIKAeInEUKB289fF9oOSfTKkzmJ+L1smPXoP2dnH7A++TX1wMKgOjSRWGMOc6kBcLQkCOqFui
uvHDwbNMY1hmgHF4qO/JhszVQPQD0JuDLyZO3iU1Fk81fKOf/bSEwYdu4dOZhIaoRDjdNxCbDFdT
XJZuf6B9/IeDC7saeJOEQgKwfSShl/a6ZB5+EMb7V4x5dTEs8rxv+FCzFWalriu0QCdrgPGHCCTD
wx0K5fV3Gyr51Lb7r2haMXLKfzrE4y+t3XK2Tfujni3NMcrog55nkzcZu/X19Fgr3T/YTpRIMa85
txtMXuEuIQccFer0JZbpA+5WoMdOzqc0gsiQsPFlxe5Cd7yiKcNFISWkG7hmyeSKULv2MHt/CzX2
C7Zb3u/7a+DAqLvsGWB7doqh+GV6+wmiDENcwuvjDuEWskVzaFnzJDJ1sNAbSiDd0IKY/D1agKWy
nccrGVNfIsNaJSG0lXhC41832RsCifjvcWYxn0K4ow0i/YgL2TR6ILVmb4s8DlLYi/5c+y3q6wfl
dRnbccqXMHXvixBvSFs5m93Tgcw4h3eEXafouCJNqFl2DoJhB+a3f0xSSeQxEexdVgANA9IbMQHV
0CLCkrb7N+jV6mFL1NUkZDnbv4PJekKe4b22n6T7plRhM9ww3rmQA89LfwQRnP89+mVIx28KHwvu
4BDgsBxkB+bFGR9HiGKvi233DxlYgwoxaoWRxaA1+Typ6Daf+n71mNHQwg91AKKciYd+TdwhNjfl
An3UPdGH0IgBrm7pnAIVO0znLZ3exog8B/aaGsQhRtyyUaDfVuceQhBJym5ezrxJ5we9hapcGNAA
KEhV33L0weBSOiGnfFDyI5oWdSJ+5Dm0kZ9Jva5FS9T3JlmfeNzXFWf4bjZssnDIYJDF+1HWBgip
t66sbQy6J/xoO5od5Z8GV5CwlaVnEFXXHWXvRKXD7E4RVxL7a0RKOqXHlqwKmuveFmH71XHyLHbE
JWj3jHseVOXhoMQaetScfh+jZSgbCDh5yDZ0KRtwkgxDjwOvsoYrqNvouZ6hPgnEoa1fkT0AAJl6
4DNLYnxlE4rmZp0omhwKqKOetyccYaWvh48YF9FcUFZ/TjZazlFwWfngLyMRFbp/96SjV+ThoaCN
Io92yhG5S8JD19zJDg7ByXo4tG30EOGIheHN7m5M/tHJ0FUwJO61nDHFA0Apxr6jZeDbOEdg9xzH
Q5xT3TziAhB9hknToKuW4YtsUtyRARECOZu1yDC9ZyPQ4XSgpe3SATCye6LJgntfkEHIDQQ4E/eP
K8l+79KaC6Lj36h91vGnL3JbmUyL0avvnQVICiG5pS17zDjejOmWF7aDktsbnFEpon8FrtX4TIyj
42wefEu/rp+q6C017gUZzevixzS3kAbvAK0xNTa5HYC5IjvRV8Psk5zwFrB1Z99ntBxFu0l6RFT6
LZjlGUUXy5XUjxIRQdzno6Jj6PZ/ZOvoS9AikLSB//BICEJ4A+Y7Gop+QuBikBpfscpsly+Gi2PU
DhPuUEly8PlQFuQYlGFME5A26eveoEwO54V+7KQ/ewLfClcAyDJZuS3jtGUHQHk9XJ/6G3eojIii
lmB+lxE35XQWpTQOvyy2+TXhhuU8mwga8ggC9RQvH7aLm4sb1+8jlj9M3gwwqejnKW9QcIqkf5Ut
oGzG27kaBnPqefAni7JvYh5vuFgEsjHHiY3+SJ5dzaenUIYTtlyE7mpTgADEyg9hjVtyEGFdcYlA
+9A2a/AYjgfctK2vYoXpwz99AYGjyqjenvo5BdW2xjfdJb6AffXeCgoZ5qOvwd37efqSefueIlHf
J3lDgMEvgl+C6bHxbVPC2+uPThUja6ZvDs0iOM3udTHRA2LBQPAbJJMHSusSxWYajLxR0PrQ7ZCj
B0VxtXUNuCYGNBUiKnGImUXWEL7+AmkLxAWElkCuGMC8Amg4YKjgCyKO6Pig9xJeXyRPcTfQ7Apl
D3PrvkQtAGVQPG0lDYPzmm0H3FeDHCnKoVnnp3CgB7o6IHemivUv0JOndhLYlHNfWNx/M0RQ1aKp
h/4/BoDTsTC2Jk98Jw4e6W0kgnfUL9DjTgcHzjBU7cCm17q9Ws4LpGKhxw5NGWzptwSL+Yp7iTo4
9Ym5IWkCnnH/ix8vBU2aZ+6tviEKEOBaHNwQZRGTZszCity2Y7dDgIewJ5KAHf0FknucA/RYqh3y
lMrCC49H8zSk/VXMey4NzncyuIqOY6FrYgpEge1J+dSgew6yiiYaAVy9AWoNXoJ9MgWigf1FDs1c
TUl2DjMktezG7MWj0iCuTBE+6gaoaMN4nFSgcjM1UKYBy25Re8IUogtcm6RLGzRfQhFVabxcp24+
ryF7G6z92BnuBBqoSkqvoO/YxwBeZtFx+okh+RKt3b3HlV2Q96K+EhSI79ghqltnU5mAVROynm7d
PK6gwnA3Dmj+lCGx1QzAYCODNwU/SlRhgvuUeBCkh3hVH10AIaFPFBLx4kvv+K9tBA5t5V4iHxjl
Wz2jz902VRkFw7Jz0PLhdHI9P7ggOyLTbuH5jUigbNlH0rzZiEA0WNi90cl2CBjW8bSvxdriA5R8
yOu1HSt8kn8SH+qjn8L1MEioI874GxwK+5R+8tQOO81aIMEgdiAeN2lJjasPPnv+H6LOYzlyY4mi
X4QImCqYbXvLpncbxFi4gjcF4OvfQc+L0KZDlDQSyW5UZd689yQa0YMVIVs06EwBpe44pFc3dNOd
aZTjhoFVt9W1h2cl42avQWLg1Kh3FMBi603OvDbF6O4p1wMy39OXxCWQuVJfB928ljJlGmwrZMM5
+rQK46s0ZXrSUe1su4se+te6V0RKoq+q3SOWXaeppDDJ0BvlOJ2i3H/tay/GyWFZ3FwoG+PkOa8R
fRtajPth20EFpaWxyRWRGRFZ1K28aRa7lKEhgmvxwfzk5o7Erez5NiFinMhm6lXuZU+FZRtvcU6W
IkUh1aZoj63Se68b5ENAUGY9zPaEDVEqilqmfaXtHi07PejOqNdz3NAIBvWhUu6rkzKwLax03fEk
bUaDOeqQuynZHYLHrgq9VVz56daK3L9SMr6udb0OJ7vYF6VXPyojdRnUt++M+8JDWKnwpovKWxPp
rb/G6NCn3t5RofWJAW7a1/IoM6M+BK0OGehNf0Z2wZz6qyVnOqEBiEBeiqcZ91wkm6+2bOw9qAmJ
6zX5rLz2WDNQGZyvIKiJ6OP25XNp4Jfk+Qxp7+MWVolQiGLJZG4qH1nFD821DNNbielaYFscsW+u
F8NQGuZHQ9PIj2QncW9ego5/4mcEN400fp+UtwptQRv6SkW18YWKOPiQHsuUS7bPos84LcdbamSk
Z0d77Y11uofT8+SH6RZ337TmQDMkddXc3SZL9qchop1x5RG54Ku10/cRU50VD9nWp6FZ5ZP4dPHE
1V1pkS+OZ04YxeSbMKU3AD3AOYcbjidzbhH13G54pdLdejYT08RonqLUfKJCDDcd8+2tzopf3uQN
BEvuA1R++Xxbm4iGvDwJP2XGrtOUN8v8G/aWOgeFPa7lwKxzdJq1pfB0A17zxNlOzGPrO/WXkcgV
Z3aPpfDJwT6+cnVIjIhPUKDnQ9JRJZNgUu9dyJnPYCPd1I13KyD/rJNOu2uzDJ6llUoUTqoF6XX2
qrJlsoG9cExHJBqmHrsSzyxztadQyK9WdC9Qztx93/FWevpPAyF2JQpgKbbdP04E9RUa1CaezIcy
ZSgadAXpSGmtqMyKrbF0KSPD2Qpv9trJQ8JlIcSIwDCW+SwOzFHE/aZmzrO2OlgOnepfs1LoPSUi
KB/aq9HBku7eyO0Mc7GRHvFJUunUHspa27exzbxTXn+CIAPTJsaB/3R75qyLUd+TnrjYXz/jfY27
tDiVU/hij/EPeoQ3W9qSstw6ad9grBbwfsRbJi3mbhqCP7Hh7idY1EhvFVKdqHamqm4Fc7NdJ9RG
zWQjVVzs4AHtu2z4PdcALFSM+mP74+8xIvyHKcpOSEnZIwJVxY/XOAW0PB2AEIlus82zCUlxBZAp
27dYGfzZJ4BdUMVAmMDAG/7N5+yHzVkC0sTbzWMT0x9GdF72/AD0kE+/nt4R57ZWoA6o88Gm5neq
CLe6ZszMtlQparBLJ8x5HQzGT8zfBhbDxrVWRRJvLVMfXcYeDE+2Vm/RjGTxVxBOpEvPlgln0Gv2
hmUAzkAigD8Q+t1X1SAcY4OZe/NDRx6S1EPBbRmNJ6f7rOz6SOBm9vTVoTLFzbZq5KAPreUCTLDW
OAK/vcz5O+nmKyjNj7rSn0H+7XXWD4ZYlfBQU6wmXZdh8DyIFFHHvc4tsSrR5/nGMqiZQH8kH0GC
+diwd9qR28CR7iovaF+KL4HbaJszqsbnRObVJZitfLujDzAJ8DjUiBrlFlcLMkC/q3p/XRuctqFx
sbU820NIx6hpIfEsrBIoEi4SwjZMKbXK/STmb08508bh4S7ckPSE8QszZo1Z1PA3ZpTsQB8+kuJ/
mMr1cs5IOEe11RP4sTTWmq7mNqTqiQWBwsSsDlzQ3TqeKNAjKyEKJhjzGE9G0/0tVJ1vy643V1Sb
L50TnoR7coJbGaHeWIl9CWMj25ktxae0yOG6zQrAw4iDWtKD4aPEKaiQNE0+D5XFUCR0p/0MarML
IrIG1hm31Q4w5p5RwzPe50ut6F4KItwbtyJNLMXvHvcMoTZqVjGK/ZCxrsxP/9ja+O4ahkKxV26K
CTOEOZKX0uP8s1ADt5/9bcIG3JhqPmGz+61m7HUiFL9x3x9CYX23pfPqVfjI2vK8EBPS+c9stC/x
DLBSflTO1G1dK2dk/pckXUkOHTfo3P6he6D1chjQZfbe93if8sRS76WT/OnbPH8g6mJVwlk3nmsS
POpeTcYk67nu240fQ+ucopTpA4ClgI+QPVlbSIrwPxg5TJXAutd55lo01iN9C3E7yGB1RgPj6vy7
tD183Db+KbqZW+M0lA4SIEuitMGDkJ1USSsyOnG1j4ZGEpeoH8OcZFLU0WJFSXQmcysbvpG0GX7H
JsbdggjsCsjYcxlHn7UkcVS18qdZDAFDBQ9nSw9VQZSY8NXwuyvMZheO/Wc8cvj5qv0lw+pRzwSB
va5vNjZ4nK7vTjHvkpi4sqKm/LOE6DfU9ww5gMJAco3KJxOeaU2fDVk03LQ4HFdkST4dQ5NR4NeH
gZf0bZPydMQElfEsnadcP+UNnUeju2tfwSctivTgu4yB2pC6P6fDJJkxkahKb7MOb00Z9LsmRZ9J
p+CjzCveYLsweDrdQ5Y3QEeEz7ONjRjkFn6EaeU53Di0QacaNyxnRa93cYS/3A4yUCdw+G7CzdU2
sfAQSTe09tIvvpzGXptzduRezte5+R0OatpZdR8RfuGTMdpVfkzTPtvqpom+qAlIBgGRg7G5Ri6q
MMikMOkA1npaoAqb+XEkTBE1uX/x+9fI5ZMD0RefJZ7CmgQZU6PuZxhVf4oEq1ItP3tTaTKw3Fp8
rI9z4V8Lcrorz/QPNs9Rg3HGttxrL5yDE6gfaf3hTCHHprFcZsRJ/JpZX4RJJR8Y/KcKaEBhg5Hy
KDEt8U3U2d01IDVqP+/XKRNmOFQNfVSj0W/cEgNnYj7WYXxGVRz2hZrVi78ptLQOfmqdMU2Fq4DR
JaO/epsZ5i2fyc54sCu24PQWr2i0hfZL4ViuC4/vJ1LGJ5pH3ZrOxsyGgSc23Wbh+JHH3jfphC4w
mTTzLzK3r7clIC3KSKbYXGyrLJ5+EqH+FZbhdzq57cXNscEm1QyMbTs1mh4kSXiCArNjDDneYMT+
tjOMFTgf0NEiopk2tSQWtHblE/pZTsdUd1/SCn6Go/uYloeszhgfjQLIl89TUenqdy/XND3rOnKG
o6vVhz3xJtct1zx8JlyxT6jS/Srq9WPQ9kxsSvjEE9gEMRer2o/4SbpObvhJ4l3oRY+gXnd9Nt10
ilTYIfRKvuWKdNy66+jLoyHZNJIoF8CDB7c1x1OeCWfle0SEyGA+O4SPIgRebq3Soi4SLmMfCWHS
sksu3oiigApvbYe/gig+mrJLAP8Yv2ktf2sfDpaIiNlHiv9aHxqkghbkWVH9CtvAWLUc0avACH6M
Qfc64KsA2uCsMkHZBUPM3QYgnFLLOeq5hf7TMGuoSv8UavWrGz0U1e6TbOCn3YYfEUX0W50HfxQq
BGET72a1wWfiFWRnZoFGnA07dI3dVPlXL2ymPTp+unZ1dUjL8DfTie+iVlfc6BsmC/PKxrXgIgaZ
dVWgaGNiTYrPnCBYIpySLibmz7rjiRbrKelP5ejtdSUPDZKOSdu2yZYfN3fDVSUSce4ya1+DX4LC
MhEr8l6wTJ3CYc3Nxnw4N0fwcadINHA7LTT4JuIcUQFeyk2GS+8U/w0L297Oou55NnCvFvLZDiU1
cnqzvOQCbyhC9ziG4L5WSVdSK/h0Nr4sd4SSMH8Y0SZM/F99wFh8ac6YNeULvyho/xqLkccvFpgb
vCXqhmrnlzUysY/xviekcTAnk6S/GWX7GSKmqC9MT3+ksXEdRPSj5TbeoKej1rn1p9PIZjnXvoOp
2FTO8LdeUvLRxSw4Pyr1px+PuUHx0ViEnGwHxSfN1U5YHg+pOz+NEXBH3U3rxul/jLbd3JKqwOCa
fmcUFJRtulyH5iSPGUX1KkQvexTJEvQtN6zkpEI+BBm7RTVXcfqeYGQ5igIvlytahI+IgcPs601s
0otleRVv+zrZq2h6s3CYckV9DkFEoBmpfoNhbZMwhENl9MEnxS+yC7sDfGS1aeW2kiY4mxDfVmE5
21GO0artFrZxG1NcG6dqsv4mhJpdqwN7mroP1Bzz2hDRxUtQgyc0974sG2Jv4qv0e6hqhrW28Hut
YunvmiL+MGWMNDKgKxoSKFqeVRANHLWehfrk3dnFZTjtEtACtanf0nT+UvX87Gv91yI2nWsMsjF5
q0XoFbglNpGlvhjjQrUJVY16B93HnueNrjVn8viW5gaM0JpjT6CX4yeXTIc4wgMeIG64kAFxH+x6
Yf8qJhvOVu6P8AVqilWOypGua2Oa5GJHLCxBkaiHzJzly/KVCMCE8gkcT20hmiewIC8+XrYBFhD2
PUc116otXrQRur/jGJYN7p01IWq9j4J+mWbzEhuXMtXOLUL4KL3eetW6Ubfe7F6GRI7WQUdxe7vH
tXwLuJAKSFMG+COAzY1fss3e+8gv/ybyd1OT9835SA1YJ58KTlpsdNBDDAzYU2cF19TI/QGECfZr
HGrG9b8XFwZQlXGU2yDOSY/jPRRS/RyCItrFlJw/W9+g/LsRuCrRGAny53G4BKfr9MfQ+qd6jKcP
fA5Xq8WX5tZtv/VMk1BhWVkMU5LkrQ6GmzPH5Rkfin9DcBq3PMvlBhAdH00LJ23UZRm83LIGJ+4g
IGfhygbxjoFGP3RFhiDu2NFTZLoMlpcAXbsk66gAH0fgmUsSpDlFQaOe3Dxn5DdDM5TF8NMG89BW
QfhWEXXfICe6hNZpGZxSzznshfxqxejHyzcwG671OrllSMr1LQ2C6bNq1y0iGWfb/JxkXMHS1+Nj
MrHEgOiXe45SQn9JZ8/Hf7koKWELzOFQXKgp6ZXttzYcvGeVeH/CxksOnTtw7Q1A2dJuMH8q1w2f
jTjtgQaRtxVUYBCUeO+MVD0Cj3BoM70/E3nGVSpy5xpmneRPjvZ+zrnL8ZUHN5m8lm1BdHrMzBy1
ZzTeLFIRu9y1Yb7kqDUqDOEwoo0LSMnVOLX7IgiQszvLeJ85oFZz2hQXzymvjp34YP2wX5ptPeES
iMatUQ2aARPAf07xkrfKgI3hL9jVGu4V1134Sqycucycv9LwUdE32biJZhGs49hgIUD5yhPlXdMF
8wosT6+Uzk8NxMXNPVt4f/HMRcTA/LezSMk9UMf1axYu7+4xOmiTZBzc6BRUifWamDXXBCncnQuv
v2j99jRp0VxM59lWfv/SgHAsRlMAIlqDRmlenHCraRGe7190fjhv0KB/Z3bfkMyP3hW+ZXim7xr+
/6cLqLX1LXn244G32LVDUhFc8KfWs//c3x7mezZhOGIlhyn1F2GszC9q+gbsZ5Mt796d1tnmZoxL
KnD2DjsBnonO1jXVZozRC3BBCH7GDQAoRdb5jjYtJB8p2RSn1jCB3fUUSP4QjgE5R9qnMpXnqeXX
bTLyNNz0Zjc6vdEidPt/nzlnbMutpfNzLoKLM/fBoyP6Zzco/6qJzRSAcLDq1XjjP/LMfETemZ6K
xMO3aAT+W1GWq2EkqTm6xsP9XU0sGK1Utq+D0TeXvh98bP2IVG2d6UszhfWqK46UHj+qqZjf5o55
a1a0YAzG4LMMflK+Dm99MZ61xCUZQ9dmroafvAEZJgIzf51GOW/uH5TYooScLMYzcUH4rCX2VOG4
aWJ7S/Yk2Id0no/4RbzN4OEOiavhZ6fr/JcXy48ogJlfj+kh6oS9Z4sF1Y1ubxNpr40cuxaSsjcf
BjMP8GykBZ/7yGwuo1AfwdhOwFOBB9DKuLsBmfk51S2uj+7Vt0X1Utszh1/sw9W6I5TNGhmOrIi/
slQwc/Q41sZhXpx3iYEBK+6ujiXsjWf06sAWDXvlaMc7N6n1o1TCvjQjeWJsmgATmjHa1QJ7agic
+P7CHDA+tNL4sDy7PftOh+y1/FVoTw9thh09hNMMMXPUaM4qgJXpM8zndVP7dPq6ieuLonryOXIO
uvCrwzDklLCTt1GBpBaZxtcIixscRMAzqWFaNNscIZEwn9ivsFJQ8q73l04SrB4cJDeSwMHNZch/
rXWwnSNsKo6OqzcG2RUGpmYPyVET47JOUwqvwnOL+WXMkvnYMCVBsPCIRsQtzhmn+KMhjnESPiNj
qbNPDHmVOR5+O4cN2Bn4jlxKwh2x80BKpL2kqnmt/YpkgdsaXyqIkL288XGYmh/p5DSX1O3KXepF
ESYL1l1RSsywJMsEb2pcldcMTPNazl5xMOyBzsrLPACNjYTOarCVIsR6UTdV+sgtaD7x/b/b/WSh
1vXJvqIFfqK7WBL/YHwhC4K1tQ04hFJMBxUQA1Cdki9+kgAIVKDg3GzAR5LiU7XSFjYjVTuyVn3w
m8BmEwujvD4PIwji5nAlqRaem1rTwVnMUnTQEVyocPAalPGrYa7zc4/d5TyZc37O0Bh3YdsZ5TqN
yG3lSzL0/pL1ZP2cnoFZ3mRwFpZnQVXWepwpTyXMgfu/ZYg2vubIGLUdAt+28BNYjtE+31+Smc4Y
EjePPTbc2LTf0noRWJnEHPKa9rYv32VD8RZ5cXlMXVBJbsLWCmVSudliMnci6i1S5fBWCSoGTxMW
hELHyd5w5wpWOd/cAIfphJT1klb+dJF2cTKLWj9lDRmjBTkdFgBHrLiAzNQFXOd9+I6dEbNw0uLR
SuJj5CjrJ1YjcETJO/uxD5EM5FaHWX9wh3Q8Rm7/WHd+8dAHzQ9rAUq4PZCCKjw643yaouSP4dvR
sTIrfcL1Oj7GARiTZObnzD3/k2UiPqTsUx9L8e/FH4snR3XlLTcTsacl/NIeBicXv+FXqwEaWMb0
c55cVCA8h403OB+sA6E2Lit9yRvw2INxaQ1xGUwwpBI45IO3vEQ6f4sTP94z/wpOXh0Ep/tfmZ0Z
nCqrUocp7A9d1NdnE1Xr30sxNkCzMhX/9QNEYh/ZU3sHKzC/nbGft20D/Vxh/D/b9Mvwpd3L/aWZ
tHtBubr9ixnnap4P/x0qlMDexlWE2tCoBrEyDP3gwaI6/btMAKTmuJwPeTh3tExhk569KIvpeycj
PeHrsbdkMBxAe8I5M8J0zvcvI5Ume0Z6aCNFdZHLC0Fa1eFsxXoZ5zAXmXxcQZ4xN14aPgxR/sXO
UGkkJNtLShIM36UJF9gd/XYXF8a416LeLNtPVDmPnDLVeHE9f7wUU6DYYARmusYwSMjFnrYDx/XW
mPD8urJ9pqD1cFZu71+g73TPMeuVDnXEkodKjMcq8DrA6RSf7PchuOswveBxbnmy82J7L4XLgV9u
1T0nRAZfAuQnL2zTD0zhCoBdPtDSuOlH6SsAY9TJe0sxInLaB6T67qGK2u7h/qURhhCF2/xWdXyT
mcNY5P6u0VOW1/9e/v29Ahc+8VumYea+ZrR77kEiHOY5uSmhO8boS9k00x9cOdyoXuut6AfBaEJI
Z507WPLNpfLACYdbIU8ZZ7NUQXItv5Wj/n0HRZRG/whUuN53eeW+ezksZrVgCSLPZaTABhdTBfzI
uLLnPGt2yKbJye8jquBSo7OmSbHz2zD5zR8HreozvFtM0Ru1rJbIl8RR1lIXGoptSKMDpKlu2lvm
T9xMIn5IQdSBDonMU4kFiMHgcz3jETNCu3ks/cVGWStxs8Tu/kXISUBRZHzXRckQwuz5DDKz+iq9
7DLX1S7twvzBWhZOELHgzLH9J6aJ+SmNYYQP0oJH0/k5vb43ktidg0Nl+HrX2kW4Mx01vpguc2Nv
WRcVR3gfZAptTgNk8qLuBoaNO8xXRDqclCFM5vavidvvjcK3sXMz1LGGptr/O3msgU/duPG7OL5m
kYmhvu6SA4lwsSGvUOxk3bB/QFvG1fA0jGXV/OpaupSAOuK1n+pgKyxfXWzJCKRIJOeQSb2RxdFJ
JPpXGZ68bEqf7hVn6Si1R9mB+27TPo+8c/cb23McWGADfrqCOSVIa36kBWLzjBK09WvSx6gCep1L
MOsbGx1wO9dhoI5mG0UHS8pzgsObiYcqDyPQ71R51qVYguupEtGu0CR1quVL7j0ca7PzFjbNWfd9
cAgU66+gfOSEMEo32MQg9s4kq2WJ88Fe2MJ5vrWHEY58GroYS2Y4dEyMO0YNAXb8yBl/uu3iLJ8G
PLFLxe90s3kMhfptF050w33P7bq88anZ/SpMebNFa5zNJKbGdjcebn6E8phBSgeSPMM8KtySX8E4
+TBI7z+w7DAB3I9WQvX/P1rt0PkczFCAB6fEZ/Igz3PUsmnC92FYx+TDrOiBtTTz5V4PeERC8NfR
MNx5Kj6pky2LdYKVS2RzWiVNo3dGkjyaVX+wHBfcZ7vQ4OlFMEn9ZQAYHbCtE26zMrGPItZPsU3C
Ki9FO26nsnf3rEf5+18tiGfMuHZd/56yDOJQoAxeQgBDvbJrwmqdzU4tDG7LvqXwHM4iPNuAq7cB
8FrgQwP2/LjK+KYiWmo6rH3Lx/k0Ct/fSFFsvAzGxwoguC87Bt8pE4VYDAwsdRuuBmJW+wR+DD1m
/2ipCk5OztsQz3F09QjPyQRGaTzF37rRzIzzBFYNGaJgLPtrwgW86Uf/08s9GGft+CDY4LUaC9V9
O0a9GXx1osa2XgcUzae06rdIwV0YNE8M1oiwRc18TOdpy+IW98uYrGjbdBKQUeoeezSXJ7yMYM5r
bqW6IZfTgYJV5PX9jDmZFUQO+JcGl1uQBPty4b1K5NgVlsRfLdqYTLC2rEocLJAmbZ6IO/XDoOBO
c8mDnlCRrByLMDCSp3tkFnj277IFk1SUauuaEyfx4IZ0R+HrHid8bJ9FRpSw70iE5VVN0hqpZ7n9
6Rni7m2GPyjJOv7/T6FKfI5ZUTy2Nf+MzC8m43Vfu8Whjktzff+2LZ+xetRLQcwc1gSLdq4a6XL9
r72D25Ac7g/87IzRYrA/Ji0nqBSJu/n3sSetvWFHmjxlIohoLCD2ZKql+Uzz4/1O6fjFbEtWEkQC
jx1JuoqQyWOTYPGyk+EzzVvJhRUGJzYgzU+D/dQqFtUxIPBpxUcMBctCJPJIw9pdGn/gIHLTMUmi
8UrDbQRU6gilEwiHwC8Tt/Gj5/hw2UL1gEenfLDIoIuDaIPqNBXxeHVJZAJvXErcZs4+kqh5+/c4
RywVO7JqBMNeJQ5haHtvQwWVhijXvzu+t0q5HlNz2Bu2IbcFxJTtEHpiZ6GZsRejaU/IJhdX+uWh
7Sl072050YdZabiKwxM3WvOU0I0Q7GAk21bt05SLLyMN4kshNM9I08qrIggF5KdHshU841HSHD09
M5exyPBFrBe57zzy7eEF6BNjgoGPkl9mJ83zts680HmgJcS6G7f2KUpm8SELRONgOlaFyq92SWrT
6mED4Ds8S+5RFiohbk0dfxhNAdEZGWVgjc353lwYeXj5dy+5ISU9y262Yz30z1NltsuMXb23YvyY
hhTBwtX+kw4UFhju5ftLMLgEoCY2SATKe/+v/LAnwfxnBjHRQhi+RCGnR4hrcPvvdJ+JpG2GImaE
zKY5CJTWZxz3w4urssd/b52tyWtRtf5Xv86CuCaW6LK5yArZVPTmpV/+4/eXhsUkK68q0q0LR+bS
9D1VHbgIhnQVGazl74WidQ5xoh4zzuUbygco1a6p1ncpwul9NrcgOnCDh3xzgUl+U2DKIc3LXqnc
o/4wKs/ciyTROxA1t6YgwWeXUfYcYYxt6ZV9NRTvpkt5GeddRypqoJh2W++IQHSG6v1RAOk7eWCt
/JXh+N3RmxjYAK8FVVVc8gm0hBij6PyvyE6xrkUTH9lGGq8G8MqTWdbqnUMfMtmSOzdqm1lJAxcl
jJixtrP4CgezUJC2QrNZ6zw7ulnP4LXurmnNgEFNjXPJK8/aBoyOFhDaM/b+n+yx6W7atkLYulb+
3QJcAxjW8i5n82vJIqVUBsa1FcF3sfDN/J5e6C4wUiSyrSmsrTPAWZZL0tn3BljDpchhqqK3iXCj
vYUD6DCj7az5mHJe5hnLPNH+Lq4rhwc2SBV7WRoN+Vu+ZJfxIwvapodI9gPGFDZsNEnrPIyuZCNX
0Qb7sSyZrDmOPHdGejMSlJM6KoNr4Vv2s2vWL5VNxqmRFO/IP5hPpakf2sH6BR1iukS6eE4SM32O
jeDazKBtS3MAChO2ZNSXSUFb2/DVCVrE0La8VcKOo1XvUOQ3c4cCtClrDWkFxAiVQdqe4oqNcsuH
kMqV/QJamhwb0FkgFjPT4MGJhz9RZQjyYpFmfpn44KeDkUg7I0CWPnGdz24PCC1dkHALai6hqiaz
Hbrb++fSlgHxGDc74bALDw0ssHXJ8s2bHbpnF0rI3ggaTDo+RHFPQNe2aYAvxpT7G1EHTP0EC9tK
QVlUyDk63p9nMTUlOL2Q0kopdZRps5+BE5xSrc0LIe4G6g51UCmb7Nj3xHxEFZMAXlRpy8N0V1ot
TAM1MooX8XdaOerdjsBYkxS0GczDLbtfEqHPQpIpGjCd+OYliFNMYakKTgwr5l3vMF+n5HNZv2H3
azTo8VNSP64L29tqMAVbZ+rFgxGVv+x6qrkK+NVYOBbnQtZ7XDfN3qIfPz9kgrQmYgznUfTomHJ6
FjJmit5AoBoYUZMeSSl774dooedsa2i4/kjU46Nsf8WGUxy6yeqJRhBJbQZDnkqgC0ZXTzfWcpBv
uO8ItEwWeGEoyq7pkH/TzOfPvmF+Zdlo7GTuNae5oX3w4vDqdvKI6TR/BVFNMrp/Yar6XDhOveZJ
DTaO9ttnthdAEYlZWRs3g35gGvw8QATad/f/Vx6a3YaJur+HceAQoB7Hg1YAoHIdUhjOaQ5efnET
zYug0y/6zv2vfDulNLHdx2jMCNyppCZQDx0Hw4cNIXkkSTP7rHGgDWfogD7NvcsR5zn5AW5/sGG1
wbBpl/aqS8cfd5nEnrBxUhAaS0E4d/xIyr6M2iZ7uuhSaBV6df8XpfLUo2LxyFQY397Q8MxopKEo
xYD67wJrKh4IXaNyiDJe1hG5pYnkn1frpK/fOkeiWQpi/mVlswamjm+IqGypyZPpkeyYQ5SVJWke
OvOmEgDkDV9swgWcmMa2uR2cWuLfouuwS9Y2wE8SmCeKEqLChKknNgP7kkzEexvrVSx70qR0wr0d
qWFTG9eYUuYvG1J/hh2FBQWnvx/ZY1Q4RJo7yBeHkPjKkcX22Ury7ZHbL5k4Io5utQiaPdlHDmoz
OlnsGD5XMA+OgQPDRAuempSjB3+ZoTzwt8sWuplcEQnzIAMz5MiX0IZPjI1r8r3fPmZA6iuiwQUP
8d704u7ERAzTdlQD1ws8BnhLgZGGU35xiv//Ys0uNP+A5iPKVljngXOFTsbBrAV04GgM7buh8/mn
kebNc106uC2Whgirlnlqg105yGWMLNMnZ7GNGKII1hOLuPaULD/qSQOiqMfjgHywy0fM5T7yzIZK
vGR9XS/fVUYx3wT0gZ6oQIWg4m/dEPMfE5Zh71cIDl4TLuiDtH6ekvBlGHN6gZF5hR9iklMDrJSY
tFVQ5wcWi42PKnCrhz4shhctnb1LRvZgLbce/uv+2HrylLIE9IKA5jxWumcQZFP1E7vayIRdMlby
NjR1sC80q60bsZDY1bTKwYccHW47xrP2Rfh2uS6LJLl5BsziktVychF4Go9MBxdkePSjHxy9AKaW
/1SL3enkJSS7MXWnyyooUIDltz2DLjMz/scFN/YpsR3/sU2qAVyR94nSq94aJiuGTPFLxZpugUU9
lK4z4GVi3PdRyOjhZInLuD8YZEMNswE3uAx5SR1vjciQ51rZ5cPk5r+twp0OzpCTmV9+peT3aybi
7l8StmSEOIR4S4CrJ01v7mJZtNegI3HAdGggtJFW56BsvywD5duvzZFtpi7nqUNvXM3Jsahc9DJp
H50iH3kE1QlnqHO0Cry8xNrmt37C0A83/xxK4d4sNwDpCVjaSFvAzG4NInf5nsqic/FM0AHQeThX
jwT0Zl5uN6dh+jKWnrPBsAxyNS/OhEjmsx9E1ZZFC5caXzahLgK/VLsfXdn+0pGWJ+WwfsIAbQko
pRmvE2HYhW3I1tY+h88JO60j1mLDPM7y/7F3Zr2NK1m2/iuF887TnIPR6Crgah4tWR4zXwhnppPz
FJz56+9H5ek6VdWNRt/3CxSM0rHslCUyYsfea30r2MU20qqwx5d0n5kGjZVsm4CDolnPwndi3Obu
2L0nJnyn3+n9U+J2t7ENwfl3tE6P80OjvsVTYaH3HQbUWm2LNFyVwHK6Ot27JduK07evFe3sWUAi
kcam7MuGAUo7cxCGc00fqrqQkPN1f19p9Fnmo00PovfcTYSmanMCNbe0iV+7YebfAWF1yNMKElPb
22YIg89kjAdcgG+kAYsJt7tl6Q+lFqnlfUpRUuzDVijqA4j1R+qxbIkKwT+TYuvhDnbsczGBncZf
eHILiyj1eacbCnoUTJaOnRWYRwck2joos3SXNGQbkngN6S0o2ktNdfFqCha2xknqpduGhJog9SX8
EECr7oVPsMJZZzaQfOIfZYWNunCGeEvtg33Iq9MtVlv2rtrLF5PFMmqoiQZBOLRLclMz4gc0Eqq9
7NrNMpVcs7+D9OJIqU9vnqmlAF18aImpD7HCG5Ld4CU3JP/IDz2eZMxGybjJrqTf7vqkTN+r1tmi
5wwIrNJeUH4vNc8TxxAZ/4l1g056+K3myAshazhRPiDn89vDFBdItkEqxYHeHEct7FeBrWyy7K2b
KHxvm2fTFhFmeoYvRoKZdvHpkNEwi59ywwu/CW+Z2zpYgmTSziZDEiTlP2Z5yhZQfXLCkPkE1V8/
ADC8yQx3jF68gBEorgRv1jthdslqyGfPVwCNEdzrAh/jQAPVBOiKHgMAtF/RB6Mm1mA7JSFy0rgs
GBnPd1lVDOHOnUcZTTYc8kzqlBn6uA4rh3OKg8VPhoWG031ndFZ3zG3O3A0dODVw//i3ep7p1IXB
HqqbJ6Bg3mqcP6Y41n/+yVWtzGZnd+gYElV9wTGIJboXxnIybHpZ5mDz6ZvWtspbzuuUaB4G1f3Q
MmAeB+Nr6qEGp108vjtj2K4bT8Agmy+rssz1B9QSdEP5U8dKPN+RxkitDpODJMjLKp+5UFYerXk4
6oi4P1AUM7YTDx1MBcKde/pw3aHrvPCkd+UXdwqzA+ozAdyDxmjTVO46bsv6fC/uutRsri0gPtsL
/KciIdt0oPLYRGNl4zlnS7ET+COB8NFNlOYHb9G6QibQVoPxZGDt3/ecYbExaHIJKKJa1xNEClhc
8Um5A/hsAtnplKI693Tk4hxI0qVKu5FU3SZGPMrpo9bEri0AWja6e03oTZytHnnZ/Q3AnieeQOC0
Sy8YNj79t3e4EnPasBCFsbuf9GwkRieZqobJKfWN2b/aPvQ/N4vgXA8ebV/qak0fvVWGbGDZaE19
8Ov6LXaI6TRl/TVwmGWyyBCplFreOcj6dutgAnc0+GrqXumNIU5Z2lAYoun80hd3f03P00ilB3bB
uej+7Hlhijsa3939Ten7nqVVFWN/aM3wUZ/Cba+b+sMk/O4cR8XxV5NiilcYbrRtObNwYVfXX3oZ
vOrjd6XiL8YAz+J+dmAp9w9Z2k47mlPIRabR2Vrajx4c5cMQr/TJo/jJ6f1zOMZvYDUxE5e0fOxT
uG8eggOmK/gnm1lBEA9TcAyngQ7uLAzUojp5tvPpLdRIpkY/oQiy6Dn29ybnm/vi2pIuNyEJdkgb
9SvrTQIbma9QXXFqZNx7xNevo/3caamffSDiQxTa0Ux3iw8QPms6s2Ihq+qi5njoWR1iCFIn75+f
wuAvLJPMacKyt/Z0g+PD6sgGzfGQJaQl+8YDCHWtMYHd6ADyazHBbQsHrwmqsOnY0y3dJlMPKJfg
qzVeM2dRpxE88wnxLDRoCv75+KUb1O+0nmlqpn5FL3R4ChoYE3JeNDQ7kSSBoCawBOAmjHIWnYDJ
mh2n8iqCjNFQoVmLrjEPDMOK9Sj8cp+C+UETqBjBzXV14kH3j0cSDzTLzw/u9D3QLDz8925gVa2w
/2rPIWzApdnhX69Ed8uAHFzCyD0UxPAki/ibyr3+jB0sWkwKzRgNH6o0dNHLoByzDZxQ7DCtB6us
pCbD1jhcK6RknW6Ez6ZJRYdo6Bw6QLoQcAGkT3W5qCrWF8/OAGyi2gTuJ4dTHXTfyhoFhs0E/xh3
sXa09H1L6N6GYZa+vq+kcxdQG5r0GhJXEkTAVOx2Fc0ygK7lOF6EfbqNZs1HT9bJ1MbDN8/FVjh6
zyMwR+TtziXymT3puqZ2Zd/xudJHWHVDHm4w2+FXnu93xBk7xI0pIa3JTAVCd+C03tadYAi2vT5u
fC8zUIM+m21K+zgxgVlhLYxoAnguzGkO3Ys7Hp72D16s+yE28Mhlc41CXnKB/by36FsFXN1BJhlZ
zMr1EOflsVe0wuja0gU1AtFtnEC9Evsw7bS+A7TPPB8AsH+MwnYb28WhQzpk72YJY21yjXfTJC/6
ANqnTQgDigC+OwFon8BAES+x2OwKLZljh8EtzHeLXXbX3uiHI4zYbqPjcVwocgXdMB42Na3obPkW
ZJhBnCYdHgM3bZDKAY5PK/0A2/Sb0QfpJXL4yDRGRfMV3VZFRB4VM15V5u8FKo6dKOZ3re7lfHBF
IDMQHg4MYw+IrX/G5BGsVN19FawAqzwZXvNo0rajiWM3bWB1arkLunS+lO8bWQBXddNxgrhvFgld
QCy3NKeaqgUD7H2Zpp4PxEIl9poyCp6LFr1Dbcs8wfqlYSm8eDpZ5ng0ykm+lv6bQDq2UaPeruZJ
5r1BRnfx7d5snCQ5ihkpDcSkEurFNKhc0xBixe2IvcW+qxOVDi81SUD4liEL7X0olCeIm7yB1Moh
ljFZFvjL45CWNY79YuPe7XPge/VFhpcnKMavcmbwSbW5H120cc5TqKg7720fTiziYgtxawSkDejH
y1hXDwL9yx7fpDrhF1sN86Cj6oGy5rr1wnkRId/9FNRwUcq+HY73j7u2zHRVcXU/aT/i1EGym8c0
pV16DXYUboRe+zvT1XBGxl7xRunL+UzW8b4xScBLI+lshdOQqqcBPBhSd+WbrTzq1lcLvDUdd4BF
YP/ygwTp49vmSN1dAyq7I+bFGCRIxuZ+hE5YiYxRxo/ESNKAq7ZVKvxNlUUgtZhSaFJyuBaRPAcW
4SgjjUBGGl1+JI1BLVoQlPmYy1/HVMcT5pV2BqbEgOJ7GABnsUVrCBJ3DH61s5JIlukfD7raoihP
rmWkYLPAgd9zX44kmwVPbH/VXEREx8aZPnqrCJ8mcJSP4wAr0CItaP+r7ZG3ygUW3VcEoBT5hoSm
8tWaY8WxKC2Y+UYnG2f0rwFNYpPFoeU9H5Y3ABaHK1BOHl1jx6oA7lXVU62MecRaotfivGrAg7gg
IYKlQwbgqfPHn0Wft2twEtUNUvOLk03620QqetIhRgd1zfqb+h8OhV03uN25BJl7jhILtIuBAkZz
jIeUHN2+e25Rd75PHQTDAbHW4i5+4ZN4lgMynV459JEGi8rDMF68lpYDIzcMXxJ1Xxw5wPnmqRwd
iAcswYgPdTpt8w7MhG8r07i/9DW2rnoc/GeaByjYe4zpnDaye+fPMYJDH7XyVzHBXFGeIQoiKHrq
uR9WuV++/8oIuBcbwpxLYUs1N9jXCxI85TImo33R1ppzMkwZr6LJcpYd3fZNYgPXS0fRHIoyVaR9
sWWiMARpDlBgr3QdDlhBu+Lgqsh64yTVslkke/5oJAxRUE67vhnKB8eTr5HWvyNkXqMKSB+hhHpH
//6sqqhsNjkKnCmpnkKvfwkCRZwUtzLsi3SZzifboU1dIAb1sB9wr1tdx7ycAgRxCdXTgCpul9cG
+qfWwQmBPz8i2HJfTITB08vR9x7W8yUhvltU3MmlrOPwnBJYAzJorYZhvI1GdYJEGhydFvVW2fQk
385VcI4prkQauuFX9Yep+CAZhRQVIvL0KAMX13rdgRom5QC719BMj/NV3YBe6uwNQY/NrY7NB7J0
3X1l0/lysUAz6GFXa1IXxEzwEDGivdB+QjA97xQqCJmz9NZ6nmhccrx5K+TIGNu0n6lraDDCpvrS
cadWjesfuhS9jqXb34rKISisQTFtxXrwXmYtLQryFjRHvlZ2OB184DLELYB2ugsnBTXmikPlj9RD
8FnTDX7OLe1nz5AXeoH7Q4pTkT7W5lS8FS1p72FdvygJXzqZTOutLT10+0ODU48oGwJ/2ZHuZcN9
fdQkA+WpCLO1E3raa1JbdPLNkEyLuadpFdX2DqHGUwJP25+56/Nkp7Io/mSAPZ/9Ntl5NhK/+1Gn
NkrMWZlnIKfn70tNX4HJxKUVYTcjR2qdtyJZjb7Oij8f/Qwz+1D8DfschVDO7Wkkybgij6T6ItHL
Ls40bIobonJESU7Rr3+VDUWqSQYGPYQco9krRXpm0HeAk325mTxYKDmV2eZ+sSklHmXQoRMD6P3c
G1W2wNZ8aQBYI6phHzJxyW6meTpeRO6P+7vjKtrLKZKZm92DR2wcisC7PpbWDlS4uRPkznA2ZI9i
dV+v67gyOdXNjdpCRgwunMZ6QcUOiJyAQlouxkMdaGKPHK+jwYhvCk/efGZBZUeeQRHRg/J6udGJ
S1y4ZkrwzpCT01CH+QU58LjWkV4ek/KqtNC5JSFTdNF4D4bZwCQU39WcfggnJlxmCvtu75JEFck5
jgQnrJk1jxFjh919Eotgba+qR6kN13o+4amoejWG/ETFVX4xS9IPMY0g264yTmoAd5WT+C94Dhnv
D/6B/iFOrF60h3qEmRONBex+nDs7eCYkDDnZu49nTCdZqJGocKpOYJPAS4n7uBy/CoskMATURHgO
ixh/4LafOjBPMe3LYib3OCDfLd9j6tmFmykLtGVrKPvaqw6/XlkxiqKKCh7LZ2n6oFMU1KTOhaLT
VbMjpnyyYGp9t+a4PIQtNIP6jCpMZPHhfilMbVQeXYvRvDEN6WWgXbAYiuhU1bX9x/XeT6F2oCMJ
9ccHEOxy2P9jq0bpmS0nPtYK7A6GvnvpwP6dIYex0ACVjJShGnJX2ILJgxzpjvfxcNCDFll1VAL3
dEBI3S8Rmo/FPgRH3YRdCSfcfXenNLmV0olvrRwe5x46sRPFKVWVv2+8kPchN5463ereAn3RjFl4
9eNHLciiSzvh6EuTSZwiu9lNZWkBPkROA5W6e8IhUjOAwqGWAlFY3K/yX8sbA2AUzEhm2ESeJ5KD
yR8f9n1ix+RcqrVl9OHl/iVCUdkI6OVQ9GzQ0EO4adDjboapIe9LlMW+J5x0JXEfIZocT/dzRlH5
u7zQqjPTMs5cOvw5Jwvsva2YG3Z1F74YQJ2IUuFFkPpxr9gcU5MQzBo6F2NerCLbT7f4HS1TNe9x
RZBXONoICDqt23Ya2nMiqmHRCYiueT8bT7Iwyd7CvLjKNkzevLzeRAaq+TKKrZekTMBOkCa+rA30
RVhV33ARZKvKZoKTSe8xkgx47h0lW0pmtgGKI5RZHAygT1uBr+9HdmZ+I6HVeYflkyIR/Co2ywJY
fk6srS2mepdHSGKWiEmz8UV1gQn3zrniCdHv0n1ESA+aD7baqK3bgORix+g13s2Gd0JkDLLt9WnN
IaCB7695tyBtzg24eSRemCph+4EqGG06OK0VkgqfufK1doN1O7r6rhbliys94+wUljXjV4Q49Mnw
aLRp9KBa9a3RyG50vLC4DSZtPikBkSumyXRovo3RgIVGTLf7yoYzKiRsm+zw0W6A7Pd0isJIgp6P
rPL8x7FNCPMw1t6rlH3wRh7egD3eY1ut4ZeOcyCW0dQcNXFU7TMWb44TCIiVZPwGnDaudjVir6OR
GOfCgpZekY0d+F23g1fwkxacfoxwI6wVzp2VmqcIMaepRODlckyPhucUWDT2u2dWTG1GrTrdSZel
WiKjocMuxwh477DnpqOyHMK0XdmZOZ5+3Xt3GdGuSZkIyLYMYcshyMw5Dy5pz0+nBIoGbQhdvw2x
Hx7yNn8jzSHc+1X8jb8mfEJK1Cy62DCPlSvKV0G/eT1oA7r2jlpAb5t0rZsxedTe6Dy59TWdK75y
kO1B88KN06vo5mUTzBH3h9PpBF4Udf0owkyttSz64eFYvbHzMx209HQLmYR9NS+IzIwgFOR6z5zG
GUFgdBl5eWMtVnFdTUfkhbA2phA4zJR9t2XxLYiIPAPsiZJ71LthMdSZOrZVYp/iRj8aPcmymPrU
N49RbxamP62kEm+ghzkrxe6nGPXXeeKwGQTgwCwqHwkXAkV3RojUca7ijcpRmq8MxU6A0xpABviN
pTHPBLHWJGf4x8gmQAzRlG1QpuqpJZ/9KjN3sNkF2rDEPSLcgp+hUu8NnBiCZTsIv+qtlh2kAR2o
a41snXTtrFeyQc8UUXGmjx6vMp0BPvdBfBukevZmsEqnMmNtD2Z3UphENq7t34RyM/qHUC3aTAtO
ffqpdxFH4rCnzfDrIvYE9Fs0IniDgu7FYnp+tEp8EFOY4wFuqnPU+d0lrSOIZLk2/VF6KA2J6H1k
h++JLmkb5lv8rJBL6TTtU17mrjXRg7a6Gb2bvUcrKs2SM6HM0xu8AtqcVM4cz1fd7P7og/bkNqXD
2BxrSJIwLUO086QL7CEFQtJnT+o5FFP6XU0X2AhYCvGQBzhS5kddluWnPMGNwNHUeS1Qka5cmykj
OKhoJyY0QWCnv9meIKLo3m9xQ/t0z/UzI8ScoFX1NOHAkkdPetR6T3aA0TXkTJSr5F1zkuEcznB/
E0+HFTJpDiz6/FbbFrss9Ka1yn0NyAw3xP34FNd5gAmmIA4mI0l50M3h3DH5AoSUoQy5NyH89CO5
ywkbB6ZGL9Oj3WbWrohVe7S8rT62xDzM3UfWZ4tZMYimubAnvrRXJVCUeqC87dpdZLX6xbHl68QI
FQYUWUoG3gM8zGArtLZ9TlAbkUhfTW9BIkEw8FzwN5wdh0BD8VkjvpFBjmSztjZM840vSUQ7ts30
0xg0X6ZZh9hb8MkCR7MOg6i7ZxwsHw3yzDXQYMz4Tqu9Dr04BAzcb11bLpHZY69SjfnITg9Du0iZ
rmd1BKirO/i4sLjOW5IHVGGufX5p57YDqp1sn9xLbUNGYlWoIrmZQsYXmSk8L3H6Xv+g3zacUwQZ
v/owEEGxtWSFc6Y5AJWxKbS9wUBuBSWR2Ev0xhs5u/9C4RTwQDp2pESZ6yAMghsbwzfKMYz8NenN
REns0iQ9t/Qyj87chYvN5Cd8V5uVpzdWQzre7oPKqYnkQ5oWXxi99CetFwzLpzXsg2lPDWnDAu/c
PTnmwx4f+rDIpx1NAoYSJdNz1WXd9t5ChsS/7lqdSWAKcLVphm4rUjEsiyIJl9GQF9/7qERHE2av
flu/lwxsF05nJtfY06Iz5jd3ObOw7G8BkSI521vBrJHYksqqAHml9Wus6muo1+hy50epDsHXGtKD
PZrVmkUxZZMmsFEr9Cd/KIwX5ECEZzDPg2uXbZiri70ywmBJ4zJ/EekhSYmuJykZfZz1OKcZoK1k
BhmoD6iAl1HDkdFOOm8TdpYSXQp/A4ZH6TgFAin6B4pGVmxAvWqrFGpI59xsejdrmiMz+BYGw5x0
22Res8UKB54ZfXwcoo7xHx2tT1eM1xQOjZboElW4D1NmdqTntk8GaTtYPyDjakq8VRIKgMqJMZo4
ROPXZa8S4Bs9iC0ABZJjNDSr4z1x7t++D/8efBbXXwl99d/+g8ffi3JUURA2//Lwb89Fxv/+Y/6Z
vz/nn3/ib+foOyev4mfzPz5r+1k8fGSf9b8+6Z9+M//6H69u9dF8/NODdU4wyfjYfqrx9lm3aXN/
Ffwd8zP/t9/8y+f9tzyP5edff/v4kQHrjYhDjL43v/3xrf2Pv/6GKAy9gkG63r/94z/yxzPmv+Kv
v/2fpP7Akfff/9gn8rm//mbZvzsGdSQcZ+nanm3xC/vP+3es303DMaWgVpPCdnX5219yloyQH5K/
6zbPlgK/gXDxI/32l7qAzMK3xO8cKhwpHN1yXdPgp/7z5f3TZ/nnZ/uXvM2uBY7Wmp+29N/+JQNR
OsLkN5LbKQ0ToDff/4cMxKTXSLebkOfm1YBd3fUAO81fzHBgzZn/XyxI9xZeBSNyfigxJ/76xp9P
biKiEZVVHbS/f/PPp7XcpDuv9N7+5cf/fK4lkfm2A4Oh+1PKZDwZpAjt//wB6L5glbJVW0zBNofn
+RR57q5S5JI7cWatTK8aj3o80XiDFFiNNQVRkGHA8GfSJYnDjmifOPCyu7NurKoK+LTLlXa5f2k8
a2Q19N3VRMGGD/ZQuHWJtNKVj9EMJkCzX394qdxGtap/VpN2sPx5LJf1BupYG8lSLaOTYMV4QGvP
wRnzziIzzOrgYLJAnjhr5nj/OqM5c8j4YJ4LTmm0+2fXpJcQaExChO+Pz11PReEPW2Y6zZl1C3hR
XXzW9NZOpqUdOCYSolyW2N693AYCx8pR6ga8r04SjCAcHAcx0Kfc8opV3FTOlhOwvdQY/B3jaKOH
KnoFV1E/OviHdAkL1h7xu9I8RHfpLDVYmJyAo+IhskGaVYCfF+QmFOyv5qvUWGgwz+P1EMI5+voZ
lOB0brAwgSrMhwMrI2j/ojIWrWdBgmixwRCfGz2XbvkDMNRp6uagQS2fFknqmg+UseRyiQZBVugc
zIw/nRvlSVPWTU9t7S1xc4MP3EsemszpDpBLwm3kUL0ALDAIqHHUDzu+6m7cnqsRi4Vyu/Lg1IKM
FUaGazQIiBcGDkmBgMOE9kSPi0eL6dJi6An2gPbw5HtMdRY2Q267jfRtYZKiLcNPwqW+cpQ85XFk
bJpaax+VmbibVEZMfwJ0sNJ5IZTpWzNhoY+9XZHmL61Q1/QNG4u719rkVU0QRZWZJQhayPgBnrDE
VI8TUTPQNg8Mtq1RLB09TG5h5YPCQkMwTbnaT1GMDXEWlxAQuTXrvCN+MUAOyGlrU7sDhiKPV2Ay
NjWdKX42IuvVrifzsbIK92KQz7zw6yn+0hHBt7KqIN4ZrvasMm4ecuLYNJiHRNfEbrcWU2iSXeAC
g1oPFw0xd5FPLsn9kRNwNAJicbDQ3G66dFhHLk3eJM52sV92m7IZvI1s45WADAm/KrH4LU94GWcI
TWLsUntaDh34XzAgzLW7hODhxmLE1+jDvnGNbt3Qb0EN6goA3hAP5m4hchUyTULAWM5DJFNra9ju
2YO8uWjARe6yTH0f1nIM39vKmJOpqO6JXsXN5aC70XuPuyK9uilWXgP2D6UG/S1ezbo01uNICqVJ
AnuOinDp1spdwZI6ZJkQWxUP9daorC+DtiY/1PsBnhHG8WCkBzN09RVLzbWcza2UqpgbJ0i1lRU+
waABGeTED/dHo58QNomGZClMeBBLO8DiLggn9B1TrPJ8HE6DPn23gx7++8yiSe1GvorJ+uGnaXwM
vShYBoXZHlVSo6duo3zpk/r2aDnVE9Sej4Kx1nNnMg6VZfqMSjO7ck2CBQm+IoirHvyoL9/ocJhj
brzluWvD6UYrIWJXf4u7SG4SKb7SUIuImjDiKwpJuLq1Ez+XYHaXk15P79Jtn/5/7fC/qR0kG6nr
stX+D6VDnlA6/GPl8Pcf+qNwsH73HOlKacJWdoUj/iwc9N89RpKUFMKwLIHb+u+Fg63/LgzD1HVh
2IZhWCY/9J+Fg/c7L4rUIse1bLy+rvn/UjgQ1/xf8qal5ZqW4Xi2bVKl2PxT/1g5DJYNxIxsMvzg
rtiUzE/WAJwZL0UMW1Kl5Ewp6PeTA3jA7qIvvasZew2VyzgffpQHB6Zu9K9mFOPncce9CtGEtn5H
CkvIEypZoN+SOY4LOe5izRjWqKYfSExbF52pLRuBsse1oy+JNE3U6fkydzMM/wk5zAFEgA09fblM
B5jecMizTdfG1SHRgO2Vow++UClOU+MAbyj/2on6exTzDzM1tpARbFS497BtbxLsXrpDBJ0aE3cR
TF29qSwzWdaSDGOJ3YHEweYwWvbWKkeoW0GPRKmOrrQSo2s1f8kLdMclnB8hIAxOaeit6EQlQOA4
GbgTkyQbP9dj2TivbRokzxYLeyBZ4Zt5rbfmVd+Z139r3glE5G3FbK3tXEyTudMpRrgcu0je+GxU
k5DrB/fTwYQaRn6yn8rKxaRRLM15D0LJm2wAensEpGWvMhzc/cQIAsVEHZG6EoEWDs7KnjAKIbQj
lPY7oKxuC/nqg8tNX8YNAPYsPvIehmdCtpYB8mFk8ETZxAGwOaU9p042bghSnHYolTSbwZ8pYg5J
7sUPA0Vt8gBmJTg7CdSELEZBpjdE4HbGSEvdlJuh5hjTZ+os0LLye9JZpUlryc6dPQnuxkoT8Xd8
WwYliIRSnDnvut1EB7tpwlWQY+ce3AAcqckYRvk0c/PJXUqqnnWvlcPeGLo3HOnjsmdfXDqUUMdW
huYq8+uzNnJlJAnPJ+gSNmnzHOV5eaiRYsVs7WzgRrfS8q++a2nLWndoSowD/nzVLOsSceadIiEH
woXsfHhNqoKEFO7Ghyx6soEHoefykxtwlYNbGtXKZ5yJr8F7NPK6eqiL7quN6cPC5XedzInGhpXD
sLQNcewiTZCbSiq2tBAThMxZOEBjcEz6K0fwEhodub/6WFzLrLD8FbDfVyj136EewOBq/fCqN324
NAqDdoPhMzoMi9ei9TCIgbJxcrd8EdTIJsgvL3LlJfk00nGYBy1Lw8n3qSuaN08St2RObfYoOkPw
KbnBKsH3QLhYUb7YTM470/DeMwwhAdFDpz62rUvdg8fQjcrdmwXYunDIvhkWO32dVwTa+RbMkQFv
OtOR8kS+oHfUpPmBUdi63b9oMR6KpFSEmxe1vfc7cEZ6pzZCHjDjIZwIMbHnqQquKJCDa91SRote
OtQjYXgt8+Yd4bt9QcG+JKZDf52CrDsCLfCWWtdXX+CgbR2nw2WWkPxVJF9g7THFtP1yW7ZcnBqq
650ZSfc8WF6HqGDbpyFA455IJ3NwbmXRQTduWpsu9jSs0564MGj/9NP8dq44YxqBQPVtrf7iKmGv
3aLLDkUzl2TIlTccw3GKQPnxUIM0m6ZN1QkFg2CwiT516gPAd82zHwzBuaJ/svADsgspRfRDkylC
pZPGW+Pa7c7tbH0v4Kas0xLJh5v21spPy/rIMb9mYD5uaBmIXV+10zarh2dlj5cpbVoG0tN2Stv6
ycqsntMdzrpYn3NeeJ0qo2HV8o4+lOaMmrEvwkw2Dm6mtV+E4J6MdGPl3Z6BoPkQJlRg6MrbBTrZ
4SDk2C/6wSSvUKfN21Maw4ohkYd+bHRW9bCKhzn0WeXVUatT+yZc7cPJSvVhhfjh4npMLhaGtQdZ
ALLB172dJ0G7hmwvZit8gTiOo1xBMLw//PUNXvXRDvVjDRv3MNHBOYRKY8AauBfdRvDWgJ67EMab
7plY/UTD8kkX7jluGAZRO6llEZencYzcfeBGwclsx8845TULLrVLG6+HYQivClHKkil6swP+ne0t
EPp4p2kmG1WfHm65b3Aq81V2i6Fx3yKWK8KMupKcnPm/jabaygq9pqVUOa8gIYNYBLxtVY60+wiz
M23sBgphmN8QyTYfcfG4XcOyxQKdwiHp3WPMPQTi9KtFtoudinc/syz4ksLEcEfqqkGM6jYmR3WV
ixXk5xDrGlN3swwSBCtA7nGBPWOzjyvtKdE4z7QYN+4k2pz8s9jFZ5CB1rjEA2ti05K2QdP8gGdB
oG/N3HWg8Y2ObPuDUdmIo2lL7TI7bnZ+YUOnqS374sjEXyIMY0wS6+7GSkZznfvDF1rjuNLaOeaj
xXmihcV3A/3I1h+jfV+XxjX0iP10vNpYTQUmDxDldJfzIbrIkv2VmDIE73yJtSg+BjXzfmZ7XHLY
dG921iXXHE0UUj59pwwcxZmsrdd2YgKQzQ5Og0KY5nB9kDrpPvcv1fzw/t9Ydb0dx0YojHWMdmbu
cYwahyEnNIDthdPZSiVz+xx47uF+gd2/xKRKbnDekDYHV1E3veyrNk5y7fQh+v+ItokESlvklnu2
yB1fhoTC7UpdXgN/ys5W+8OdgvykmcWLYTXNTlNaTfg3XwrO57++3P9bUOTYIAveuft326rd6Sh4
9m1hO6cpEWcz7gQKQ1gZtknPPIOIUtQztXOExNLN7jsC9kL8yfVz0qvwjXrsuSQePsnq8qvv5SX3
/AeHqvKi1ZznAjtpvjBjPZFjaH2Gg3bA2yi+jJrylz7pIpfa8Lh76GpAqtGXVpWTZCJIRgZxlG9k
6MtjSmT2ynTb+uYk9keSeNnrlJCaINup3CeZmb+WvU2JGDk0kye5CTH3YBGMWhRDLm7D2r9NYrB3
ujXH5Zh+dU77XFtpnVvCRC7U+f7fzNB7GLTYWuM9SLYIwRgL9jrrxkjVgD97LRMCSqo2jDc+W8GC
Q6J7bPsS9bLXmJuobZNHzLNvtojjIx24Zlt2sP2iLpbwSmbm0UB6kUcYjJryk/cSZL53SOuS5kwQ
PYcx0HhDjdU+iuFjY9bzF6I32wtJBGg8kqraVSlJiFlB+IdiJ3UrbWkYMN0NXKrYqLGgwizujJ9l
QUXShfiwe+8hc8RJd4vXuvIOsaag5iqwAoh0csCPke86x97U9/0gz0Ucbs1kQmWcqJcGOSKT1O9F
wrBmRPXihu1zl7c7jsiv2Mc+cap9pj426IEZBm2VCSmnRVoyKKkB3V76npjMxGcMg6N/RcEKgqN0
yFAxQB+5eyIznikvW9x99gkr+gNULUDaJWmf/5e9M8mRHEmz9Ino4CgktzrPpmqDm7ltCPOJ8zwK
L1DH6DPUGbr6Xv2JhkdGRgKVyEBtuoGMBaGq4epmrgMp8v73vtcl63HkknT/ZYPQ/WzXAkuQ88XK
u6ekSH7GE7kjyOQ0Dz/oISNbbOec2eS3SVsYOroD/RivfrEZVZA6tOEXT3lbLGcL7xqQu9Q+VKHl
U9bGCj0FRSn0b7Y9fw9y7T0AHYz1YhVY2hfTS65RbH/Nh341tebOnvS1ZptLwD1nx4SjQ7o27EHz
0v5aV+esPNRQjYngrL2OXXPk95+H2X722mFL6+WjeiEHAxBcj+GYisdybw4ewZwRk480+X57DgWJ
zmMZJ+mi74s3vBQH6CC6TrIC+4IesqwjCuObLVoNxPI59G66F/dgoavHTsvChZc/T6k4D90IRlKv
aK62J+LkOrlZNVyeWPoQU3rsgC6r1/IOtfH8caGP3QvgBay9EyHYEKwl3Xm4ABrpLzQJ+ZVi2KI7
CLLu6yIKvE27dg18uG2+DimRQxsEEETBOtlwy1gg2n5HcCO282ZHtAh0kJVRrHcjuHG2RoQ+Mtdi
wwAOYYrhoui5vW5b4zw7tM9ZOTWXFjYB8Fud+UT/5Itd+Zc+98Dx48ZJs3El4/a1CYySld63tnGe
cVFZq7p0j85U8KF1a4CLBmEjPGP6zpucfNly9lqaMmuP2lSnF0d5237mBl4IXIDmU16vMYI03w20
xcUQ/MQ2RZiGE2rWprhvwugZm7/5LJcFXBeJa4lm4dxIe0pEMfN6BrWgBbYl5xxwQUfi6mDTUDjr
J5wtsrmhzsuBjtXklLJOug7I0tL90zSv7+E3nK/Jy9jRcu20m5n+rpUZjDSTZclWsoEkVghzRRv0
+eF+K6y1mc7l5FhxUSPBry3BEzQ39ceTchQPo2GM29zsLq2OpOmAtX3w7cw+dxp0dHLdNCbLGGXN
riaWpLwYgmUF7CBoG0GYf1DgSgv0uBnnGi95Fe/SqTD2ZdoFkPDq7yzvwkfh/Gjr8Oy3uDFEkcPX
LtwfXTkPjwnNO5CFfEwU2dKqrLU7cPlxaYeiy4hKxMrOx1V5Bx+ZdX8K+JNgPOgYd6A6OszoN0ns
8pZRhwEyoAMX6417nX3qIp+raAOpjbChRyke0KLPZs0nrvAmyoNCFsxi6oD+6G73NQ6yTRzazk/N
tmgfnSn5LnPq1FyZnMiRONNoHIiGiRcLIwwOLmoaJXz9vWEAJczwoUBHqFdmantf6jhp1/0UN0cZ
kLfPqZ5Yol7m3+J5wDFkhysGyf1xlrN5KCY2771heNdMN6CaE6N1Mmz+5IMw9kdcuxgdxyttlm8D
0sYzZ9sqrMRD7VhgAfimLL0uN5kYJi844KYXI/J3dtyaSJPJgkac/EmXnNP5VvVjAsskCjdhzKuf
SNydujfHO01YE0N9NsCDU7ar+12K6uaTiPwDqdMtp0C7aSNK/eCO1YB9OXsZw1KrjeIkXf2tymig
TwoACQMZ3TUbbBevMMJ6TX9FQMlhIiaWsK5qAImto9mnL70FUcIZvR9u6sePiQ2f1MC4aeYaIRyw
h8cYHHRoVswNpol9N7GoZasB7TGpWlia/PiDy+NYONR3JaAMYzD6iwXrp83dU+Rr8jZTXJBG89bv
WhfXZuIek/K99MX4FILB2U7xi/Swc5gpaPfR32L8oNecjYdFlJgx+qw6JREx3KYnbNDTt6DLmVlO
KCGVSXoPw8iBWdjERzPTK9YmXcS61OyWzZR/JhWQscoUZznCG+xroz1pUXvxsxDwGBSui52wB2fG
0+8tzYejw06bs8aPEeJ9zcCZvQiDVdmfxzqishgEMOspEGl9kV1aWAfPcTVeAj/SFqVE0IZIV974
JHtbJ9TkAj06vIRG/w0911xrRkWNVdaMS9Pyx6sEwLJxJsiZlkWZfG0H0RqiWXiKbAkQp6/DbY/p
69pblbuj4B6iA1lmuuLaD1PjSonCEi5yaiWqngpvne5jvFLuQ+lVN0P6j4x5sksESebJyQTXbL9i
5dDtYkLBnEIA1GuJswDrSk0ESswWy2BouRQh1GW2KnkrstrdRrytKz8G5oWlwVzQSQnorKJnZ0T2
30jb8negL4xdoWPNS4z2++S3xnedShTcCt/LZvCemF0f2ep2+4COHhydK3A3+ZrSE3vfyYNJMu+U
WM46mWoX80B49GYqGnErCd5RNKuBDa6odQT5nkVO0u05p6bndLRuyC9sUAJ8XiHZ3NoZ95ldfozC
efIhkR4KtpRD5OUPSacC3gPvhlFO5ZmON41SyUBs49DgREcs4KErtG1tDit36EiOWPXWFPN0zs1H
gw//GXo8VaqZduQ8uAiZmJ5MrlX/VsX/NVXc8XTX/Weq+P/+j48i/a//bP7rP/+sjP964t9G6oZw
DRyOHitm01Iz618jdfOTZRuWrjNqtxxS/X+M1G3jkyE8/pcwvV9z89+VcURz0wXFgYTog58SpvNX
lHHL/8eRumPyH78GDgLiLKZt/VkYzzAwRygD6YpejYpGs7Ghza/8dYiSIkJT9Q90HC/bOM+xfqKD
+ZbtrBtvaFlQsKNqp5aEYTw0l0rk5c2V3o8YY/muwdmy64fsMo6e/YL7rt/NIky2ImOvh/JP8DMK
V1bQ6+iBCEdhljGrdgzFsxHprYUmUlIFT6cFVBBO0rElN5U1N0tgWNplIorOjjeyz02OjIhX/pwE
roTj/I0hnP/kQypaQP02jkabR0Aah34tdJC30i69LxNINZRoL0HRrrmuprD0CNmw1EEUWHVd0u+h
wr8PupgoQQWtWkn9WNE7fBhSR5zYiM46KPfRGx/yRE4P91vCRu4ZOFcs3M6KN8gf9mKMQBJKdZgH
/6kIfOOsaRr2vLpMj02YV5umMty176df2dpM7wOonEVIlyUl8i6tHmDa2ANyvk8dvToV7repjkxO
xFRfCOrEvkrrC5tr8Q7KIqM474wUBEo38toXtEOG3Z0ePQLzXHqlXT7eD100r2nLLR9gIVWPaRv5
RyLebyy1aZZtiz05cm9etRXF4W0674c09s628k8mkSEWpgsmiIXAdKjc4NsMIYs2rHwtI11/oQd3
RYJJHoMxgvBS+7gB5xpm++QcIyONbxUTF+qB6cisg21tlKMqu6R6ctDpHfaxIydEvg6T2vwWBdlk
i+pSZi8wUkOjBYaVbXzXPZlBYp9x0k3X3nWj02gXZySz6apZqHuxzCFLzb51LLOxOkAnBsdR4U9Q
B7Mq39Ke3z3OGe34UfFoi0meAy6dNf0vQ5Cn21Irhx3jLH3LCjeHWpb+qOt03tq9nBWpbDyUVrQf
MLAfBkeC95KlvQ5qsiGE0KetDa9DBLB3/9CB8tiEIpMQ0ABJmp9SIpmkCPQNO6XXgI/foulH+T0H
2Ow3wtgUie5vAoHnS9rAfGgrd6/3gzsQiu+MH5LmjQWom4bLTlZfq0hUV6CjWExgVSzud/O6AAOl
x96+nalsHsZ46RdaCHqHoplYXLFB+ksHFWyt13rNwmaSeFqYA7QZqJ2eJpWdlPpD0hvidD/QQUND
eOxqm4l35tIL92o2vCp9XjCdYPr0GzkY8aI63cHBeTWu7awyMeZjkmxm/+yPvs9iRdYkT6gYgUL5
UVIGeu3lmN6EU9GNObErrDN/l83UyQ9CAK9OAIJqdr6OUr9faQYDsr6b6QO3i+Q4UV2eVi38FUZc
qxJgxDHIKaulh+TstBH8NozhF7/IJppBGNnkfjE+lb4cFhFInbcCtSCMaj6g6sDaia31jCPTM9DL
ixGgb0LAa0kU53Oj5UgiVYB9JFbqaKx0UlspppHSTuO7iqoey5WyetOVyhopvdVUyqurNFjs3R3v
ELrsqBRatAihFNtYabcGIi6KYXialK5bIPD2SumNlebrI/6a0vpRe93PWQMkxtLeeWiVSJwmQHeL
PNjQ64rvXEnJoQnVUinMCDTNtVeHSOnPBMnE7n73/j/Cu06NYM2ZBa6H0rBjpWabSte2lcItkLpx
KduPg1K/Y6WD1wjiEL9jvi/8zrjTi2WkdPOQ/MWGWPu48MORCpW8QAnLYG9h2DUvjTnuAfFnzOjS
H509Ko5ABvLWfigR7Dul3NdKw59CvlB+H6yF0vdNpfRLpflTI7iVagpQMw7IGAuUszFvY9o8d4Y+
bzQ1QDAr2R6FblirVE0WCjVj6NS0wVBzh1xNIHCZI9moqYSv5hOsFcntq5kF1b/PlZpiaAPM+MBb
TgD3V6lMv1hpb77Kqm/Xzaizp03LV7Yz0L+gmcZkZ83pe+NP7uLfC65/bcFlenRE/rMF11M8fLR/
Xmv9es6vtZb3CbMhLkMbWISrWwZOxF9rLeeTZ+pEXJiMsWL63brIYsrR8QP4QhieUKuzv3cgsCbD
KsCTTN/E2/BX1llUf7CO+s2uqvyZ7v2HeCzaSCpYtolL/s/rLAvAJtQPIkWmkKpducI2Z8TvdYI0
IbJMbAydcmOgCKsUTfGG66C52Xxy1w4NGiuI//kaA0V2nrKNM+Rgp5zE2obCNa8touy+Uc1W97tu
WFjXyUmMK4aiTlf1K5GFeybudyNfh3XRJOzwpjojCZNot5b2otUMT/5psgj+R3ZuMor3YXdJ4wXA
20gCSJQrZ0gulR7lL2XSP3p8k+lcdb+wdiw575JAqMQVBBRt7aZtP9TSsTD4lfaxDL1r6Fj2N3WD
elPSJxPuK56XLdl9In5nhzpLaLwggApKYTx16pDi2aOA2tvd7/3xuKMy61Qu5htLGY9NhkgbEzvj
onZ953I3I9N0Ga2ynIBBSN5yb9jN91yAdSlle6ryuLxFUdt9xibSwa3EcjRr3S0K8WFm+bjHaE5f
H3QAxAJJXYc7Eo+3YhO9QWsf49puV02b0HmUi4EAbo53DV4ZqMjalO9a4aabLPfhO8ClOgcmKfcY
8UZokgaW+YPgGtvKsoamwpy6nuNmJxSmIspnSkGHYno1jXJrWpX/MdfwCZhC7Vp6xQmFZNWCUfyw
xm930TG6k3qmnqGcaJDU0Zl7P88fXBJPzDXs6gx//eyRol7NTgplzXL2bm+2v6WRapbIu1EG7oNm
t/LcsI5ZSNfCpBH7iyC25QGi4QmhHeNF1SE2lXWj6oR3jHb1HYU5rJpTV3+y1CHF1hnlFdtvf3gh
fBvvOwAMp6gF19gKClepehSIWXF2kjCG1o4QlGkynprSB6aw3hPjB/8ZdxC+m9l6NGZLu2a5hiyg
Wa91mHk7bZ427txXuwIH03ls6dq1YB28VUVL2acuiu39LoycN+YWFjTkBXUiLddstYPBuh5SGHIw
XAZOXUF7Gq4V8MXQAo0w2ImWdni0I+BOlMxTLzHzAmOYm6ZYHCkuO5dDmH5hwgVfqCWplPdT9zjZ
3bGr+MFhZr7fA17SGlkAGox/HJPUzCJFhw7LrNxbYfzTioNlXZXWz/cqse2fcKC/9R7VTJRXScrX
ScdXXiEvND3o27Ye6eVJ8dcP7cdIKeZF5QevFu1gh6og1zZalOkmRuit+8Y9NImID51uwxV3q3zZ
T+lw9ADRLTH9VFuLQOhLUMY/ZiszNqMxfTcUkdB7llaP5ZDV9ol1drkBUROw9jbr8zx/m+3oORn1
7pyD81zXOFj2+EXEW0cta5ww1EZJZoDWP4AQis5ijGlz1YLjUOn5C7Dpcil7YqG8rMULuDOxGCsJ
CZQa3pFeW8zNHCoXlQ3uG9hphpn4kuxsT1a13/v2Q4SRAutIWe+g54TLLo9jED8mnUNco2c9R+Ce
BDYS1pV0qVX1G1B276ynkY8O6bQLP9fs/f3jMuti3g56zIQtRdn3mTeq3Ci6JMvJmYWYGWrhvqkq
sF+czXbEZbtVEEHbEFa7K12cCV7WOzcdJbFytGPrmeMaJsFbXbQ9fJN2PUeJoHfQUjHOeqG5ffs+
Z9/9qi+ORfvB3ubdQZH8kkXTilqYNdNs46CVNuGLstj2YWjf8sCRL5WeHPhoY/ty6lfBlnXbWaMG
/aZ6wzTMOaDoSYm8xgN9P05RffSV+er3g0/ORo7GqfKMZj3nsbtN3OpjhA/2Q4qZpG+WXqdG01c4
OwhpdNlTQrPRY0VyG3z80Nb6cx/YwDEL+5bCFAL44joLY8rpKNXKZw87Ul3IN1fvaQtoahqFtbJZ
dWWIcMfq5wpROmkyC6ypNI7eOD7GcpYHWDzT2TcYv4Q0P5xFmC27XnPo2VPDKb3QD/dDKCP6/HCF
bXmbmEniSViw1ApuknQxDoj6TI+Is5JeClrcp/dhoXd0rRRWFZNXZb5mWwEPlqgTyzlMGb5lvTj0
nQPGIqZpJQ+ZsaiHcF50ECtdVS2NFj345rGXmX52R3c+j3+7Bf9MP06Rzcw3uvS2zZh6rtPnMWK0
J9WBl7o5192uKfXuNuZ9+lgN0TOA/viANLtnNUwCfvTNSxh4WM5CNRKkYvbOcJiaeHpoZ7FmGjHv
KeT54qnJa2PCUiloNDIzLjG9VtO9Judft/7Vx+gn/P1pc/7dt/Vy57C1fvD9V7fgrdJzkpFxW1cr
0Y76FT6eddACCRvNhxyRZ62xh9X3KIwx4wwc0ZwcjdGL17UvpngUYbhtHWP8EgdUQPjYGE75wCLC
qkdBRZ95JHvt/3ZRQcAO95mvfWmi3lzX/sg5XfCvzouYNLCvb9w6rw51n7/GehFzdc8+y8jUUZz1
/kW0xx7qy3d6syRAN6aHeDUmELDxg2Y2+kNkcbBjA2eFWT4VJhBPuiQOpedCmCnGHXneEIgIbJXf
jpxeqS009OHQdW12mHziCj4UawU7LSAI7Kj30LnaT52CfnYXMbndJftK9Dq/CBMpAebkQWjvhtYb
V0ejgpJNDgFxbVhbXEy+miMzpHhOM2YsaceZgX9Ao24VLv5D1KGlJKN3buGwbit/hKLOiWBn+8N0
tOoWKK0dpyu6l7N14mTOxbBSGlbd5yh0yD8pUsugAC5D8KjRPn61Fdz+/kiq7NUWVlOL1qeOiRqd
oTTX++3k7yDjmR0G6zL1GxjnPdFjJuD7Pi2dmzUCxDHm8LEY8da5TEPWE0UwmwKxYUFycXxu8RzW
qkMRXwuuiKGFzZ5Og7KRMsbM3EuNT+0wwWhh7Kdacu4Hruclo5hzqSpziNNKhLUiX8Vjnh3vBz0S
Gacl6/ZbS4OfDjosYOtRbz1s9MFksLprX0Q0fCUIr29JqW611GXWmno/anNihmvDPS6n1j6giBz4
EqKMzepMwDJiIwkaH4GetJdQZjvIuRmdnrm3p7jlqz7X1WNYeS+yd/QvWgYMZOjceR+D8n+zpoPD
IibP9OcqqeoXE4t9Fk/B4/1exwfVtnB3DDL96OxE27kFKUFqTo1nIn1fq8J3vpVYBsHA0AvvUF2V
gnGihfFGolIcRNTU64A3lmE/KWex7u8X+op98wu5y3NFuuWRmL1+a4L2xpYyeB33XUirSiQz45R1
cjVANKai2QZ84AzlgQFTu9HczPiMeHlzNV18c0vnPZ6d4upN0WeeWy9dIP/bLgPSFIu0GS4TKuG+
AOjqUgGEPKJ/sZ0A3hI245Ntk3ppTZ9Ev1+6p/tjqbqVenM7LErHMilXZMzq1i1ijojRdtQtu2an
QjrwJmNzB84iWv/1je+/Fsz7nyT8/h8M7/mmg/7O1vO/N+Cv2zT+P//rRxQ3f97+/nrir+2v+Uln
E4uQr7OSVrOBv21/9U+6QakNkwbic7ZlYY//ld5jC2xgtMe57zmeh/mdJ/1uwifY57Cbdj1Cf6T6
bfcvbYE99tl/2gKT5rZsTycFYOoGln41ivi79F4gLS/FtWwvdcaG5tBqrE7G6tT1RnRk2MsysKAn
VyfQ27uk++DOVwuYYDB6etdahjX0hA4v4sW0puJst5f7nb5093RBdGsBoG6lI9M9tRWkqqHE1iGE
D8PR78gKgaCKKrzb7Mayz+xIaB0XBOSFsJbDwGq6CE8U3dD6R2XDJZFEV8yiOEejy6l85ufl7jNT
uW3Q6TEdu4XcAv3JlkNg+StNmm9z3/TrKAZP1M7+1zdjX9XY0V02nCsG2lAlAP/rWCrhKrHk5HJ8
ITuw0eOiOpYp6NEg0/NNEjrPRVSNWzjFz43r/EQv6DaDn2hPBJ5CSMMdFip116DIbd9qmQAXKubH
rODUIv3uasxUh9CV5m4Szak2QXa2A7zxFfA4y52+z3bm0NkRgKnh3L7qHLozLa/R1qHNyFozinE1
wftA2/Onz/YAM6rKtjmUpktMW+qJ1nSsXG24gefWPVC9W22moQwuEEpnDJrdxum6YFlZPimmFoYm
Xck3qDEhvKvYu/hGh/nfM0Cf9p5zMBoI3ZkcXpo00R90XtiHutlI2B3UbuTdURC+wmjw4bpds7d7
7zXiMrF2auALlBxIRtO1cxjqEDGWtR5FuI5aYx3jyktOcdmS2ZqFtWlKZy+DQvykRZVfse6/xjX+
OlhF0xp0+LjtaVtZaFivP5uWe/GSNKENF8ZP6g0gmOt02vtd3Z1T2tL4Y97OoIR+4ypXiVT+Eho2
F6lynNxbtmrlQpmUH8VTzhQ6yrvz3NrrhLOpptwrKTYWYqED75j7gyuLtXAqM9hQm3iW1c8JXfyx
wAxTKVdMYzbGPpZ8emC67n2sMz4WGtA6H6ny1LjKXRMCOr4MynFDTSzEROXC6ZUfB6+MfRbKo9Mp
t06BbWcy8O+0pkG+AUuPq7w9ESYfvAQ1QFdSXcr/UypPUDjiCbrfQnAIL+qPW8o5hHfEX1VR2GHi
oRrJSl7qsbJelFGQJcoJZozOiCOJF+To2l2u/EmBcioZWJa44JZ7xcpbuA5bzYsuAPSz4IfsrvxO
iXI+OXLV/IR/2rlcbN3gKW8xSbm4pSxlm6KGlArqAvIrhqqCfmllsCruVquFUL6r+4thKS8WZwYG
Hsqf5SunVqM8WxkO4kU3tsrHZaw47eH3Kb/5abfBS7aP0iVfthP/yhUMqxfSqAf66Knu2kNNI3rJ
ZiK3H1sjWhLHAM2jxdR3s43pZrpbzP4d0CmOCdrPMvs4j8CGsonsWrc0fX/HfANevv7Z1ynJLut4
HfBWT14Hj0YFGlC3kyfw2su0zK5W7DMXiC552e/bmmThIN/q6ksYAj1oy/bDKUoWM5RYjO3EW81K
eVk2xdpx0jPnjNabfkY0Z0hRf27yYD921kdW6ecUNkdnSkhF09GrnbUx/0AXsF+9rPvwhvDSMQBY
MMO6Raylo9R+rYZ47fnDWuN7hANmbZjw+r3mEmM0Xej1WzsHT5OevQxB8tzW4mK1+XMza2+5Ha1R
J58SN6Z2yY/Y3sRbR9+XE5Msh2L7OBxOvSh+0rB6GcP6Xbey79hT3yrcsJMrX+qetgCnT8QatJRZ
R3JjOgDoRjP7oo9HJpBLk2inUt0xUYZUhJXfLWO88gGhyiZ9AIK+4GzwGDCdu/+uAI0vxOmPox9t
HNtFncmqXdXVO7aZN/WsxqMuhtoKKz+hPBHKHazS5d/M8znv6B0Q4f7d1ZNzpa4OVVNv8g6VLsfK
3Re7nnnXQqPte8l8f+0q2yw61J4xOBUEDejPkTZZga9kYdlN/xDg7mb6xU7L/M2Niy/XxaCLu3lC
B8Szqz91XlWcbGXjZYO5T+r8QY6ut8uCTC5N5fyF2c10ETNwolzBzIDNDXNL+Ooj6BqzxqsWM+Pb
BCnfvEp5i52AFWI75PrF7ryTsGvAKoLqZbB4l1w5ljGBNmeynjiWlXf5/hhxPb7wytnsld4jxLt6
WSjXc6z8zxAnN7lyRNd3b7RySQfKL60r53SmPNQCM3U+BC+N1WMdVcSHWMU97HGAq6IOPQXqqzjT
TdBlYXO9H/q23rTjq5ZSFAB6DRbxaFI31if6ixa/StSnd2mM1bIWGZKNW1Ewg7gNJbgJ38oO75PF
omEzjw53LYMy8ZTB8UUOtgEcKTvkSVTjh6bWAEScuv5TlkncJ1rpjR1dIzArO7iqAyJmsiSdLx6J
tq1zJ+3eJnzYPtolAkGAAYBtOgzQlxRuHl9a64cD0PvSxypSg5S/peU+YmgZMUu2vaZGBJbymCe0
MfiVxaeFQmZcQXJngnR7LG2tWHh8tXdDM7ZUTNFNG5JTX5h8oOJO0FsP326XxUK/iZYIM9LScwc2
em+N9NsFMyVa7I79lU8SrLSaad/6NZD8sJyp5Wjo8DNrezO7s/HgO9khyGGTzGYznNMIHqLb07U4
03q6SiRlEPagohX9WW/cR4h1myyZL7GYD8bwmjH79+iJm3ROWO0ABmDc1cgPlc9yKY55RQD9htpt
qt9MWDLsbz+aqLwGbk5WEuaAlu9k1V2C/ntl9Tfasc5lOV0sP7zQIHLSI0IgXYVxOVu3fXDwGzjY
wJzXjQ9ryuFENFdM6qIDXNSl49MPxd9nl/PezOiwKvnMut2ygDfCsC4JjB1cE1jc7T5vm7Mf59eu
rKdFC80I/9n4UPbjMoioJSjT6Z2uv3UWTuVOx0m28CkNupJ0fJ4bP7paYXbMjTl7agv9rE2uqi5r
5kdtEnQ/zPQRFiGUnK7qtkZeZSSq+8tcWy1OshbCi+tQ61zqAmuud9NqNz+WUfEZ9bE40ZPK5fIm
U6wrdQHM0En81wkGzNrFRYm/4li2rkF4wqlZ/3E9kZWH0y21F641Cmhvbb6IcmfaEOSkVS/T3Wtw
CXQmFZ7BlaTvPpQx8tRQmrgmKILchltxPQ12ufS1/czM5Nq0RrYuas/dpqld4NiNh6sTecNFiM6j
FVuY6ywL+pXTYpK0obKvPaqSD9IA7zLLIn+BiyNPlUtufaaudlOzwNlP1QCYkSn9G6SJkFB4Vj/Z
FpIEp7a/vlv8n+wD/0SH+f+O9GKyS/vvd4tHwtr5R/H3W8XfADHqab/2itYn17MdJBvT/IdRqfnJ
1h12fb4wyEozMP3bXhGci+PiV/M8MDAO41V2eL/vFcUnQC+QXizPYATrMv/8S6QXfsif9oqObtMW
hXnf8rGJs3H9817RbvjV9BEcSDm4aq2pj1/G2Vnnbi9ekk5YxzxldpLyd8A5x/0eFYiRXOiKbTvg
IrV1IsSM597LqIK9KpufWTPvTEJf5uh7l6Gb22vaiWcsNfkrtq7sMPuGWI6Fd3PZoR6m3rCfSC1P
TrvHwpf/zLPhEPZRTfevVRzywh8uc1bvg9Cbn2iA7SFVjNOyMRiUpG1lrhpBp4JHJHBpgzo6d5hI
iAe71kvWQlnrBuPWe408MC0slhPtXUbGsrhlD77X3fCnFRjxdoZ7eWRbQ8+DCINNFETeY6Os6Jqg
GHWkic53VfQ7A0c2j3ZzwmCOAWZ6kJ2pXeY4PdZqWZ9QTWOxuKv9o27H6wEcVLZoQpJqKejdAzG0
BxEUUOKYWW2m3DWhRmm46ittOk8hxmZrDulRmUPjRXb2foim7MZOAtZlJ7UlI2F0KqlV1wzzSg7u
vmu+0mWvPxBNDtd51pgrs+/kPjKTt5LTInlqJyavTOcnvrHtHHjyCtQF3QnG96WaAneRTeSwE3fK
tmkXJU9+6Hr0Pnhr9Or4Kaj0fjH5lb0L6W1F/zflKxHTlqiO07xP8/QuGr36JiU5CFt2Py2Xelqv
YBQ4U1hmtBmOd+AbAwkpoCUhEZO2FIeqoTiTCevEbHRisSaJ78E5TRgbc7jf/eMw9spxrAXGsZiA
oGJJWFRT950sP4VtQayd+sg7O4Ynj4M1eFeyZcU64HxKeN1UQaKJyyPriye468HasBi19qUzvg2O
dY7E7NDoUCUIv9b3+8Myjirk6mLeVirg1ct6YLQJdzfo5ed1knjyswjAgHmkjak8fHCCMDxDTe5u
Fdrkvux8+qxgx9xKMyXgScPOytKYZurYwC8pkTMoMVgeM5HHjLll95kmBBJQs5nwOS24IDlasJqM
xKB8b8ye88y6dTKLb8bUouC7xU8zrMWXgTgGKOv5p585yblrQi7LrBTSobOXRWQkUP60jgGCfNIA
fsOS3SYgj1CeflSW5GUTdXF0mYuaTaMdfWYXk+QvFFWsPdIPq/OeTXLdF/1EoMen/YqI0qbW+4HE
uMUODlbYMqLYbku5U7E2C9ejNDEotsM487kx4NoE9sWfCcBbVZjtRzfqtnVv6/iP2l2EIx4+rd89
a2by0okMFGWbDI+BHddsmBfDIOUmgT1Dxyc4Nn/iK1OYmbse3J48SMq3H4m/ejGaDXZT/dkA0QiY
2FkNpmgOcWl+wDgFFCPD+GHui3iDTaqgR4bH/vgf5PFW5iC9/cCp8Sii7i0bKdZjimAf7w9Vw/BW
VQAGp0YkhAPG5JJ5WXLx2Ml6ydAi5Mq9l4Js9TTyH4ZBA5xJsUViT/I02G15kmZA9knoxWc/D96F
k9c/Mk1jQx9TUuhFwSlmjnMe84h/cuW1D21sPZaJUV3apta2wQD6+37XtqqaU6hWXQYPjazticeX
hk4fdcvKmOnKkz1mLxpxzUPI5BDWWHweY+ldrBhlogG0t6qMETXaU5W7SRAwU2rcbZyLkU0bh8SW
9jYReE/VxPh+sAfz161/eIz9xbD699LiX3NgUd+mjEv/bGUh2x9N/PcrC5Avvz3r18JCfEJoZvRn
shnFiKWWHL88WPYnHwQMUrL9GyLm7xYW/iflsSKhBkOX5xhY4X9fWLifXMFfh3fKNtGoDfFXFha2
krP/vLDgIss3yOUXMajS0v9BhG6hR1il70WrfIL8UZbNk6S3zgA0/MqCg2qchNbg/8veeS3HjaRb
94nQAZcJ4La8N7SibhCUg/ceT/+vrOlpzZxz/omZ++mIRrBKokSWisjMb++9NknOCgnX1all4jJr
/dQxilbXImjXDue1A05G/UQFsQ7xAShZcIsoQ164uY6HXZLNiM3p5gOkfUOW3ro0apki0d4rHbmo
SnRcppWITw0kxmUVV6Tgo2ZYGnkZbhOUsdjJmx1FXznNArq/MdOGXpsseaNINju45AavAdO1KxP/
X9T5Ur7sAJqkhOCO04fO064It6HhBrti8uTCYmZ4idqxPtEHjPfV2425G97rFoP8qPXG2XSsfZu4
7XsSKgxy46uOLWZ5WonyCxc9+rSatZachqof3uJB65Y6o7llz5j2oGcD2DFKIDalHvSbSQ9BvQe2
v8WzMdzbRrVZIgtso9As4aAF6T3PnWuWEjhbxME6zD35lqUR063BSTFWsZJ3Y13tRe/Od+kVWOAb
zfseWv2yMtrg0++ifmXrfn12w/ANaA2KKA1q69Joyxf6dBb1dKF2Ur+lbavfHh+pZwZpXR8PHpep
p9JpxLqy/f2cWZvV1gqzCHYMnymBfJuh4Z+Fo8VLr9XumQ741DPCiRLuwLYPYAWuzdg11w5u1zkP
vLUPkRqRkQQTZzzrqZ2LCaoL+bKHGyt+KHZId1TaSogC1R0AmfHWKn0vkCh9rtL8BqX+ZciAKezu
k2gwJQfHmdbod5Axd/CH+p2/rn8qQcQaYq5fyxQmFgAiZz1Sq6YkycgfoIqGhjx4URiA1c45LMax
/LQI6RmC2pJGfqdT9Vs698YLanG/De1a29VJ/imU9tkptV5po5nSRdlB8RZVSqnSTJmW2+MBN5f5
ZVCaakDH6XpWOivzhFdDKa8eEqyvtFipVFl0zV2sdNpZKbaVif1kqL2D+fBwMII6DGZsH3D0DAup
t+HSq8VPmrxwChVyGytl2EEi7pCKB6UZG0o9tpCRfaUnJw9ib4LIrAdzup16Lzk+LhJIzMoRFo0x
SrG20W7OabZuSwvdSF0MXZsB89UyOAzMBTQK+pauUr1JrpBeV0p4rTTxFnG8USp5ofRydmzRxlUa
eqHUdBNZnfuAICSB0t4rzT1W6nupdHhLKfKtvqLz2tvh3XGWnVLta6Xf20rJT5P7oLR+oTR+dt/V
bfCfHs88Cikj5QjQnBdTOQSSITYXc9/gzAIS2xLO21ctERAniSiXMhHLxzl748ci2Rs1O7lhgCc7
toa5wxadMJ8lx4cFIdzVbfyTo1W04tukB0Z0nQWLClpEpXAkj48cmBZNRr/NVDORd/qs+5U6BVgh
Sm8YyJjjoeppeHBiXwnDQCfN6lZT8Epxic2AarSH93QC+NwJGh0eD2Vav+lt2vHtVOLUOvlHVWT+
wUjNDB+dvtYdeawHK3wDllVdXbN/teZ9ORvpFY8mePYyT7nH8X6w+3QbCt85apFWbaoCM3aT0CQZ
T9AOW0OKPSaYjUEhU8SgOqCtBUYVM2r4t999POWnwkvGBT8WwMe1tjiHDkU/dWIlq1rLzZ3Hjpv2
S9e78w00e34OHHL/eI2gbKfnYC6yt5ZWUSvNscWmFgMwLVj7c81P7JSW16xw0dSz/hQKyjJCKV/Y
hmv7rsd5iG3ZequiNKENvJC3uveDbcvO+Qg9N12bwexsjLhYisLKMNbNybV3i4TuXPtnbWX5Hu7/
NS6E3EdN5a09a84vuTmFu1i0QAe6E7XaM/1QVfrRmPFFH/Hc05z4kgVtTWtqFD3bY1MumiC/0FEI
xjHj4jQkrdxgvhV9nTwVDHaPSS8+QmwXy1oP46Nptv1d1D+mzjjnBncJc9KOPRHQNq7tC+M8+rwj
XbzYhQ4Q0kjsm8HwUPNnXrqQXSQFxvNTwWBoIya7W1aWUr+SNn5pk2jZWyErD6Aq24snFoX+l+zp
MAgTw3ihAXQT5V5zkYlBfVCkpatGb6vT46Jxn1Q+/2BpuL5NZt7HAxjNA7XbyZOF65PD7lQdgmqo
+RGogGJVVg6Ot5pWVR8XT2FNUYF08n0Z48WtnGk6jJX1DhigO5BMrSmQMHRKojT55JqzfMI7ubGJ
ndHlToUHW5WjlljYqgsa9h4Pf1961fWGkenmcF67OS+NM4iF22nlJhVVedG8cRP3ub0gdJXsDLSr
pcv7ZllEULmjaI4ufelF3Ci9aNOr+IJQZcG57ZE2ZSMce7/+u9H99za6lgfy8F9udMl1/l+Giz8/
8c+9rv0HUUyP3a5hc8d+zMP+3Otaf9g8aeEjlySMH7vgPw0X4JJd7A8OqhKglseG9q+9rvuHS7QT
vjI5TEM5OP6TvS5Jhv+11wWhLHSJu4T/8P/98xCN/VjEsI5WgKyA2IJT/KLG14s87NmXRKG7Z49W
H/MqXBl+dPeg7S/Zs9GM0n0SIBiJhU/RIZ70/CW0xaKTJcCyLDvKidUC9oEZO8Mz7a31lYb3/eOR
rZ4CnU7snjTBgd52bSUzgp/s+b/PZVe8tjNdhUECtjj0zOTqkrZniZ52TtJ2F60F4O9Rzb6LMxPn
raHpuLE9favlwc3xk2Az10a8yisoKJ1gcWvmvdvDsEEwhJLjzbTjZLQiNISaROSm95JDK3iolo35
GJFe1b11lzrJ0sn9YImQK9cm0L4vgYwPMACuiD7Fe+faP2JI+u8D/q9Vk5G61mKi/l3UaaeU5sVl
0zG/a1EQF5phb+inrIjY2T97HXAJ5fCDVrUHa5rqJQPz9mjAzEpM5yDyTtrLeg77g2Q9G5kaLmu7
tw5l0ohF62nd1ku0teywC+aurwGkCosvqSXpv0qTb0PGwDMnsrcP3OnFtkJ7k3S6t/NAXh+BmDyB
5C9vg6ZAZhxK1p6GX2sGRXCJnOKgWeNwNaeOygMBH+TxUM96d4fS4ixzQq+LhOk+h7DFWHfOZXLJ
A6TzEH7OSmdt9eHHlEv32Dv2TtRav89CT1/X8Hm3ead9UnmTsLaaMcSTqdjE7I045s+3FGLCKmJf
tR4s69mz2+FUgVQghBeu1P+xaJx9pszkD0f546PHxcujeJcb8bNTGHsqbWDiUmrMEck2QjSqLpq+
gArj/FLADfCtjRZXFvKfeR/ILa50vR7WQW9DICgI9sLxqdKcfwBsKj7JrU77SUCUbETr/ojY/vh9
ebEb59NOVJuFSVGdm6uNXQVDTzgBynd7BMyXkgz0sg3GcEkg2pJ0W3dbwwp9+pSsfh1I6mviwbCW
aaGN68RneiTbXK71joKyroCD79nG2k/RNau6jW50O5/7N8Zr9SebQvLC6SGmtOOKtbEB72CkTKzU
vLCzORO1nXOw9YRGNCu1Ua+dbRXhO/Ddzlu2s9VeYwJBe827wAXsVxA+lAhuw52E5Lzt8SQf8QBl
mc9OcWqSkyVT8V7RUQNqXbxKGxYFAB1AP9UsFDq429Z+u4lt+DyGGfRPI+/UJwwzB8qDUtq9eKrx
mg5Xi/Nix10Puo5vi+e7TePSptsK8+y4z3lCAY+nAJKiBCWZwZT0FVzSUpjJNMKqNViXWAEoLUiU
rkJSPqI2tcJUgp9fhgpcWesgLL1B+xji/hsL+TYOtW3itPe62IAyXnMH3oHxO5Z+SukIE3tluEDN
JmhOXIbmyADz8ERrxVS82Jl/rf1kOTqw3pybXj9btXUcfpnGcNLHnqTjRDdlQmHS2WuNO50zm5rU
Bfakn3GBUijqu9VcY2961im4r3SfRhY8DwxlA5zpRhZw08ufPq3SPlBnunLafhf0zj6I6x1qwL4n
MZS2+aI0+1vmj8ve069qN5RAtMd5oW3VJ/qUIXI8aJods85VhLdYULmjfiUksomQf88qe8uGZulk
V/UnOWlxc8ziCQDNy6RboNbyM/v+zajFr17RfXfCgO4FpTJmu16vluFYbdSLZgx7LUbYG8T670+H
uBYgZS4zEOtWkW3TbAJwZ2+F1R3LxF71QCXV66i+qha7UlR1N0owdtD9YH5NezG6R/V5eV2uar84
qFfHaoe1zM27yMWmthHEeUEkQeouXMzp/Nnz1VVNfAiD4qJep5hKRCxEBmHeBXUkqhJ8o5GyDdrx
4rfui5D1EwzBvfqu+9BmA6mBoVJlFP62xuHXktFtvkyW9hQI960m/LwopPEzaecn1+02LiV76v8p
Tk9l2F6phd7Rb7ytKG4BcjBsWrw8eLTOxlRt6pXrJTf1bCPLCxjLq5AtyJb4ECH/Sqwn2Pd4mxsc
CoInKHkLN6RFsB/O6v0Z5PaHkdCCZhoX0ngC9zH/iKkvXjtoWZHefah/f6vJV6a9q+tXu5W3gfKw
uEnPFE3FELGrXVTNr54dke/Vvrhjt6Ev86S+l9ZmKlPZ5Q9rqOVGOFVPA3bBrNtKTi1QeAEcPjfd
vaVo8YPu3kymGyMvvvs8DDDlTUWXn8HMJ4o3byvyvKMY9OWwYzFCmQjMedVngGV5S3kL5O7ubMW3
UrHsiwZTGaec6NlQpPsmg3nfKvp9rDj4syLi+5C6XBD5hmLlD4qaXyh+/n93sP/mDtbVlTL7L0a1
RT59/vOg1vrb5/y1ecXwxAAUScISyo/716DWYBrLPyl9MAZTUqn2lb83r5YpoZkIhwgr09p/GNTK
Pxxmu0i2OvtXw3X+IzCJYTiKPPKPiVkbARrxQrf5Emziuf9j9+qLiPYnQkZLzx2/zEoHkXUujgJ2
z6ZCDHk8RXCXd3hvrYqsjq5CSSyPC1OSHE5IG21+/wKe6c+5jptD1suVYLl+TRraiMppQzF2hZ+B
+S0wjpR1unaUgxWZR3OyTR624bVOxbQBq925ZcUtuO+fxNDbpwATpK6ko0iJSB1qUq1kpVEJTLaS
mpgO4AJU8lNGDE/JUZESpiwlUdFcla8jJVsJJWAZSsqqlahVK3kLJhmb7kIf12DLWPeFr4Mx7LQn
D5IA8doMI7TOeRyhZ1byWaGENPDmPy03A9q8c6hteyIz90yirjs5tozXekolUuFrW2FX0yUMARbx
LvvlUCxC14gtPxqj+oVbS1+QXInuZibumuWmL17XGDTOpRqpOGrkzMSPd2II6oUutfZN2HW0qvTS
XyXFHK6arpwv9cCOmTU4XhWiLrduW3R3m36RhWE5yR6tvL23Nqg3Tc7XptMO0ahbdysv57dzoiRN
O5rXWTn3B6/KihNTqhkaF0Joq5RSC200VSJpoOTSDt308bSupFRXiaq9kleF2WxiAhXaooPKuIrK
KV+z2XVvLUmsI3UpZ9dqtJPOtHybFsOPUnh4QlF0KyXtsnQAHJyH6Pj7YitZGHrmn8+Bd8sWhRKN
CyUfZ0pI9pWk3ClxOUZlrh96MwOT7KFAEzVZDUqUHlGnhZKpeZW+mkq4JulNYEyJ2VqBrD0ogdtT
UneiRG/abtauksFBRsXP0UMaVyJ5oeTyXAnnnZLQmYRMt84Mo2Vt6clJV33dj4+0OU//9tHjucfl
0Q5LMfa5SY0YcaNjbiYq9262pnuvZ+wFputCsUjNPW20HosALcNEJMNLUbqz6gzFKhFSLRqPkp0h
F6B7d0pBct0Z7l7vLtPMil5Ntg+wQjFSsp9yzKfUouVk6qJF2yS5WOizUV5jLWfThV9r+3hYYoZs
rbSnDFxKOCH9UXfAf0oPG4FTOiYMGfyNLV1iFQieBg5PJUBx1lMjduc4t4xn2LDmc9SCk50YuA1V
U1311p6WmsEEKpzHkwP651sZN79k4RJU1Pwv3SycAyelb9rUxAu/cFpsupSBbXzQ/d9EHGvUd3j9
kbmdhM2dbu2oNQDEog+r6lCCDyoIORvHx0e2OS2lmJ1D4YuN55bk7EVCrHvOv9r+xRUaCdQ8eee7
9PCDko139OzFalPjiUPcl7B0jno3OM/A8bdTV7Mvp0tmJS2fviOYUryveInPTOI8CP6YyPORJO/k
xK8B0OTGMJrXFljYmbZgjj5u0cCD1VxFhXsptQ+R+dHX0BvYXJdDdmFcPFy62jsbrSLQzPr0mjoM
pdrO815jEZyaSkRkgVsYNl2Z3B4Xs/MpKe7EWZHwGN9SbB2VWsLh2jY+0/yLV87pV3P0xDpJLmll
6mfDmjTCUGX61MCG3FW92M2JnJ+7qgm2dFhmKyFXpeIZS0YK5xF7O8774fR4BEzGXdcRmKnHw/qv
3/b7ExpPvHde0hG+59N/P//4vSQuK1Viun/84u/L79/GNthZ4hYYV49f9b1M/O0LeTyc2dsc4Ag/
66p6pFIlJFkj4pdaFZPMqqJEqrKSlNaSRNWXuLHUoff7kJxzyk0sVXMiWrj6Q/mOkl1dBtWEgjxg
q2oUCRPpZaAtpVS1KSb9KbaonjVVqAJNkWWMdsm1TbPPkex8sIQBEwOjs35kqpQlU/UstPpR1FKZ
35FSx5Nfu6DbM04tHLpPXUX9S1jH0XMB9GY5mc2wezxM8g62HwTmKgYz4XD7WjJ05Gya/mhNSVFC
5kQrqQng0gzCF1rGsa40EpoFSAmbUBBtls+lb2LcBoyz613ne9bH6buXbkopPnQW3q1vWLhK3PnW
du2F46N+bD3DQzmszJ0hjDV72RzAX4ur1oYcb7YvUIh+kg/2Nk3wI2v9bGObz93URivHHMq1hQ9r
gVT00+fu6s2ZRqVRXa1SHcviCLt0YcGEOEswlvtybBY9tbdrrAyklZnqLMPkzI3ahmYfUDvZWuhB
JhjZgTOe38XaOs+pyqPkLF3q3iUAacuEaBU3PV8wb6pVUaEO2MGYLwcQERQwsMZkFaz7XFAO6A/r
Nm3LQxRF5Vo3Z2ctgk+ramC/I39tul6VJoW44jvG7o+/aSDZr9p5GFAHZbAs3EIli84QwulSjbJj
wKvHGap+T+yBqg+XwlM90i8BZlWosKJY12nZLyOnG7ZV+hYEBrlSky/M6s2FKVyyLYmTrawo/ISf
03DcBbQoIS5GCr3oKAijCY2xdMt7k4NnNHRAjYR0lznkRmK2MBwtaI5JDtaRqgNYTIAee4V8hF7o
3xyFgQQYoTNpAw1ZK0iko6E1pRplGXjyjA3cMrq8DeQE3KisrQo1GcKcZJ4aXKTCUFZJhvtJSwvc
SZ678X2PF6PrLknZdS9dG1/CCutbnEeCUx63yDwuOITMPrkeqMOQMD2FxKS6eOE02s4/1I0WPQ39
k1QATV+hNIOoufh23ZwYO9C7qtvnXgvSq5Unb8HELM/POaCaY43iaQfHoRfROYJE+dRAIuYVffaM
l6Ef7a1tdcOzJj6kEJJ6ZSAGCQhkrSXi3ujTvWMDe6r9tR7X3aXs6becC61dkfBe0BjZ46CGJFBr
ACYDmxaaqiCMgiIutjEQU32w52M2U1sbjtDtmhiKMmjYJ3A5P82qIiuWRa/QEqyjqwipiWTHoZip
dUGrWm9e0pybV+wE5RrGV0GHeOxdZDt9mZ06PzXmgHSewCcLRRodgsEPPjRk0dFEWPUOngbFNXDA
uw6K7DooxuvjoaG4r4kiwMIHhPMMb5SRGtQt59WtPFi+3ZQ9mwLgRoQWbOIqcBRbltXzNcEGddeZ
vCxlpfdYJn0KDeQmNlvnhdXmC0EhipBxPDwNVkFNRJonpPm75okAEUB+OLeFIt4CUzUPsaLg5oqH
GwPGFYqQmytW7qyouf0IP7dWJF1LMXVj4LrZBGXXVLzdWZF3J8XgZViaL6B8ylc5QugdMuL4sqoI
jan4mG0R9vFVpCwde24JnmuuKUF+lyp45svPKqYJJGs9CFN27lIrtmlUYo0h9HwFGfpqqiDboCJt
pgq3jVbp82NCmMxsy+DQajbQU1MshJzh91Wffd5eW0ufnyF1zADw6QVKSvdYSrpTyAUzFdO2uael
z07c1wuz64ol8KwI8X07g2rcMU00aAMttUVle/7zkCYciQz9ICLLO0XzDctlcPMDOsda2MuMdrOZ
KUuZ3Vkcl9bY84JNccyYk06UunOHnYTStkCOpTc7yX9m8GrQ15MARwOtG0HYPpulvkbJsF8ZgcTE
3joyXJVl7MpSb+gx1N4DDxRjlFU+Zrdq0eAkZ2YTaLTW9bgqE+qSxkpv9trEG59m08MQGydjBvWR
yHA5kcg8GXVUvc/epdAJ0euMGNZ+oKTURaERV3MGtirzt8xcUegNCi4qQXBPDrhvu/iul8172XRi
OWbjyofNuZyokqXCZe367a8orrYtd4WlfTQdyY2wfyNutfYdz18mWtaQMBGXcqp2c91cwJSdo7L7
mvfDHQLPvDCLkq1d4p+d3iPaTstc0abaYtbsH+5oED/SmUw38UDxiyzWFMu9s/Jkq4E09RZL7qqq
+xGjT6GzqBrvqUYKTQrsbdyIDUGfPJZA5vEIBTVT5IVraDcXxgwvpUXUqHOoe6l4BWeqDJY6VgPO
LT9H/D1ESXANi5G2JallKzP6ocHWXY/2SCDRSSh2HmSLei34y4v8PKQNHM6kY9Nea8mRs/ZPCJ7u
gdoM4+JW2b3RTcqy48xdFibbP0E4jdk/Ox38H/EixrDz2U2UTYbsVt2or06k0c2NFFYJzaRNvlTk
KWI99756kT6tge6Ze7tcd2M2nUxl16hEMQCitsd7BmMadtZXWLd35fBZyIoKxFhvLDL+XLrOsBjV
Rvpi7uKT8AJzZQcu/oMoshd6L81Xsw9XVkXQc2zqBryPix4S0GbnyS+ArAVhG+BwpFq2g8vbIRO0
ErQ1Dd8hRcOyjm8ZoOllZ3b2wtLLHAvSRDGS3kAvCJN95NbjCnLz12m2Otq5QrQLO9gMpSnVirsp
tTlZc+6/sFRyO7eND3zX8MunASaME12nJjzEszXQJ2XdJuZqNMLDedSKJ9M3CFmydW/Sa8GOf6F3
PvZGx1ykVQaAQF1aJqMMI+kPdFe+4XeM3MJuUXnxZRo0mgBiKsaTF8QBsk/WZ2w7n3WUn80gHjZl
Kt894oQrr+5+eZzeFkYdbB286ksXWRxgNRZPtPBV6XrukqTntKijWnVofnPkLQutGPZkTRuVupQZ
y1QBLk/U0yrAELcGcsGKoeBNRRYeGxKFtd+Pays6ZGyhl0mWUo8lg59RPW77UQLDzmLF6MsBHaHQ
GfN0pDkdxGTBwlHNRCArMj20QgC+t1qTL1Zca4kriEDqwgWxdWZiAoOhpMIwYUop/fmrU1jFItKa
X34tU9wrMKz7oDn4FcUTmHq/Jh3djmE+rzjjzbz5tp6WcQ+ALZ1Lai1wsm9SO1vog9MvQ5p4lkyl
oSlFGFu0H31vUawT0GyT/CroBlpi12+LzNjOTgJ0lNl2HnenYYopdi4KuLKcXhdOmq51RM0lWTU4
TtIk+wu0clFWNa30DqFuF2kTxhTucGtN0uHkZGix1TSuRBbHl5pJy2ICJLocOYGuyJ8ZTzIyf1DV
Vt0qiJWLWHjResQdsGrCKblxI9nRBVTf3Ehb1akZPs1m8zqKytvnom12MvZ+Wm2NcpebWrMFhOUu
DF6fm4xyokh5AjGUju6F22uSbYkd361+T9+L/e7jM6a/jVNH1pxCvHkXXdGiJnUJg5yRGVNhwyEe
6ba9tgxhfzIqE0+tkN2TNnDnnQCBQaTFpfu4BMAwdxAVry7J3kvGWQjXSKpTh+O6K8vwyzW3ofQL
K+SybqF4twniGVNpqJhYRFc2u6LJcOorHuyVU8T51p6M7I7gJyfIZzK0SRX3ZI2mJg9JYWTJk/0e
uu3nVKXp2Y2z+sXAfbbqpJZuXSSjl1BSAoVOni2pMa5eMn8Cdk5XzqJu7WSXUkJ7wCKXUa7iOGRI
SufSWuZ7wIBlRUu6u0qcMDqG1mSs6qA/0/1NWEy1zQfeCueLdvPFFD2zVdaXMKO8LXsK8nCC7qO8
sMfLZEQTUtS3UMuYy1gpFkkGENLFT6p7MxU2xmoo9BdGJ+NFgwZ7eXwUllDBayzate1OG4eDA0gQ
bZ9qDZioOUKPLAOARISsVgBT3K2mHP20wN3TkUXfpFJklYCEWPx35v7vzdyVpZkp9f9/5v5Bo/Nn
+89D9z8/6S93NAF7l6G7S8TWIav819Dd/oNiQpDf+DX+DFD9fegOooPzNkN3LCMCgrea1P/dHe3+
wQzsn/68/yB2xfj/f8zcFfLScfgRczBjS1iV/+wYYYDCKS8DUIR1EKGKhM41dgFNjEyQwvpqAYN+
AyB7HHJjDQong+Xd+4eyqj6cSRenZhy6m+zbt15Lx/fMmeM9HXOoSOohNQ5YN8zZ3U9jWN8k1kEK
F/1TjZkQ1vd4wHYVkfDihqy3Xfcrsnw4rFozXPO42dbKnjgpxO3jI6qgemtJgRuhaFtEqzzNfpaB
CDmEcASNPA27I34EODVpqm7I0coN9GTfwhh5kxHbzshpqeliRRSF1KjsY06uoce7KWWGeTmIi1+K
dF3Sc7aK6RpY2rEYj2CU9F3byfrkBhCsI5poziEbg2XBtrVREKhW4aAq9VGsEFE+mESmdW34zQ5p
A9YIUBlTyDkvk8at6j6TaBAHSCNnfiW7JN+EglGNCkuVKEBVSpiCdZu55hjr/XMZ4z8JneWo6enB
arz+0DlTt07J5H6uHlcBshCm5bgL/KSAhMYAUgGzZrN4FgqhFSmYVqAuEr5WOwDaahVyy7OAb/U1
GC4H3IrCcs0K0MUgkJ4KkF017C5A7eVB92JjQ1w8WuZ9Ol0jPIZNCPQrg/41KgxYrwsS/rjk8Jmb
R1vBwnKFDfMVQKyC0r7WsRZ9RDjUzeyZ7jUyhek9Ka32xNERw4b/QiJk/vBnXC11nu8DqxiPmZRb
3cjaE7NqCIRh0q6CcZDbHv8D6Z+oOxuSlqjtbagpRqeBKzg9Lg6RtXXaeqqAr/MgEKYeU9qmWnsd
q2TXwXqpB4Jubvi1YwUDD8cFDz86Qtm8GpURvWpBVy4bA9eeptF7GTRJ3WysCI9OZLhsXWvO1BD4
FvMo7Hvp1msZC/dFc/3vlf8rL+vsmW993scDNE2E2t0UeNZH7njbNGbIxlxpWBsGsOOGLjNqw8KM
HescvsWFOW6qEI15NsZzNbwnvOEvUIxjiiY4lXiT254qJ2Ufa5rVc8iyCkfDuz4uooJzmAQTLgnc
wwxNNcrLOqvZNnIkD+BDA808cDqYr7QjWrKGnVx766LBJEH3RRgagGxx6xp8FC7YC2hjL17OGWUp
m4NhYI7AEwWPWp4bxHZslPKz6G+xH1i//H5+s5zMhyyoGYuMFg+oLiMumblZZm5GMVzsZ4fHxaNJ
8yBSoof8K8W0as8USDJZG/g0jwgbcyT6ULF4VEIzbnHClzr23QlZDD5k7XxpitBa4mKoMFb40Tbh
e1uYRmUuBtbqj5DNM4m+ki+CNyijZNe8ZXlzrenXectcRuq5ajYaYts/6KaBt8qr263jRj+YRnbb
vg/0O/M+Rvw4gBaSEgJjEWhOgG84hMtIEw2ennj44cAtYXb1pI9AJSInAD6jLo1bEaSAHGp1Bu/V
qWm/uTYnUiP57mO9h2ABeIJKG7ENppqhCBlOP7SpnY9EumO4S/S8jRuVMgT7MxnByfc4XrsYekyG
t1SnGzGwbj4KaUOsObVdeVk2nR4k66y1S24RRUZX65xdQtVhL9wa9K4PVA2/jLfUK33eg+O5JGxp
N9EALNOdXNgE1E3QbSod2lt086zTu+OX2mYgaHbNp+4adJm8jDp+O5MhqU07Q+7Y6dpSTimIg0+N
8k5ZykVlU3fGjI7uKlwF2Kwm5bdqtZ8e9itb+bBM5cj6VSh7ltZh1JqVZYugHSQ7XFy+snPxLrGo
WtsZyugVKcuXpcxf9YCFCTPYyNkbvwP2sfjZVXaxVPnIHpf4r48iZTDLcZqp/0tlPXOVCY35DD8y
2NISZVAjNTHfIjxrqTKv5crGFipDW4azjchKtE2V2Y2IRL/v8L9JlxVw9NofWsiMtEzVgJW024Jb
kHPROajGOOkyZalzlbluVjY7X/nvbGW9M5QJ7/EQQvJhUgY9V1n1aARo1iyUSH7KyJfi6HOVtS8J
OGp6+JLXjjvF597L4Qg0ZrtxfmhSMzVKdnSUVvFqJ2a+9eDfn4TRtMRGAuKeVE1fPSxefJldwJ04
dJ8zU693Y1mArUeeXEUVZRoJxY+55+HHsbU12KaPbhD6do5K7wj/VVV2mBQPyfxGbKO9lpXi+aa7
nJ8Fgs+pcfx9CakrIMcU2ntFZor18EOUzQcDACiGHW/rvnfWQ1vQ5tUM1olm6O+zgm3aD5c+eRkw
lEsLD3+jzPyRsvXXyuBfKqs/WYJqY3Q0DVvkADilyG2logH/3d/+e/tbMnHmv8TQXX72/6cp+m+f
9+cWV/yBl0PX4bwJsEuWsoj8FQBUdTaKEeD8jR/wj74SW1mV+SyQc45Q/fG/t7j8QTbWEsPFeuKQ
DfwPtrim+79B7LbBPt7w+OtsiufZTP8jha5x6WlmuB6uujqaTm06fqJBQfwMtfL+uGRDxj3JyiF/
29/FYI37sGyjdUuYftmSc6GDOXQOYTMAHBgrksFW4B2n3Dqnzg9cc/1dmytKOnN9WDKux7Ooc+xV
eYssauZb7pMFcaP0iaUmfaI+82LbPck49MPnrGb8j9rAniqY9s2QYsO104+auzUzCDIepn2YMxnu
ytDPL1IHJJMbobOn9+aqyS4Hfmn/HB65EZUgkSpLYhIqsQLSJbrKmXQqcUK7HsrNI4Wi8ii+Sqb0
KqMSqbRKJCVmFvIrsUqy5ERacjIKV02lXKIyDdcDTCAH1/UBqtwr/cpUmTkeYHohchan1lmUZE0Y
NOT+PSxwNvcMBHZa4iartHd8sL5WcRZV1q3sx71A3RUktwfJbSJW94uw3prq/hGpO0mn7i6/L8X/
I+/cltrGsjD8KlNzL0rS1vFi+sIYGww4cZok9Ny4HKB1PlgnW3qZeZl5sPmWIQmGQLXTVd1UzY0q
lImxlrfWXnut/yAZZ5Dcs15fKMlFW8lKLulJkzylS8bqJHfxHf2mk8ysXVpLnUtQptocJ7B03Evu
yyULFpIP15IZl5IjE8mWIWnT2SVQ8RK5sCWrbkivdK5HgSsJ17stJf9uJBN7kpOXkp1xCQKg3NX+
qYXv+qQwNlfIRtGd7Hqb1p4ZfwnRvwIXk18PmICi4bIZ5Is8KZXVTlOE6mjogwbfDODCbbKaVgIq
9b3CtY6x9wM/7l32gidHTYghkWDMK8DmcWVM3eKuNVNA6EOnJsDi1yPPi41FWbbNcVYm2kU1COE/
2qynFvj7MRtu9TlLzdsOW5fP5Xb9ziqjGQHJrnsb72Qtc1DfFpy8NvgnriDnYVPSqxA0vSW4+sox
RogbxhT5YO6zajAnulA96TBly8Y8LQShrwtW3xPUflAEWA6A418Lop+DQ0ALrgHl72TFqWZF7Vxq
iZodBvP3OnkXcBKYbZf4zuZk+Y9lONz04JxOizLTxq4bOzOMOatRsWQml8llYzZnJvOad7ufIiSx
XEgKnrAVACGNI+gLifAYANhEs164DRB721W7WWAYTC99GQCplcYyfIhMmBFZt72gfLkNozy6Shjc
j5ZDg5PVkNH80ywsohIMxGs7AJMVa1gIrS+BBdjnqWOWqIeRDeLA/LTZusVVaRXLEbWdcVzi3j5f
1ormWw+8ltNIdQrVuF8Ag5ta4aRCa34xhFX0KUK/C6XYcxuw93GEGt00A8eBga1VHQcoMoyLjtaV
H3TAQc0qHas6ssY21IZRD/vyLEsZhbr1Fh2D4s7fMnq0rba5bJbbaUtB5SyX/dW2a1bJxpquay/8
WIE2uMh7mqBtFda/qXCzHOGzgrZl1FnM5cFymjoTQ1wzP3VNNUfnmtY0siE/oerzf6oBK5svEMeX
m0vz6L//ub3bby49/KdvO6/YoWA1t9t2lXR3vu28BoI6no44rLFT7vm+83owlcB6egbEI0N0Wb/v
vO4ROzUmeHjrImhJw+qgndcVwOZjQCeTcYX9Cqwnw6HzZT5pLvmqjbugwBChqBlV73IagKnuJCnQ
FssNM5sNTlrgAF6KOwiNzLFPsxeccl180OWyrp3LUAVfsrKFnSunC50hyxw4znpuZ+5t2mxXeR5W
s00Vd7PQXF8Gma5wrKrMsySvhkVidDEDles+dN15UrH1jBxkvabkgJzcJT8zk8Esc82ELm4S/xwh
tW6a+tmCeoKNO4jC98BPznraJzOz14sLI1oWF/SFjzWvrc9SQwvOQ6sJzmP7Sxbq24+uk0zz3rM/
AarHZo6hIcfZ/CbmI3kezCXldvEs9gfgkRQTTAnAupf4u3Ayqz9vrbZH2gyNIKv2KoxWgaAKL7Eb
EGhDNRqaoqqqSeq5zO/gMFZCZkROoJ91QnBsMgauKOF+gLwB+dEqTjhzy4MdAkFpNWc9q7IEgj28
SUMIlLFQKU0hVaZCr2Ssa40bHd7l7rLZ8TBdGJmxUDNN4WgKWRMlf2+C8fvvthA5FYxOmLzGZSsc
TyF7VkL7dIQAWgoV1BNSKAYwJsdpiKKmg9ycUEdtIZFGQifFeIThm1BMkVhgoAfpFJTlNK+VBwIq
7ieR1F6WVGGt1GOtVGaR1GiOVGtDeROnGpaq+JCOKJ3Kxe7iN0v4E0O7MhXnbI3Upe2S2IZ0FpHW
lOQ3FOfVhyAm55WS/SzJg51kxEJyYy1ZspJ8mZI4exLoJmPLcooUj2E+1FUTIv9epfoK7inKrwWH
X8jkeHmvZ0xM17Om5tjLUu9nOYIEc3c5RBcq1ZE80jK28iLjFgKm6Fu3+t1jDlFB6F71nOI5mXb+
olBAsDybvVEzFwofQv5q079bl9HDxamciM5OijHjGvZAp3ftrybBnaeddx6EY3K9QsQFPlK9afwx
UNH+PDUEHGtutpNKgHnIulCWClgvEdhenMwNgfF5AuhL8utGAH6hQP0GAf2ZAv/LwQEaAgi0BB+4
u5QCF6wEOAgu+qIWKCGq/yXDSObLugANGcoiMwj0MBAQYiBwREuAiQUuAuAUtRTAoinQRVtAjLXA
GSsBNoIwugL6+pH2aDGxBPxYJY0/PUFKerOIIgNOv64DkwQD3ZfuEIyANU31NHF/bXR6Gyq7NgVm
6QAmQtvWe18LBNMAi4mZWnNa6HMtTvN/0/NchcVyubAU5GUBcioQnaaAPF1y1vnuX3QzR7EAQJVA
QX0woRD8nXPNBiZqCWDUF+josS8w0sOPqG96mxSV9eCuGK+aFcxqFuGivav6D3d1C9Ls6/FNXn1f
RHlzVfzcL73+Rv+4+2OnXkgOz8TXdx9r95lfe5d0xa21t3f/+iekXgetOYTNdcXp15O9LS3y4OvL
hgx3GNOYjHHkSHx/yn4UpZfi8Pot3gf09d957QbuIyQGZT7Gzs8p0T8RBm4fGohjWPau0tgPg3XE
9m9RiKABZEP54OxNvfPXh+GmaPNG1mMQFXsyiYCenpRgL4TgyTs8WglM5Dxf9xXGcV87GY9Xgi3l
lokDHLL6D6ybvyUEq9ssysdRDRzgZm9iea8UabCA90rRF+Lw5G324nDvaixEoL1nQR15iiEjiDET
ay8Y8n/TInjy0b8/C/cReCaxeXAE3CPd44EXVxaGWI5U1o9XgjrCC883HctmuisW0W8tDr4JWu6Z
BfahYWB6zTwZLplu3VPDeOj3wyCGFNC73G+Msrf1QMhXhAXXn30efARXJcXKbP3hnPU4DOaR7VkO
BYQyJT28xdVA3n6mDnfoalAeGyV2I7qJhxh7pUjIPg4DPp2KMNCbFUE4R2wy39pqeGBR/tnsqCvu
jqY3Gpd850/qBVkN4EBwrQSPZ+1O8m8rDA+7xFOxwIOXA2IoJD96kvi9KxLEsxwJXkMEUTz7K0f1
bcWBuukHQ5ODw4BxLSp4SBMqnXH9Dhb0+KlAZ4aAG7qNXowjUjNv8Kn4Qfvq4DC4R9B9LZB/SsH+
1aVM3g8DXSODwkrJdrJTpn5rq+FHHsYHh8E/sh2Eeb7rCu2HwT0iN1JGu+jXCRrsvmT966voFwso
5I5+gJT7iTCQASXRuC7kHtoy+2GwqZ8os3WbVw88TPyBWHFKld+6Se9W1S//AwAA//8=</cx:binary>
              </cx:geoCache>
            </cx:geography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microsoft.com/office/2014/relationships/chartEx" Target="../charts/chartEx2.xml"/><Relationship Id="rId1" Type="http://schemas.openxmlformats.org/officeDocument/2006/relationships/chart" Target="../charts/chart4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561975</xdr:colOff>
      <xdr:row>20</xdr:row>
      <xdr:rowOff>52387</xdr:rowOff>
    </xdr:from>
    <xdr:to>
      <xdr:col>18</xdr:col>
      <xdr:colOff>257175</xdr:colOff>
      <xdr:row>34</xdr:row>
      <xdr:rowOff>128587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9BC62BCD-3803-2005-87BA-87C7A0E3F2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4</xdr:row>
      <xdr:rowOff>80962</xdr:rowOff>
    </xdr:from>
    <xdr:to>
      <xdr:col>17</xdr:col>
      <xdr:colOff>476250</xdr:colOff>
      <xdr:row>23</xdr:row>
      <xdr:rowOff>76200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Grafik 2">
              <a:extLst>
                <a:ext uri="{FF2B5EF4-FFF2-40B4-BE49-F238E27FC236}">
                  <a16:creationId xmlns:a16="http://schemas.microsoft.com/office/drawing/2014/main" id="{2C85C671-53EF-7ADD-C187-AD0FB2511E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53200" y="842962"/>
              <a:ext cx="5867400" cy="36147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2</xdr:row>
      <xdr:rowOff>128587</xdr:rowOff>
    </xdr:from>
    <xdr:to>
      <xdr:col>12</xdr:col>
      <xdr:colOff>85725</xdr:colOff>
      <xdr:row>17</xdr:row>
      <xdr:rowOff>14287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9C1B92C6-DD47-A31D-D244-69EAE9D09A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571499</xdr:colOff>
      <xdr:row>6</xdr:row>
      <xdr:rowOff>100012</xdr:rowOff>
    </xdr:from>
    <xdr:to>
      <xdr:col>16</xdr:col>
      <xdr:colOff>561974</xdr:colOff>
      <xdr:row>24</xdr:row>
      <xdr:rowOff>38100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1F69FEA9-B30E-39BA-8522-308F373CA9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156882</xdr:colOff>
      <xdr:row>3</xdr:row>
      <xdr:rowOff>133911</xdr:rowOff>
    </xdr:from>
    <xdr:to>
      <xdr:col>33</xdr:col>
      <xdr:colOff>280147</xdr:colOff>
      <xdr:row>9</xdr:row>
      <xdr:rowOff>124385</xdr:rowOff>
    </xdr:to>
    <xdr:sp macro="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1C332F6C-7E46-AD62-7082-457B3069A070}"/>
            </a:ext>
          </a:extLst>
        </xdr:cNvPr>
        <xdr:cNvSpPr/>
      </xdr:nvSpPr>
      <xdr:spPr>
        <a:xfrm>
          <a:off x="1524000" y="671793"/>
          <a:ext cx="21313588" cy="106623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/>
            <a:t>SATIŞ</a:t>
          </a:r>
          <a:r>
            <a:rPr lang="en-US" sz="4000" b="1" baseline="0"/>
            <a:t> PERFORMANS TABLOSU</a:t>
          </a:r>
          <a:endParaRPr lang="en-US" sz="4000" b="1"/>
        </a:p>
      </xdr:txBody>
    </xdr:sp>
    <xdr:clientData/>
  </xdr:twoCellAnchor>
  <xdr:twoCellAnchor>
    <xdr:from>
      <xdr:col>6</xdr:col>
      <xdr:colOff>131111</xdr:colOff>
      <xdr:row>15</xdr:row>
      <xdr:rowOff>48745</xdr:rowOff>
    </xdr:from>
    <xdr:to>
      <xdr:col>16</xdr:col>
      <xdr:colOff>369794</xdr:colOff>
      <xdr:row>29</xdr:row>
      <xdr:rowOff>22412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D0989638-3E06-4EBB-BDEB-67D81B070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56028</xdr:colOff>
      <xdr:row>15</xdr:row>
      <xdr:rowOff>45380</xdr:rowOff>
    </xdr:from>
    <xdr:to>
      <xdr:col>33</xdr:col>
      <xdr:colOff>67235</xdr:colOff>
      <xdr:row>52</xdr:row>
      <xdr:rowOff>156882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" name="Grafik 3">
              <a:extLst>
                <a:ext uri="{FF2B5EF4-FFF2-40B4-BE49-F238E27FC236}">
                  <a16:creationId xmlns:a16="http://schemas.microsoft.com/office/drawing/2014/main" id="{4482B8FB-9487-4980-89C2-B6F0BD8C4A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44999" y="2734792"/>
              <a:ext cx="5479677" cy="67453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  <xdr:twoCellAnchor>
    <xdr:from>
      <xdr:col>6</xdr:col>
      <xdr:colOff>119902</xdr:colOff>
      <xdr:row>35</xdr:row>
      <xdr:rowOff>68354</xdr:rowOff>
    </xdr:from>
    <xdr:to>
      <xdr:col>16</xdr:col>
      <xdr:colOff>369794</xdr:colOff>
      <xdr:row>52</xdr:row>
      <xdr:rowOff>156882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16D5F1F8-D15E-4B55-AF15-AC828CD0E3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585357</xdr:colOff>
      <xdr:row>15</xdr:row>
      <xdr:rowOff>50272</xdr:rowOff>
    </xdr:from>
    <xdr:to>
      <xdr:col>24</xdr:col>
      <xdr:colOff>526677</xdr:colOff>
      <xdr:row>52</xdr:row>
      <xdr:rowOff>145677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3472E2A6-9D3D-4FB0-B6C6-C544009CE3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394446</xdr:colOff>
      <xdr:row>10</xdr:row>
      <xdr:rowOff>70033</xdr:rowOff>
    </xdr:from>
    <xdr:to>
      <xdr:col>4</xdr:col>
      <xdr:colOff>201707</xdr:colOff>
      <xdr:row>39</xdr:row>
      <xdr:rowOff>33617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FİRMA">
              <a:extLst>
                <a:ext uri="{FF2B5EF4-FFF2-40B4-BE49-F238E27FC236}">
                  <a16:creationId xmlns:a16="http://schemas.microsoft.com/office/drawing/2014/main" id="{A3969D5F-6B22-B41C-E419-2BD8C5EE7B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İRM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6046" y="1879783"/>
              <a:ext cx="1178861" cy="52118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265580</xdr:colOff>
      <xdr:row>10</xdr:row>
      <xdr:rowOff>75639</xdr:rowOff>
    </xdr:from>
    <xdr:to>
      <xdr:col>6</xdr:col>
      <xdr:colOff>67236</xdr:colOff>
      <xdr:row>33</xdr:row>
      <xdr:rowOff>100854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Şehir">
              <a:extLst>
                <a:ext uri="{FF2B5EF4-FFF2-40B4-BE49-F238E27FC236}">
                  <a16:creationId xmlns:a16="http://schemas.microsoft.com/office/drawing/2014/main" id="{D4F0E9CF-1F0C-97B5-FF55-4494A953D12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Şehi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08780" y="1885389"/>
              <a:ext cx="1173256" cy="41876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369793</xdr:colOff>
      <xdr:row>39</xdr:row>
      <xdr:rowOff>70036</xdr:rowOff>
    </xdr:from>
    <xdr:to>
      <xdr:col>6</xdr:col>
      <xdr:colOff>78441</xdr:colOff>
      <xdr:row>52</xdr:row>
      <xdr:rowOff>156883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Ürün">
              <a:extLst>
                <a:ext uri="{FF2B5EF4-FFF2-40B4-BE49-F238E27FC236}">
                  <a16:creationId xmlns:a16="http://schemas.microsoft.com/office/drawing/2014/main" id="{27677CF1-E990-4243-803C-FC158C4268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1393" y="7128061"/>
              <a:ext cx="2451848" cy="24395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265581</xdr:colOff>
      <xdr:row>33</xdr:row>
      <xdr:rowOff>144555</xdr:rowOff>
    </xdr:from>
    <xdr:to>
      <xdr:col>6</xdr:col>
      <xdr:colOff>78441</xdr:colOff>
      <xdr:row>39</xdr:row>
      <xdr:rowOff>35298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Yıl (TARİH)">
              <a:extLst>
                <a:ext uri="{FF2B5EF4-FFF2-40B4-BE49-F238E27FC236}">
                  <a16:creationId xmlns:a16="http://schemas.microsoft.com/office/drawing/2014/main" id="{F3833F0F-A2CB-88BC-9F3C-0A42CB3FA15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ıl (TARİH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08781" y="6116730"/>
              <a:ext cx="1184460" cy="9765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8</xdr:col>
      <xdr:colOff>380998</xdr:colOff>
      <xdr:row>10</xdr:row>
      <xdr:rowOff>72838</xdr:rowOff>
    </xdr:from>
    <xdr:to>
      <xdr:col>14</xdr:col>
      <xdr:colOff>616323</xdr:colOff>
      <xdr:row>14</xdr:row>
      <xdr:rowOff>61632</xdr:rowOff>
    </xdr:to>
    <xdr:sp macro="" textlink="">
      <xdr:nvSpPr>
        <xdr:cNvPr id="11" name="Dikdörtgen: Köşeleri Yuvarlatılmış 10">
          <a:extLst>
            <a:ext uri="{FF2B5EF4-FFF2-40B4-BE49-F238E27FC236}">
              <a16:creationId xmlns:a16="http://schemas.microsoft.com/office/drawing/2014/main" id="{F9A2A738-D9C1-840A-5953-8128B2C0227F}"/>
            </a:ext>
          </a:extLst>
        </xdr:cNvPr>
        <xdr:cNvSpPr/>
      </xdr:nvSpPr>
      <xdr:spPr>
        <a:xfrm>
          <a:off x="5849469" y="1865779"/>
          <a:ext cx="4336678" cy="70597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YIL</a:t>
          </a:r>
          <a:r>
            <a:rPr lang="en-US" sz="2400" b="1" baseline="0"/>
            <a:t> BAZINDA SATIŞ</a:t>
          </a:r>
          <a:endParaRPr lang="en-US" sz="2400" b="1"/>
        </a:p>
      </xdr:txBody>
    </xdr:sp>
    <xdr:clientData/>
  </xdr:twoCellAnchor>
  <xdr:twoCellAnchor>
    <xdr:from>
      <xdr:col>17</xdr:col>
      <xdr:colOff>609599</xdr:colOff>
      <xdr:row>10</xdr:row>
      <xdr:rowOff>128866</xdr:rowOff>
    </xdr:from>
    <xdr:to>
      <xdr:col>24</xdr:col>
      <xdr:colOff>109818</xdr:colOff>
      <xdr:row>14</xdr:row>
      <xdr:rowOff>95249</xdr:rowOff>
    </xdr:to>
    <xdr:sp macro="" textlink="">
      <xdr:nvSpPr>
        <xdr:cNvPr id="12" name="Dikdörtgen: Köşeleri Yuvarlatılmış 11">
          <a:extLst>
            <a:ext uri="{FF2B5EF4-FFF2-40B4-BE49-F238E27FC236}">
              <a16:creationId xmlns:a16="http://schemas.microsoft.com/office/drawing/2014/main" id="{C62BF028-15F2-4F77-8FBD-9A2721EDEE09}"/>
            </a:ext>
          </a:extLst>
        </xdr:cNvPr>
        <xdr:cNvSpPr/>
      </xdr:nvSpPr>
      <xdr:spPr>
        <a:xfrm>
          <a:off x="12230099" y="1921807"/>
          <a:ext cx="4285131" cy="6835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400" b="1">
              <a:solidFill>
                <a:schemeClr val="lt1"/>
              </a:solidFill>
              <a:latin typeface="+mn-lt"/>
              <a:ea typeface="+mn-ea"/>
              <a:cs typeface="+mn-cs"/>
            </a:rPr>
            <a:t>FİRMA BAZINDA SATIŞ</a:t>
          </a:r>
        </a:p>
      </xdr:txBody>
    </xdr:sp>
    <xdr:clientData/>
  </xdr:twoCellAnchor>
  <xdr:twoCellAnchor>
    <xdr:from>
      <xdr:col>26</xdr:col>
      <xdr:colOff>58271</xdr:colOff>
      <xdr:row>10</xdr:row>
      <xdr:rowOff>118783</xdr:rowOff>
    </xdr:from>
    <xdr:to>
      <xdr:col>32</xdr:col>
      <xdr:colOff>235325</xdr:colOff>
      <xdr:row>14</xdr:row>
      <xdr:rowOff>82923</xdr:rowOff>
    </xdr:to>
    <xdr:sp macro="" textlink="">
      <xdr:nvSpPr>
        <xdr:cNvPr id="13" name="Dikdörtgen: Köşeleri Yuvarlatılmış 12">
          <a:extLst>
            <a:ext uri="{FF2B5EF4-FFF2-40B4-BE49-F238E27FC236}">
              <a16:creationId xmlns:a16="http://schemas.microsoft.com/office/drawing/2014/main" id="{E7557771-65C4-4CE6-9945-D2B33B80B2DC}"/>
            </a:ext>
          </a:extLst>
        </xdr:cNvPr>
        <xdr:cNvSpPr/>
      </xdr:nvSpPr>
      <xdr:spPr>
        <a:xfrm>
          <a:off x="17830800" y="1911724"/>
          <a:ext cx="4278407" cy="68131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İL GÖSTERGE TABLOSU</a:t>
          </a:r>
        </a:p>
      </xdr:txBody>
    </xdr:sp>
    <xdr:clientData/>
  </xdr:twoCellAnchor>
  <xdr:twoCellAnchor>
    <xdr:from>
      <xdr:col>8</xdr:col>
      <xdr:colOff>275663</xdr:colOff>
      <xdr:row>30</xdr:row>
      <xdr:rowOff>1120</xdr:rowOff>
    </xdr:from>
    <xdr:to>
      <xdr:col>14</xdr:col>
      <xdr:colOff>526676</xdr:colOff>
      <xdr:row>34</xdr:row>
      <xdr:rowOff>67236</xdr:rowOff>
    </xdr:to>
    <xdr:sp macro="" textlink="">
      <xdr:nvSpPr>
        <xdr:cNvPr id="14" name="Dikdörtgen: Köşeleri Yuvarlatılmış 13">
          <a:extLst>
            <a:ext uri="{FF2B5EF4-FFF2-40B4-BE49-F238E27FC236}">
              <a16:creationId xmlns:a16="http://schemas.microsoft.com/office/drawing/2014/main" id="{616FEEC3-64AF-4D06-BA3C-246C4AD9BB8E}"/>
            </a:ext>
          </a:extLst>
        </xdr:cNvPr>
        <xdr:cNvSpPr/>
      </xdr:nvSpPr>
      <xdr:spPr>
        <a:xfrm>
          <a:off x="5744134" y="5379944"/>
          <a:ext cx="4352366" cy="78329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DURUM GÖSTERGE BİLGİSİ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i Tekin" refreshedDate="46103.695338194448" createdVersion="8" refreshedVersion="8" minRefreshableVersion="3" recordCount="199" xr:uid="{F166BA38-4CA3-487B-97F2-40D8B9029911}">
  <cacheSource type="worksheet">
    <worksheetSource name="data"/>
  </cacheSource>
  <cacheFields count="11">
    <cacheField name="FİRMA" numFmtId="0">
      <sharedItems count="15">
        <s v="TRONX"/>
        <s v="OLAYON"/>
        <s v="HENEX"/>
        <s v="JENDY"/>
        <s v="HUNZER"/>
        <s v="OYLAM"/>
        <s v="BEVEZ"/>
        <s v="SAVUR"/>
        <s v="MENDY"/>
        <s v="ADAT"/>
        <s v="KATYU"/>
        <s v="GÖLAMA"/>
        <s v="ZARKAR"/>
        <s v="CUNMA"/>
        <s v="USTERA"/>
      </sharedItems>
    </cacheField>
    <cacheField name="TARİH" numFmtId="164">
      <sharedItems containsSemiMixedTypes="0" containsNonDate="0" containsDate="1" containsString="0" minDate="2021-09-22T00:00:00" maxDate="2022-04-09T00:00:00" count="199"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</sharedItems>
      <fieldGroup par="10"/>
    </cacheField>
    <cacheField name="Bölge" numFmtId="164">
      <sharedItems/>
    </cacheField>
    <cacheField name="Şehir" numFmtId="0">
      <sharedItems count="13">
        <s v="Ankara"/>
        <s v="Konya"/>
        <s v="Kayseri"/>
        <s v="Eskişehir"/>
        <s v="Sivas"/>
        <s v="Kırıkkale"/>
        <s v="Aksaray"/>
        <s v="Karaman"/>
        <s v="Kırşehir"/>
        <s v="Niğde"/>
        <s v="Nevşehir"/>
        <s v="Yozgat"/>
        <s v="Çankırı"/>
      </sharedItems>
    </cacheField>
    <cacheField name="Ürün" numFmtId="0">
      <sharedItems count="14">
        <s v="Yazıcı"/>
        <s v="Drone"/>
        <s v="Kulaklık"/>
        <s v="Webcam"/>
        <s v="Televizyon"/>
        <s v="Hard Disk"/>
        <s v="Oyun Konsolu"/>
        <s v="Telefon"/>
        <s v="Klavye"/>
        <s v="Monitör"/>
        <s v="Mouse"/>
        <s v="Kamera"/>
        <s v="Laptop"/>
        <s v="Kartuş"/>
      </sharedItems>
    </cacheField>
    <cacheField name="Durum" numFmtId="0">
      <sharedItems count="2">
        <s v="Kargoda"/>
        <s v="Teslim Edildi"/>
      </sharedItems>
    </cacheField>
    <cacheField name="Adet" numFmtId="0">
      <sharedItems containsSemiMixedTypes="0" containsString="0" containsNumber="1" containsInteger="1" minValue="100" maxValue="497"/>
    </cacheField>
    <cacheField name="Toplam Satış TL" numFmtId="165">
      <sharedItems containsSemiMixedTypes="0" containsString="0" containsNumber="1" containsInteger="1" minValue="3357" maxValue="98050"/>
    </cacheField>
    <cacheField name="Ay (TARİH)" numFmtId="0" databaseField="0">
      <fieldGroup base="1">
        <rangePr groupBy="months" startDate="2021-09-22T00:00:00" endDate="2022-04-09T00:00:00"/>
        <groupItems count="14">
          <s v="&lt;9/22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9/2022"/>
        </groupItems>
      </fieldGroup>
    </cacheField>
    <cacheField name="Üç aylık dönem (TARİH)" numFmtId="0" databaseField="0">
      <fieldGroup base="1">
        <rangePr groupBy="quarters" startDate="2021-09-22T00:00:00" endDate="2022-04-09T00:00:00"/>
        <groupItems count="6">
          <s v="&lt;9/22/2021"/>
          <s v="Çey1"/>
          <s v="Çey2"/>
          <s v="Çey3"/>
          <s v="Çey4"/>
          <s v="&gt;4/9/2022"/>
        </groupItems>
      </fieldGroup>
    </cacheField>
    <cacheField name="Yıl (TARİH)" numFmtId="0" databaseField="0">
      <fieldGroup base="1">
        <rangePr groupBy="years" startDate="2021-09-22T00:00:00" endDate="2022-04-09T00:00:00"/>
        <groupItems count="4">
          <s v="&lt;9/22/2021"/>
          <s v="2021"/>
          <s v="2022"/>
          <s v="&gt;4/9/2022"/>
        </groupItems>
      </fieldGroup>
    </cacheField>
  </cacheFields>
  <extLst>
    <ext xmlns:x14="http://schemas.microsoft.com/office/spreadsheetml/2009/9/main" uri="{725AE2AE-9491-48be-B2B4-4EB974FC3084}">
      <x14:pivotCacheDefinition pivotCacheId="213476182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x v="0"/>
    <x v="0"/>
    <s v="İç Anadolu"/>
    <x v="0"/>
    <x v="0"/>
    <x v="0"/>
    <n v="485"/>
    <n v="55824"/>
  </r>
  <r>
    <x v="1"/>
    <x v="1"/>
    <s v="İç Anadolu"/>
    <x v="1"/>
    <x v="1"/>
    <x v="0"/>
    <n v="259"/>
    <n v="9335"/>
  </r>
  <r>
    <x v="2"/>
    <x v="2"/>
    <s v="İç Anadolu"/>
    <x v="2"/>
    <x v="2"/>
    <x v="0"/>
    <n v="480"/>
    <n v="25464"/>
  </r>
  <r>
    <x v="3"/>
    <x v="3"/>
    <s v="İç Anadolu"/>
    <x v="3"/>
    <x v="3"/>
    <x v="1"/>
    <n v="124"/>
    <n v="69232"/>
  </r>
  <r>
    <x v="4"/>
    <x v="4"/>
    <s v="İç Anadolu"/>
    <x v="4"/>
    <x v="4"/>
    <x v="0"/>
    <n v="152"/>
    <n v="64890"/>
  </r>
  <r>
    <x v="5"/>
    <x v="5"/>
    <s v="İç Anadolu"/>
    <x v="5"/>
    <x v="5"/>
    <x v="0"/>
    <n v="197"/>
    <n v="89360"/>
  </r>
  <r>
    <x v="6"/>
    <x v="6"/>
    <s v="İç Anadolu"/>
    <x v="6"/>
    <x v="6"/>
    <x v="1"/>
    <n v="251"/>
    <n v="39762"/>
  </r>
  <r>
    <x v="7"/>
    <x v="7"/>
    <s v="İç Anadolu"/>
    <x v="7"/>
    <x v="7"/>
    <x v="0"/>
    <n v="131"/>
    <n v="35584"/>
  </r>
  <r>
    <x v="8"/>
    <x v="8"/>
    <s v="İç Anadolu"/>
    <x v="8"/>
    <x v="4"/>
    <x v="0"/>
    <n v="492"/>
    <n v="45324"/>
  </r>
  <r>
    <x v="9"/>
    <x v="9"/>
    <s v="İç Anadolu"/>
    <x v="9"/>
    <x v="3"/>
    <x v="1"/>
    <n v="205"/>
    <n v="14934"/>
  </r>
  <r>
    <x v="10"/>
    <x v="10"/>
    <s v="İç Anadolu"/>
    <x v="10"/>
    <x v="6"/>
    <x v="0"/>
    <n v="395"/>
    <n v="83550"/>
  </r>
  <r>
    <x v="11"/>
    <x v="11"/>
    <s v="İç Anadolu"/>
    <x v="11"/>
    <x v="5"/>
    <x v="1"/>
    <n v="140"/>
    <n v="42104"/>
  </r>
  <r>
    <x v="12"/>
    <x v="12"/>
    <s v="İç Anadolu"/>
    <x v="12"/>
    <x v="2"/>
    <x v="0"/>
    <n v="172"/>
    <n v="26250"/>
  </r>
  <r>
    <x v="13"/>
    <x v="13"/>
    <s v="İç Anadolu"/>
    <x v="0"/>
    <x v="1"/>
    <x v="0"/>
    <n v="239"/>
    <n v="73953"/>
  </r>
  <r>
    <x v="14"/>
    <x v="14"/>
    <s v="İç Anadolu"/>
    <x v="1"/>
    <x v="7"/>
    <x v="1"/>
    <n v="124"/>
    <n v="63448"/>
  </r>
  <r>
    <x v="0"/>
    <x v="15"/>
    <s v="İç Anadolu"/>
    <x v="2"/>
    <x v="8"/>
    <x v="1"/>
    <n v="161"/>
    <n v="36450"/>
  </r>
  <r>
    <x v="1"/>
    <x v="16"/>
    <s v="İç Anadolu"/>
    <x v="3"/>
    <x v="9"/>
    <x v="1"/>
    <n v="454"/>
    <n v="13620"/>
  </r>
  <r>
    <x v="2"/>
    <x v="17"/>
    <s v="İç Anadolu"/>
    <x v="4"/>
    <x v="1"/>
    <x v="0"/>
    <n v="234"/>
    <n v="29656"/>
  </r>
  <r>
    <x v="3"/>
    <x v="18"/>
    <s v="İç Anadolu"/>
    <x v="5"/>
    <x v="4"/>
    <x v="0"/>
    <n v="438"/>
    <n v="53110"/>
  </r>
  <r>
    <x v="4"/>
    <x v="19"/>
    <s v="İç Anadolu"/>
    <x v="6"/>
    <x v="10"/>
    <x v="0"/>
    <n v="392"/>
    <n v="24568"/>
  </r>
  <r>
    <x v="5"/>
    <x v="20"/>
    <s v="İç Anadolu"/>
    <x v="7"/>
    <x v="11"/>
    <x v="1"/>
    <n v="125"/>
    <n v="26220"/>
  </r>
  <r>
    <x v="6"/>
    <x v="21"/>
    <s v="İç Anadolu"/>
    <x v="8"/>
    <x v="9"/>
    <x v="0"/>
    <n v="443"/>
    <n v="69755"/>
  </r>
  <r>
    <x v="7"/>
    <x v="22"/>
    <s v="İç Anadolu"/>
    <x v="9"/>
    <x v="12"/>
    <x v="0"/>
    <n v="269"/>
    <n v="77841"/>
  </r>
  <r>
    <x v="8"/>
    <x v="23"/>
    <s v="İç Anadolu"/>
    <x v="10"/>
    <x v="1"/>
    <x v="0"/>
    <n v="198"/>
    <n v="15632"/>
  </r>
  <r>
    <x v="9"/>
    <x v="24"/>
    <s v="İç Anadolu"/>
    <x v="11"/>
    <x v="7"/>
    <x v="1"/>
    <n v="417"/>
    <n v="39870"/>
  </r>
  <r>
    <x v="10"/>
    <x v="25"/>
    <s v="İç Anadolu"/>
    <x v="12"/>
    <x v="4"/>
    <x v="0"/>
    <n v="287"/>
    <n v="68089"/>
  </r>
  <r>
    <x v="11"/>
    <x v="26"/>
    <s v="İç Anadolu"/>
    <x v="0"/>
    <x v="9"/>
    <x v="0"/>
    <n v="283"/>
    <n v="13760"/>
  </r>
  <r>
    <x v="12"/>
    <x v="27"/>
    <s v="İç Anadolu"/>
    <x v="1"/>
    <x v="1"/>
    <x v="1"/>
    <n v="392"/>
    <n v="21906"/>
  </r>
  <r>
    <x v="13"/>
    <x v="28"/>
    <s v="İç Anadolu"/>
    <x v="2"/>
    <x v="13"/>
    <x v="0"/>
    <n v="268"/>
    <n v="27510"/>
  </r>
  <r>
    <x v="14"/>
    <x v="29"/>
    <s v="İç Anadolu"/>
    <x v="3"/>
    <x v="9"/>
    <x v="0"/>
    <n v="110"/>
    <n v="45234"/>
  </r>
  <r>
    <x v="0"/>
    <x v="30"/>
    <s v="İç Anadolu"/>
    <x v="4"/>
    <x v="6"/>
    <x v="1"/>
    <n v="405"/>
    <n v="16796"/>
  </r>
  <r>
    <x v="1"/>
    <x v="31"/>
    <s v="İç Anadolu"/>
    <x v="5"/>
    <x v="11"/>
    <x v="0"/>
    <n v="293"/>
    <n v="45936"/>
  </r>
  <r>
    <x v="2"/>
    <x v="32"/>
    <s v="İç Anadolu"/>
    <x v="6"/>
    <x v="4"/>
    <x v="0"/>
    <n v="211"/>
    <n v="19831"/>
  </r>
  <r>
    <x v="3"/>
    <x v="33"/>
    <s v="İç Anadolu"/>
    <x v="7"/>
    <x v="13"/>
    <x v="0"/>
    <n v="111"/>
    <n v="16308"/>
  </r>
  <r>
    <x v="4"/>
    <x v="34"/>
    <s v="İç Anadolu"/>
    <x v="8"/>
    <x v="4"/>
    <x v="1"/>
    <n v="362"/>
    <n v="25100"/>
  </r>
  <r>
    <x v="5"/>
    <x v="35"/>
    <s v="İç Anadolu"/>
    <x v="9"/>
    <x v="4"/>
    <x v="0"/>
    <n v="412"/>
    <n v="33320"/>
  </r>
  <r>
    <x v="6"/>
    <x v="36"/>
    <s v="İç Anadolu"/>
    <x v="10"/>
    <x v="8"/>
    <x v="0"/>
    <n v="389"/>
    <n v="36954"/>
  </r>
  <r>
    <x v="7"/>
    <x v="37"/>
    <s v="İç Anadolu"/>
    <x v="11"/>
    <x v="7"/>
    <x v="0"/>
    <n v="257"/>
    <n v="24640"/>
  </r>
  <r>
    <x v="8"/>
    <x v="38"/>
    <s v="İç Anadolu"/>
    <x v="12"/>
    <x v="11"/>
    <x v="1"/>
    <n v="258"/>
    <n v="21528"/>
  </r>
  <r>
    <x v="9"/>
    <x v="39"/>
    <s v="İç Anadolu"/>
    <x v="0"/>
    <x v="11"/>
    <x v="0"/>
    <n v="485"/>
    <n v="27837"/>
  </r>
  <r>
    <x v="10"/>
    <x v="40"/>
    <s v="İç Anadolu"/>
    <x v="1"/>
    <x v="11"/>
    <x v="0"/>
    <n v="330"/>
    <n v="77448"/>
  </r>
  <r>
    <x v="11"/>
    <x v="41"/>
    <s v="İç Anadolu"/>
    <x v="2"/>
    <x v="0"/>
    <x v="0"/>
    <n v="220"/>
    <n v="11502"/>
  </r>
  <r>
    <x v="12"/>
    <x v="42"/>
    <s v="İç Anadolu"/>
    <x v="3"/>
    <x v="13"/>
    <x v="0"/>
    <n v="442"/>
    <n v="75530"/>
  </r>
  <r>
    <x v="13"/>
    <x v="43"/>
    <s v="İç Anadolu"/>
    <x v="4"/>
    <x v="8"/>
    <x v="1"/>
    <n v="344"/>
    <n v="34640"/>
  </r>
  <r>
    <x v="14"/>
    <x v="44"/>
    <s v="İç Anadolu"/>
    <x v="5"/>
    <x v="11"/>
    <x v="0"/>
    <n v="489"/>
    <n v="6450"/>
  </r>
  <r>
    <x v="0"/>
    <x v="45"/>
    <s v="İç Anadolu"/>
    <x v="6"/>
    <x v="1"/>
    <x v="0"/>
    <n v="309"/>
    <n v="69968"/>
  </r>
  <r>
    <x v="1"/>
    <x v="46"/>
    <s v="İç Anadolu"/>
    <x v="7"/>
    <x v="3"/>
    <x v="0"/>
    <n v="163"/>
    <n v="33615"/>
  </r>
  <r>
    <x v="2"/>
    <x v="47"/>
    <s v="İç Anadolu"/>
    <x v="8"/>
    <x v="10"/>
    <x v="0"/>
    <n v="408"/>
    <n v="52670"/>
  </r>
  <r>
    <x v="3"/>
    <x v="48"/>
    <s v="İç Anadolu"/>
    <x v="9"/>
    <x v="0"/>
    <x v="1"/>
    <n v="497"/>
    <n v="52310"/>
  </r>
  <r>
    <x v="4"/>
    <x v="49"/>
    <s v="İç Anadolu"/>
    <x v="10"/>
    <x v="1"/>
    <x v="0"/>
    <n v="100"/>
    <n v="45078"/>
  </r>
  <r>
    <x v="5"/>
    <x v="50"/>
    <s v="İç Anadolu"/>
    <x v="11"/>
    <x v="9"/>
    <x v="0"/>
    <n v="310"/>
    <n v="21133"/>
  </r>
  <r>
    <x v="6"/>
    <x v="51"/>
    <s v="İç Anadolu"/>
    <x v="12"/>
    <x v="2"/>
    <x v="0"/>
    <n v="399"/>
    <n v="27624"/>
  </r>
  <r>
    <x v="7"/>
    <x v="52"/>
    <s v="İç Anadolu"/>
    <x v="0"/>
    <x v="2"/>
    <x v="0"/>
    <n v="363"/>
    <n v="29230"/>
  </r>
  <r>
    <x v="8"/>
    <x v="53"/>
    <s v="İç Anadolu"/>
    <x v="1"/>
    <x v="9"/>
    <x v="0"/>
    <n v="301"/>
    <n v="38832"/>
  </r>
  <r>
    <x v="9"/>
    <x v="54"/>
    <s v="İç Anadolu"/>
    <x v="2"/>
    <x v="0"/>
    <x v="1"/>
    <n v="382"/>
    <n v="31870"/>
  </r>
  <r>
    <x v="10"/>
    <x v="55"/>
    <s v="İç Anadolu"/>
    <x v="3"/>
    <x v="12"/>
    <x v="0"/>
    <n v="314"/>
    <n v="37688"/>
  </r>
  <r>
    <x v="11"/>
    <x v="56"/>
    <s v="İç Anadolu"/>
    <x v="4"/>
    <x v="0"/>
    <x v="0"/>
    <n v="209"/>
    <n v="25084"/>
  </r>
  <r>
    <x v="12"/>
    <x v="57"/>
    <s v="İç Anadolu"/>
    <x v="5"/>
    <x v="8"/>
    <x v="0"/>
    <n v="129"/>
    <n v="36144"/>
  </r>
  <r>
    <x v="13"/>
    <x v="58"/>
    <s v="İç Anadolu"/>
    <x v="6"/>
    <x v="2"/>
    <x v="0"/>
    <n v="207"/>
    <n v="6550"/>
  </r>
  <r>
    <x v="14"/>
    <x v="59"/>
    <s v="İç Anadolu"/>
    <x v="7"/>
    <x v="5"/>
    <x v="0"/>
    <n v="205"/>
    <n v="18240"/>
  </r>
  <r>
    <x v="0"/>
    <x v="60"/>
    <s v="İç Anadolu"/>
    <x v="8"/>
    <x v="10"/>
    <x v="1"/>
    <n v="339"/>
    <n v="31032"/>
  </r>
  <r>
    <x v="1"/>
    <x v="61"/>
    <s v="İç Anadolu"/>
    <x v="9"/>
    <x v="9"/>
    <x v="0"/>
    <n v="276"/>
    <n v="19443"/>
  </r>
  <r>
    <x v="2"/>
    <x v="62"/>
    <s v="İç Anadolu"/>
    <x v="10"/>
    <x v="2"/>
    <x v="0"/>
    <n v="260"/>
    <n v="9747"/>
  </r>
  <r>
    <x v="3"/>
    <x v="63"/>
    <s v="İç Anadolu"/>
    <x v="11"/>
    <x v="12"/>
    <x v="0"/>
    <n v="415"/>
    <n v="67976"/>
  </r>
  <r>
    <x v="4"/>
    <x v="64"/>
    <s v="İç Anadolu"/>
    <x v="12"/>
    <x v="10"/>
    <x v="0"/>
    <n v="455"/>
    <n v="12912"/>
  </r>
  <r>
    <x v="5"/>
    <x v="65"/>
    <s v="İç Anadolu"/>
    <x v="0"/>
    <x v="10"/>
    <x v="0"/>
    <n v="335"/>
    <n v="13376"/>
  </r>
  <r>
    <x v="6"/>
    <x v="66"/>
    <s v="İç Anadolu"/>
    <x v="1"/>
    <x v="12"/>
    <x v="1"/>
    <n v="493"/>
    <n v="45954"/>
  </r>
  <r>
    <x v="7"/>
    <x v="67"/>
    <s v="İç Anadolu"/>
    <x v="2"/>
    <x v="0"/>
    <x v="0"/>
    <n v="178"/>
    <n v="7441"/>
  </r>
  <r>
    <x v="8"/>
    <x v="68"/>
    <s v="İç Anadolu"/>
    <x v="3"/>
    <x v="5"/>
    <x v="0"/>
    <n v="286"/>
    <n v="27256"/>
  </r>
  <r>
    <x v="9"/>
    <x v="69"/>
    <s v="İç Anadolu"/>
    <x v="4"/>
    <x v="9"/>
    <x v="0"/>
    <n v="114"/>
    <n v="13370"/>
  </r>
  <r>
    <x v="10"/>
    <x v="70"/>
    <s v="İç Anadolu"/>
    <x v="5"/>
    <x v="6"/>
    <x v="0"/>
    <n v="393"/>
    <n v="16250"/>
  </r>
  <r>
    <x v="11"/>
    <x v="71"/>
    <s v="İç Anadolu"/>
    <x v="6"/>
    <x v="5"/>
    <x v="0"/>
    <n v="369"/>
    <n v="19206"/>
  </r>
  <r>
    <x v="12"/>
    <x v="72"/>
    <s v="İç Anadolu"/>
    <x v="7"/>
    <x v="10"/>
    <x v="1"/>
    <n v="486"/>
    <n v="34002"/>
  </r>
  <r>
    <x v="13"/>
    <x v="73"/>
    <s v="İç Anadolu"/>
    <x v="8"/>
    <x v="9"/>
    <x v="0"/>
    <n v="343"/>
    <n v="28836"/>
  </r>
  <r>
    <x v="14"/>
    <x v="74"/>
    <s v="İç Anadolu"/>
    <x v="9"/>
    <x v="12"/>
    <x v="0"/>
    <n v="201"/>
    <n v="76248"/>
  </r>
  <r>
    <x v="0"/>
    <x v="75"/>
    <s v="İç Anadolu"/>
    <x v="10"/>
    <x v="1"/>
    <x v="0"/>
    <n v="479"/>
    <n v="89180"/>
  </r>
  <r>
    <x v="1"/>
    <x v="76"/>
    <s v="İç Anadolu"/>
    <x v="11"/>
    <x v="13"/>
    <x v="0"/>
    <n v="389"/>
    <n v="55314"/>
  </r>
  <r>
    <x v="2"/>
    <x v="77"/>
    <s v="İç Anadolu"/>
    <x v="12"/>
    <x v="13"/>
    <x v="0"/>
    <n v="275"/>
    <n v="8864"/>
  </r>
  <r>
    <x v="3"/>
    <x v="78"/>
    <s v="İç Anadolu"/>
    <x v="0"/>
    <x v="1"/>
    <x v="0"/>
    <n v="293"/>
    <n v="26155"/>
  </r>
  <r>
    <x v="4"/>
    <x v="79"/>
    <s v="İç Anadolu"/>
    <x v="1"/>
    <x v="10"/>
    <x v="1"/>
    <n v="404"/>
    <n v="4084"/>
  </r>
  <r>
    <x v="5"/>
    <x v="80"/>
    <s v="İç Anadolu"/>
    <x v="2"/>
    <x v="0"/>
    <x v="0"/>
    <n v="490"/>
    <n v="23862"/>
  </r>
  <r>
    <x v="6"/>
    <x v="81"/>
    <s v="İç Anadolu"/>
    <x v="3"/>
    <x v="9"/>
    <x v="0"/>
    <n v="366"/>
    <n v="15702"/>
  </r>
  <r>
    <x v="7"/>
    <x v="82"/>
    <s v="İç Anadolu"/>
    <x v="4"/>
    <x v="4"/>
    <x v="0"/>
    <n v="328"/>
    <n v="11120"/>
  </r>
  <r>
    <x v="8"/>
    <x v="83"/>
    <s v="İç Anadolu"/>
    <x v="5"/>
    <x v="12"/>
    <x v="0"/>
    <n v="386"/>
    <n v="6537"/>
  </r>
  <r>
    <x v="9"/>
    <x v="84"/>
    <s v="İç Anadolu"/>
    <x v="6"/>
    <x v="6"/>
    <x v="0"/>
    <n v="404"/>
    <n v="51600"/>
  </r>
  <r>
    <x v="10"/>
    <x v="85"/>
    <s v="İç Anadolu"/>
    <x v="7"/>
    <x v="2"/>
    <x v="0"/>
    <n v="488"/>
    <n v="40912"/>
  </r>
  <r>
    <x v="11"/>
    <x v="86"/>
    <s v="İç Anadolu"/>
    <x v="8"/>
    <x v="8"/>
    <x v="1"/>
    <n v="343"/>
    <n v="31672"/>
  </r>
  <r>
    <x v="12"/>
    <x v="87"/>
    <s v="İç Anadolu"/>
    <x v="9"/>
    <x v="12"/>
    <x v="0"/>
    <n v="442"/>
    <n v="57688"/>
  </r>
  <r>
    <x v="13"/>
    <x v="88"/>
    <s v="İç Anadolu"/>
    <x v="10"/>
    <x v="4"/>
    <x v="0"/>
    <n v="348"/>
    <n v="14400"/>
  </r>
  <r>
    <x v="14"/>
    <x v="89"/>
    <s v="İç Anadolu"/>
    <x v="11"/>
    <x v="13"/>
    <x v="0"/>
    <n v="406"/>
    <n v="58760"/>
  </r>
  <r>
    <x v="0"/>
    <x v="90"/>
    <s v="İç Anadolu"/>
    <x v="12"/>
    <x v="8"/>
    <x v="0"/>
    <n v="225"/>
    <n v="11675"/>
  </r>
  <r>
    <x v="1"/>
    <x v="91"/>
    <s v="İç Anadolu"/>
    <x v="0"/>
    <x v="13"/>
    <x v="0"/>
    <n v="295"/>
    <n v="31581"/>
  </r>
  <r>
    <x v="2"/>
    <x v="92"/>
    <s v="İç Anadolu"/>
    <x v="1"/>
    <x v="7"/>
    <x v="0"/>
    <n v="193"/>
    <n v="13084"/>
  </r>
  <r>
    <x v="3"/>
    <x v="93"/>
    <s v="İç Anadolu"/>
    <x v="2"/>
    <x v="5"/>
    <x v="1"/>
    <n v="291"/>
    <n v="39135"/>
  </r>
  <r>
    <x v="4"/>
    <x v="94"/>
    <s v="İç Anadolu"/>
    <x v="3"/>
    <x v="10"/>
    <x v="0"/>
    <n v="229"/>
    <n v="41100"/>
  </r>
  <r>
    <x v="5"/>
    <x v="95"/>
    <s v="İç Anadolu"/>
    <x v="4"/>
    <x v="11"/>
    <x v="0"/>
    <n v="264"/>
    <n v="57342"/>
  </r>
  <r>
    <x v="6"/>
    <x v="96"/>
    <s v="İç Anadolu"/>
    <x v="5"/>
    <x v="1"/>
    <x v="0"/>
    <n v="155"/>
    <n v="21132"/>
  </r>
  <r>
    <x v="7"/>
    <x v="97"/>
    <s v="İç Anadolu"/>
    <x v="6"/>
    <x v="11"/>
    <x v="0"/>
    <n v="414"/>
    <n v="61649"/>
  </r>
  <r>
    <x v="8"/>
    <x v="98"/>
    <s v="İç Anadolu"/>
    <x v="7"/>
    <x v="8"/>
    <x v="0"/>
    <n v="250"/>
    <n v="98050"/>
  </r>
  <r>
    <x v="9"/>
    <x v="99"/>
    <s v="İç Anadolu"/>
    <x v="8"/>
    <x v="12"/>
    <x v="0"/>
    <n v="259"/>
    <n v="13276"/>
  </r>
  <r>
    <x v="10"/>
    <x v="100"/>
    <s v="İç Anadolu"/>
    <x v="9"/>
    <x v="12"/>
    <x v="1"/>
    <n v="275"/>
    <n v="34856"/>
  </r>
  <r>
    <x v="11"/>
    <x v="101"/>
    <s v="İç Anadolu"/>
    <x v="10"/>
    <x v="13"/>
    <x v="0"/>
    <n v="113"/>
    <n v="13392"/>
  </r>
  <r>
    <x v="12"/>
    <x v="102"/>
    <s v="İç Anadolu"/>
    <x v="11"/>
    <x v="0"/>
    <x v="0"/>
    <n v="268"/>
    <n v="29490"/>
  </r>
  <r>
    <x v="13"/>
    <x v="103"/>
    <s v="İç Anadolu"/>
    <x v="12"/>
    <x v="9"/>
    <x v="0"/>
    <n v="195"/>
    <n v="25299"/>
  </r>
  <r>
    <x v="14"/>
    <x v="104"/>
    <s v="İç Anadolu"/>
    <x v="0"/>
    <x v="5"/>
    <x v="0"/>
    <n v="130"/>
    <n v="3357"/>
  </r>
  <r>
    <x v="0"/>
    <x v="105"/>
    <s v="İç Anadolu"/>
    <x v="1"/>
    <x v="4"/>
    <x v="0"/>
    <n v="201"/>
    <n v="79983"/>
  </r>
  <r>
    <x v="1"/>
    <x v="106"/>
    <s v="İç Anadolu"/>
    <x v="2"/>
    <x v="2"/>
    <x v="0"/>
    <n v="260"/>
    <n v="22092"/>
  </r>
  <r>
    <x v="2"/>
    <x v="107"/>
    <s v="İç Anadolu"/>
    <x v="3"/>
    <x v="6"/>
    <x v="0"/>
    <n v="227"/>
    <n v="6152"/>
  </r>
  <r>
    <x v="3"/>
    <x v="108"/>
    <s v="İç Anadolu"/>
    <x v="4"/>
    <x v="9"/>
    <x v="0"/>
    <n v="300"/>
    <n v="35325"/>
  </r>
  <r>
    <x v="4"/>
    <x v="109"/>
    <s v="İç Anadolu"/>
    <x v="5"/>
    <x v="9"/>
    <x v="0"/>
    <n v="369"/>
    <n v="39970"/>
  </r>
  <r>
    <x v="5"/>
    <x v="110"/>
    <s v="İç Anadolu"/>
    <x v="6"/>
    <x v="6"/>
    <x v="0"/>
    <n v="304"/>
    <n v="43326"/>
  </r>
  <r>
    <x v="6"/>
    <x v="111"/>
    <s v="İç Anadolu"/>
    <x v="7"/>
    <x v="1"/>
    <x v="1"/>
    <n v="210"/>
    <n v="9729"/>
  </r>
  <r>
    <x v="7"/>
    <x v="112"/>
    <s v="İç Anadolu"/>
    <x v="8"/>
    <x v="3"/>
    <x v="1"/>
    <n v="287"/>
    <n v="69776"/>
  </r>
  <r>
    <x v="8"/>
    <x v="113"/>
    <s v="İç Anadolu"/>
    <x v="9"/>
    <x v="11"/>
    <x v="1"/>
    <n v="384"/>
    <n v="60030"/>
  </r>
  <r>
    <x v="9"/>
    <x v="114"/>
    <s v="İç Anadolu"/>
    <x v="10"/>
    <x v="8"/>
    <x v="1"/>
    <n v="221"/>
    <n v="38322"/>
  </r>
  <r>
    <x v="10"/>
    <x v="115"/>
    <s v="İç Anadolu"/>
    <x v="11"/>
    <x v="13"/>
    <x v="1"/>
    <n v="268"/>
    <n v="14028"/>
  </r>
  <r>
    <x v="11"/>
    <x v="116"/>
    <s v="İç Anadolu"/>
    <x v="12"/>
    <x v="13"/>
    <x v="0"/>
    <n v="490"/>
    <n v="77288"/>
  </r>
  <r>
    <x v="12"/>
    <x v="117"/>
    <s v="İç Anadolu"/>
    <x v="0"/>
    <x v="11"/>
    <x v="0"/>
    <n v="462"/>
    <n v="26946"/>
  </r>
  <r>
    <x v="13"/>
    <x v="118"/>
    <s v="İç Anadolu"/>
    <x v="1"/>
    <x v="12"/>
    <x v="0"/>
    <n v="338"/>
    <n v="37200"/>
  </r>
  <r>
    <x v="14"/>
    <x v="119"/>
    <s v="İç Anadolu"/>
    <x v="2"/>
    <x v="9"/>
    <x v="0"/>
    <n v="417"/>
    <n v="34083"/>
  </r>
  <r>
    <x v="0"/>
    <x v="120"/>
    <s v="İç Anadolu"/>
    <x v="3"/>
    <x v="1"/>
    <x v="1"/>
    <n v="344"/>
    <n v="60200"/>
  </r>
  <r>
    <x v="1"/>
    <x v="121"/>
    <s v="İç Anadolu"/>
    <x v="4"/>
    <x v="6"/>
    <x v="0"/>
    <n v="122"/>
    <n v="11613"/>
  </r>
  <r>
    <x v="2"/>
    <x v="122"/>
    <s v="İç Anadolu"/>
    <x v="5"/>
    <x v="11"/>
    <x v="0"/>
    <n v="305"/>
    <n v="26125"/>
  </r>
  <r>
    <x v="3"/>
    <x v="123"/>
    <s v="İç Anadolu"/>
    <x v="6"/>
    <x v="7"/>
    <x v="0"/>
    <n v="291"/>
    <n v="94780"/>
  </r>
  <r>
    <x v="4"/>
    <x v="124"/>
    <s v="İç Anadolu"/>
    <x v="7"/>
    <x v="10"/>
    <x v="1"/>
    <n v="304"/>
    <n v="29826"/>
  </r>
  <r>
    <x v="5"/>
    <x v="125"/>
    <s v="İç Anadolu"/>
    <x v="8"/>
    <x v="3"/>
    <x v="1"/>
    <n v="112"/>
    <n v="28413"/>
  </r>
  <r>
    <x v="6"/>
    <x v="126"/>
    <s v="İç Anadolu"/>
    <x v="9"/>
    <x v="4"/>
    <x v="1"/>
    <n v="296"/>
    <n v="36580"/>
  </r>
  <r>
    <x v="7"/>
    <x v="127"/>
    <s v="İç Anadolu"/>
    <x v="10"/>
    <x v="11"/>
    <x v="1"/>
    <n v="279"/>
    <n v="19327"/>
  </r>
  <r>
    <x v="8"/>
    <x v="128"/>
    <s v="İç Anadolu"/>
    <x v="11"/>
    <x v="0"/>
    <x v="1"/>
    <n v="359"/>
    <n v="10620"/>
  </r>
  <r>
    <x v="9"/>
    <x v="129"/>
    <s v="İç Anadolu"/>
    <x v="12"/>
    <x v="10"/>
    <x v="0"/>
    <n v="299"/>
    <n v="33813"/>
  </r>
  <r>
    <x v="10"/>
    <x v="130"/>
    <s v="İç Anadolu"/>
    <x v="0"/>
    <x v="4"/>
    <x v="0"/>
    <n v="402"/>
    <n v="42504"/>
  </r>
  <r>
    <x v="11"/>
    <x v="131"/>
    <s v="İç Anadolu"/>
    <x v="1"/>
    <x v="9"/>
    <x v="0"/>
    <n v="379"/>
    <n v="26545"/>
  </r>
  <r>
    <x v="12"/>
    <x v="132"/>
    <s v="İç Anadolu"/>
    <x v="2"/>
    <x v="0"/>
    <x v="0"/>
    <n v="377"/>
    <n v="17128"/>
  </r>
  <r>
    <x v="13"/>
    <x v="133"/>
    <s v="İç Anadolu"/>
    <x v="3"/>
    <x v="3"/>
    <x v="0"/>
    <n v="158"/>
    <n v="73629"/>
  </r>
  <r>
    <x v="14"/>
    <x v="134"/>
    <s v="İç Anadolu"/>
    <x v="4"/>
    <x v="0"/>
    <x v="0"/>
    <n v="191"/>
    <n v="7693"/>
  </r>
  <r>
    <x v="0"/>
    <x v="135"/>
    <s v="İç Anadolu"/>
    <x v="5"/>
    <x v="10"/>
    <x v="1"/>
    <n v="228"/>
    <n v="38175"/>
  </r>
  <r>
    <x v="1"/>
    <x v="136"/>
    <s v="İç Anadolu"/>
    <x v="6"/>
    <x v="2"/>
    <x v="1"/>
    <n v="220"/>
    <n v="26142"/>
  </r>
  <r>
    <x v="2"/>
    <x v="137"/>
    <s v="İç Anadolu"/>
    <x v="7"/>
    <x v="5"/>
    <x v="1"/>
    <n v="466"/>
    <n v="33732"/>
  </r>
  <r>
    <x v="3"/>
    <x v="138"/>
    <s v="İç Anadolu"/>
    <x v="8"/>
    <x v="13"/>
    <x v="1"/>
    <n v="486"/>
    <n v="67536"/>
  </r>
  <r>
    <x v="4"/>
    <x v="139"/>
    <s v="İç Anadolu"/>
    <x v="9"/>
    <x v="9"/>
    <x v="1"/>
    <n v="169"/>
    <n v="63770"/>
  </r>
  <r>
    <x v="5"/>
    <x v="140"/>
    <s v="İç Anadolu"/>
    <x v="10"/>
    <x v="12"/>
    <x v="1"/>
    <n v="357"/>
    <n v="9060"/>
  </r>
  <r>
    <x v="6"/>
    <x v="141"/>
    <s v="İç Anadolu"/>
    <x v="11"/>
    <x v="5"/>
    <x v="0"/>
    <n v="218"/>
    <n v="8934"/>
  </r>
  <r>
    <x v="7"/>
    <x v="142"/>
    <s v="İç Anadolu"/>
    <x v="12"/>
    <x v="6"/>
    <x v="0"/>
    <n v="362"/>
    <n v="58896"/>
  </r>
  <r>
    <x v="8"/>
    <x v="143"/>
    <s v="İç Anadolu"/>
    <x v="0"/>
    <x v="7"/>
    <x v="0"/>
    <n v="151"/>
    <n v="24200"/>
  </r>
  <r>
    <x v="9"/>
    <x v="144"/>
    <s v="İç Anadolu"/>
    <x v="1"/>
    <x v="12"/>
    <x v="0"/>
    <n v="148"/>
    <n v="60599"/>
  </r>
  <r>
    <x v="10"/>
    <x v="145"/>
    <s v="İç Anadolu"/>
    <x v="2"/>
    <x v="7"/>
    <x v="1"/>
    <n v="487"/>
    <n v="89973"/>
  </r>
  <r>
    <x v="11"/>
    <x v="146"/>
    <s v="İç Anadolu"/>
    <x v="3"/>
    <x v="5"/>
    <x v="1"/>
    <n v="438"/>
    <n v="26136"/>
  </r>
  <r>
    <x v="12"/>
    <x v="147"/>
    <s v="İç Anadolu"/>
    <x v="4"/>
    <x v="2"/>
    <x v="1"/>
    <n v="467"/>
    <n v="13689"/>
  </r>
  <r>
    <x v="13"/>
    <x v="148"/>
    <s v="İç Anadolu"/>
    <x v="5"/>
    <x v="8"/>
    <x v="1"/>
    <n v="403"/>
    <n v="33764"/>
  </r>
  <r>
    <x v="14"/>
    <x v="149"/>
    <s v="İç Anadolu"/>
    <x v="6"/>
    <x v="8"/>
    <x v="1"/>
    <n v="199"/>
    <n v="36075"/>
  </r>
  <r>
    <x v="0"/>
    <x v="150"/>
    <s v="İç Anadolu"/>
    <x v="7"/>
    <x v="0"/>
    <x v="0"/>
    <n v="386"/>
    <n v="39840"/>
  </r>
  <r>
    <x v="1"/>
    <x v="151"/>
    <s v="İç Anadolu"/>
    <x v="8"/>
    <x v="11"/>
    <x v="0"/>
    <n v="401"/>
    <n v="51084"/>
  </r>
  <r>
    <x v="2"/>
    <x v="152"/>
    <s v="İç Anadolu"/>
    <x v="9"/>
    <x v="7"/>
    <x v="0"/>
    <n v="466"/>
    <n v="16230"/>
  </r>
  <r>
    <x v="3"/>
    <x v="153"/>
    <s v="İç Anadolu"/>
    <x v="10"/>
    <x v="0"/>
    <x v="0"/>
    <n v="346"/>
    <n v="37536"/>
  </r>
  <r>
    <x v="4"/>
    <x v="154"/>
    <s v="İç Anadolu"/>
    <x v="11"/>
    <x v="12"/>
    <x v="0"/>
    <n v="477"/>
    <n v="49420"/>
  </r>
  <r>
    <x v="5"/>
    <x v="155"/>
    <s v="İç Anadolu"/>
    <x v="12"/>
    <x v="7"/>
    <x v="0"/>
    <n v="289"/>
    <n v="7560"/>
  </r>
  <r>
    <x v="6"/>
    <x v="156"/>
    <s v="İç Anadolu"/>
    <x v="0"/>
    <x v="8"/>
    <x v="1"/>
    <n v="113"/>
    <n v="36883"/>
  </r>
  <r>
    <x v="7"/>
    <x v="157"/>
    <s v="İç Anadolu"/>
    <x v="1"/>
    <x v="8"/>
    <x v="1"/>
    <n v="236"/>
    <n v="31344"/>
  </r>
  <r>
    <x v="8"/>
    <x v="158"/>
    <s v="İç Anadolu"/>
    <x v="2"/>
    <x v="10"/>
    <x v="1"/>
    <n v="404"/>
    <n v="54264"/>
  </r>
  <r>
    <x v="9"/>
    <x v="159"/>
    <s v="İç Anadolu"/>
    <x v="3"/>
    <x v="13"/>
    <x v="1"/>
    <n v="355"/>
    <n v="42905"/>
  </r>
  <r>
    <x v="10"/>
    <x v="160"/>
    <s v="İç Anadolu"/>
    <x v="4"/>
    <x v="0"/>
    <x v="1"/>
    <n v="393"/>
    <n v="70320"/>
  </r>
  <r>
    <x v="11"/>
    <x v="161"/>
    <s v="İç Anadolu"/>
    <x v="5"/>
    <x v="0"/>
    <x v="1"/>
    <n v="181"/>
    <n v="66008"/>
  </r>
  <r>
    <x v="12"/>
    <x v="162"/>
    <s v="İç Anadolu"/>
    <x v="6"/>
    <x v="2"/>
    <x v="1"/>
    <n v="402"/>
    <n v="33576"/>
  </r>
  <r>
    <x v="13"/>
    <x v="163"/>
    <s v="İç Anadolu"/>
    <x v="7"/>
    <x v="5"/>
    <x v="1"/>
    <n v="426"/>
    <n v="46224"/>
  </r>
  <r>
    <x v="14"/>
    <x v="164"/>
    <s v="İç Anadolu"/>
    <x v="8"/>
    <x v="3"/>
    <x v="0"/>
    <n v="296"/>
    <n v="19881"/>
  </r>
  <r>
    <x v="0"/>
    <x v="165"/>
    <s v="İç Anadolu"/>
    <x v="9"/>
    <x v="11"/>
    <x v="0"/>
    <n v="102"/>
    <n v="56034"/>
  </r>
  <r>
    <x v="1"/>
    <x v="166"/>
    <s v="İç Anadolu"/>
    <x v="10"/>
    <x v="3"/>
    <x v="0"/>
    <n v="302"/>
    <n v="59778"/>
  </r>
  <r>
    <x v="2"/>
    <x v="167"/>
    <s v="İç Anadolu"/>
    <x v="11"/>
    <x v="8"/>
    <x v="0"/>
    <n v="216"/>
    <n v="61082"/>
  </r>
  <r>
    <x v="3"/>
    <x v="168"/>
    <s v="İç Anadolu"/>
    <x v="12"/>
    <x v="4"/>
    <x v="0"/>
    <n v="125"/>
    <n v="46530"/>
  </r>
  <r>
    <x v="4"/>
    <x v="169"/>
    <s v="İç Anadolu"/>
    <x v="0"/>
    <x v="10"/>
    <x v="0"/>
    <n v="259"/>
    <n v="43536"/>
  </r>
  <r>
    <x v="5"/>
    <x v="170"/>
    <s v="İç Anadolu"/>
    <x v="1"/>
    <x v="2"/>
    <x v="1"/>
    <n v="345"/>
    <n v="26868"/>
  </r>
  <r>
    <x v="6"/>
    <x v="171"/>
    <s v="İç Anadolu"/>
    <x v="2"/>
    <x v="10"/>
    <x v="1"/>
    <n v="210"/>
    <n v="14056"/>
  </r>
  <r>
    <x v="7"/>
    <x v="172"/>
    <s v="İç Anadolu"/>
    <x v="3"/>
    <x v="5"/>
    <x v="0"/>
    <n v="163"/>
    <n v="70911"/>
  </r>
  <r>
    <x v="8"/>
    <x v="173"/>
    <s v="İç Anadolu"/>
    <x v="4"/>
    <x v="2"/>
    <x v="0"/>
    <n v="221"/>
    <n v="5450"/>
  </r>
  <r>
    <x v="9"/>
    <x v="174"/>
    <s v="İç Anadolu"/>
    <x v="5"/>
    <x v="12"/>
    <x v="0"/>
    <n v="356"/>
    <n v="50512"/>
  </r>
  <r>
    <x v="10"/>
    <x v="175"/>
    <s v="İç Anadolu"/>
    <x v="6"/>
    <x v="6"/>
    <x v="0"/>
    <n v="317"/>
    <n v="63150"/>
  </r>
  <r>
    <x v="11"/>
    <x v="176"/>
    <s v="İç Anadolu"/>
    <x v="7"/>
    <x v="4"/>
    <x v="0"/>
    <n v="479"/>
    <n v="76581"/>
  </r>
  <r>
    <x v="12"/>
    <x v="177"/>
    <s v="İç Anadolu"/>
    <x v="8"/>
    <x v="5"/>
    <x v="1"/>
    <n v="330"/>
    <n v="7770"/>
  </r>
  <r>
    <x v="13"/>
    <x v="178"/>
    <s v="İç Anadolu"/>
    <x v="9"/>
    <x v="5"/>
    <x v="1"/>
    <n v="374"/>
    <n v="36906"/>
  </r>
  <r>
    <x v="14"/>
    <x v="179"/>
    <s v="İç Anadolu"/>
    <x v="10"/>
    <x v="1"/>
    <x v="1"/>
    <n v="110"/>
    <n v="21840"/>
  </r>
  <r>
    <x v="0"/>
    <x v="180"/>
    <s v="İç Anadolu"/>
    <x v="11"/>
    <x v="13"/>
    <x v="1"/>
    <n v="219"/>
    <n v="33370"/>
  </r>
  <r>
    <x v="1"/>
    <x v="181"/>
    <s v="İç Anadolu"/>
    <x v="12"/>
    <x v="10"/>
    <x v="1"/>
    <n v="257"/>
    <n v="18776"/>
  </r>
  <r>
    <x v="2"/>
    <x v="182"/>
    <s v="İç Anadolu"/>
    <x v="0"/>
    <x v="0"/>
    <x v="1"/>
    <n v="240"/>
    <n v="31908"/>
  </r>
  <r>
    <x v="3"/>
    <x v="183"/>
    <s v="İç Anadolu"/>
    <x v="1"/>
    <x v="10"/>
    <x v="1"/>
    <n v="384"/>
    <n v="9688"/>
  </r>
  <r>
    <x v="4"/>
    <x v="184"/>
    <s v="İç Anadolu"/>
    <x v="2"/>
    <x v="0"/>
    <x v="1"/>
    <n v="182"/>
    <n v="53746"/>
  </r>
  <r>
    <x v="5"/>
    <x v="185"/>
    <s v="İç Anadolu"/>
    <x v="3"/>
    <x v="4"/>
    <x v="1"/>
    <n v="206"/>
    <n v="13914"/>
  </r>
  <r>
    <x v="6"/>
    <x v="186"/>
    <s v="İç Anadolu"/>
    <x v="4"/>
    <x v="10"/>
    <x v="1"/>
    <n v="223"/>
    <n v="20675"/>
  </r>
  <r>
    <x v="7"/>
    <x v="187"/>
    <s v="İç Anadolu"/>
    <x v="5"/>
    <x v="9"/>
    <x v="1"/>
    <n v="123"/>
    <n v="47820"/>
  </r>
  <r>
    <x v="8"/>
    <x v="188"/>
    <s v="İç Anadolu"/>
    <x v="6"/>
    <x v="5"/>
    <x v="0"/>
    <n v="351"/>
    <n v="30670"/>
  </r>
  <r>
    <x v="9"/>
    <x v="189"/>
    <s v="İç Anadolu"/>
    <x v="7"/>
    <x v="11"/>
    <x v="0"/>
    <n v="345"/>
    <n v="36432"/>
  </r>
  <r>
    <x v="10"/>
    <x v="190"/>
    <s v="İç Anadolu"/>
    <x v="8"/>
    <x v="2"/>
    <x v="1"/>
    <n v="467"/>
    <n v="15525"/>
  </r>
  <r>
    <x v="11"/>
    <x v="191"/>
    <s v="İç Anadolu"/>
    <x v="9"/>
    <x v="10"/>
    <x v="1"/>
    <n v="144"/>
    <n v="25730"/>
  </r>
  <r>
    <x v="12"/>
    <x v="192"/>
    <s v="İç Anadolu"/>
    <x v="10"/>
    <x v="4"/>
    <x v="0"/>
    <n v="210"/>
    <n v="26514"/>
  </r>
  <r>
    <x v="13"/>
    <x v="193"/>
    <s v="İç Anadolu"/>
    <x v="11"/>
    <x v="9"/>
    <x v="0"/>
    <n v="293"/>
    <n v="34935"/>
  </r>
  <r>
    <x v="14"/>
    <x v="194"/>
    <s v="İç Anadolu"/>
    <x v="12"/>
    <x v="8"/>
    <x v="0"/>
    <n v="250"/>
    <n v="26410"/>
  </r>
  <r>
    <x v="0"/>
    <x v="195"/>
    <s v="İç Anadolu"/>
    <x v="0"/>
    <x v="4"/>
    <x v="0"/>
    <n v="246"/>
    <n v="63427"/>
  </r>
  <r>
    <x v="1"/>
    <x v="196"/>
    <s v="İç Anadolu"/>
    <x v="1"/>
    <x v="5"/>
    <x v="0"/>
    <n v="239"/>
    <n v="25851"/>
  </r>
  <r>
    <x v="2"/>
    <x v="197"/>
    <s v="İç Anadolu"/>
    <x v="2"/>
    <x v="11"/>
    <x v="1"/>
    <n v="183"/>
    <n v="39935"/>
  </r>
  <r>
    <x v="3"/>
    <x v="198"/>
    <s v="İç Anadolu"/>
    <x v="3"/>
    <x v="7"/>
    <x v="0"/>
    <n v="358"/>
    <n v="687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0FAA45-FBB4-4F26-9C4B-7BE2CE8614D9}" name="PivotTable1" cacheId="8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7">
  <location ref="A3:B14" firstHeaderRow="1" firstDataRow="1" firstDataCol="1"/>
  <pivotFields count="11">
    <pivotField showAll="0">
      <items count="16">
        <item x="9"/>
        <item x="6"/>
        <item x="13"/>
        <item x="11"/>
        <item x="2"/>
        <item x="4"/>
        <item x="3"/>
        <item x="10"/>
        <item x="8"/>
        <item x="1"/>
        <item x="5"/>
        <item x="7"/>
        <item x="0"/>
        <item x="14"/>
        <item x="12"/>
        <item t="default"/>
      </items>
    </pivotField>
    <pivotField numFmtId="164" showAll="0">
      <items count="2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t="default"/>
      </items>
    </pivotField>
    <pivotField showAll="0"/>
    <pivotField showAll="0">
      <items count="14">
        <item x="6"/>
        <item x="0"/>
        <item x="12"/>
        <item x="3"/>
        <item x="7"/>
        <item x="2"/>
        <item x="5"/>
        <item x="8"/>
        <item x="1"/>
        <item x="10"/>
        <item x="9"/>
        <item x="4"/>
        <item x="11"/>
        <item t="default"/>
      </items>
    </pivotField>
    <pivotField showAll="0">
      <items count="15">
        <item x="1"/>
        <item x="5"/>
        <item x="11"/>
        <item x="13"/>
        <item x="8"/>
        <item x="2"/>
        <item x="12"/>
        <item x="9"/>
        <item x="10"/>
        <item x="6"/>
        <item x="7"/>
        <item x="4"/>
        <item x="3"/>
        <item x="0"/>
        <item t="default"/>
      </items>
    </pivotField>
    <pivotField showAll="0"/>
    <pivotField showAll="0"/>
    <pivotField dataField="1" numFmtId="165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2">
    <field x="10"/>
    <field x="8"/>
  </rowFields>
  <rowItems count="11">
    <i>
      <x v="1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t="grand">
      <x/>
    </i>
  </rowItems>
  <colItems count="1">
    <i/>
  </colItems>
  <dataFields count="1">
    <dataField name="Toplam Toplam Satış TL" fld="7" baseField="0" baseItem="0" numFmtId="16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BA854-5568-4FE0-A2E7-E9ECA0898AB5}" name="PivotTable1" cacheId="8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3">
  <location ref="A3:B17" firstHeaderRow="1" firstDataRow="1" firstDataCol="1"/>
  <pivotFields count="11">
    <pivotField showAll="0">
      <items count="16">
        <item x="9"/>
        <item x="6"/>
        <item x="13"/>
        <item x="11"/>
        <item x="2"/>
        <item x="4"/>
        <item x="3"/>
        <item x="10"/>
        <item x="8"/>
        <item x="1"/>
        <item x="5"/>
        <item x="7"/>
        <item x="0"/>
        <item x="14"/>
        <item x="12"/>
        <item t="default"/>
      </items>
    </pivotField>
    <pivotField numFmtId="164" showAll="0">
      <items count="2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t="default"/>
      </items>
    </pivotField>
    <pivotField showAll="0"/>
    <pivotField axis="axisRow" showAll="0">
      <items count="14">
        <item x="6"/>
        <item x="0"/>
        <item x="12"/>
        <item x="3"/>
        <item x="7"/>
        <item x="2"/>
        <item x="5"/>
        <item x="8"/>
        <item x="1"/>
        <item x="10"/>
        <item x="9"/>
        <item x="4"/>
        <item x="11"/>
        <item t="default"/>
      </items>
    </pivotField>
    <pivotField showAll="0">
      <items count="15">
        <item x="1"/>
        <item x="5"/>
        <item x="11"/>
        <item x="13"/>
        <item x="8"/>
        <item x="2"/>
        <item x="12"/>
        <item x="9"/>
        <item x="10"/>
        <item x="6"/>
        <item x="7"/>
        <item x="4"/>
        <item x="3"/>
        <item x="0"/>
        <item t="default"/>
      </items>
    </pivotField>
    <pivotField showAll="0"/>
    <pivotField showAll="0"/>
    <pivotField dataField="1" numFmtId="165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x="1"/>
        <item x="2"/>
        <item sd="0" x="3"/>
        <item t="default"/>
      </items>
    </pivotField>
  </pivotFields>
  <rowFields count="1">
    <field x="3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Toplam Toplam Satış TL" fld="7" baseField="0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978DCC-B8A3-45C8-8FED-D70CC2BC30F9}" name="PivotTable1" cacheId="8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8">
  <location ref="A3:B6" firstHeaderRow="1" firstDataRow="1" firstDataCol="1"/>
  <pivotFields count="11">
    <pivotField showAll="0">
      <items count="16">
        <item x="9"/>
        <item x="6"/>
        <item x="13"/>
        <item x="11"/>
        <item x="2"/>
        <item x="4"/>
        <item x="3"/>
        <item x="10"/>
        <item x="8"/>
        <item x="1"/>
        <item x="5"/>
        <item x="7"/>
        <item x="0"/>
        <item x="14"/>
        <item x="12"/>
        <item t="default"/>
      </items>
    </pivotField>
    <pivotField numFmtId="164" showAll="0">
      <items count="2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t="default"/>
      </items>
    </pivotField>
    <pivotField showAll="0"/>
    <pivotField showAll="0">
      <items count="14">
        <item x="6"/>
        <item x="0"/>
        <item x="12"/>
        <item x="3"/>
        <item x="7"/>
        <item x="2"/>
        <item x="5"/>
        <item x="8"/>
        <item x="1"/>
        <item x="10"/>
        <item x="9"/>
        <item x="4"/>
        <item x="11"/>
        <item t="default"/>
      </items>
    </pivotField>
    <pivotField showAll="0">
      <items count="15">
        <item x="1"/>
        <item x="5"/>
        <item x="11"/>
        <item x="13"/>
        <item x="8"/>
        <item x="2"/>
        <item x="12"/>
        <item x="9"/>
        <item x="10"/>
        <item x="6"/>
        <item x="7"/>
        <item x="4"/>
        <item x="3"/>
        <item x="0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numFmtId="165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x="1"/>
        <item x="2"/>
        <item sd="0" x="3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Toplam Toplam Satış TL" fld="7" showDataAs="percentOfTotal" baseField="0" baseItem="0" numFmtId="1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D61217-B3F4-499C-BB01-8C9E46D6CC94}" name="PivotTable1" cacheId="8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11">
  <location ref="A3:B19" firstHeaderRow="1" firstDataRow="1" firstDataCol="1"/>
  <pivotFields count="11">
    <pivotField axis="axisRow" showAll="0">
      <items count="16">
        <item x="9"/>
        <item x="6"/>
        <item x="13"/>
        <item x="11"/>
        <item x="2"/>
        <item x="4"/>
        <item x="3"/>
        <item x="10"/>
        <item x="8"/>
        <item x="1"/>
        <item x="5"/>
        <item x="7"/>
        <item x="0"/>
        <item x="14"/>
        <item x="12"/>
        <item t="default"/>
      </items>
    </pivotField>
    <pivotField numFmtId="164" showAll="0">
      <items count="2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t="default"/>
      </items>
    </pivotField>
    <pivotField showAll="0"/>
    <pivotField showAll="0">
      <items count="14">
        <item x="6"/>
        <item x="0"/>
        <item x="12"/>
        <item x="3"/>
        <item x="7"/>
        <item x="2"/>
        <item x="5"/>
        <item x="8"/>
        <item x="1"/>
        <item x="10"/>
        <item x="9"/>
        <item x="4"/>
        <item x="11"/>
        <item t="default"/>
      </items>
    </pivotField>
    <pivotField showAll="0">
      <items count="15">
        <item x="1"/>
        <item x="5"/>
        <item x="11"/>
        <item x="13"/>
        <item x="8"/>
        <item x="2"/>
        <item x="12"/>
        <item x="9"/>
        <item x="10"/>
        <item x="6"/>
        <item x="7"/>
        <item x="4"/>
        <item x="3"/>
        <item x="0"/>
        <item t="default"/>
      </items>
    </pivotField>
    <pivotField showAll="0">
      <items count="3">
        <item x="0"/>
        <item x="1"/>
        <item t="default"/>
      </items>
    </pivotField>
    <pivotField showAll="0"/>
    <pivotField dataField="1" numFmtId="165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x="1"/>
        <item x="2"/>
        <item sd="0" x="3"/>
        <item t="default"/>
      </items>
    </pivotField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Toplam Toplam Satış TL" fld="7" baseField="0" baseItem="0" numFmtId="165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FİRMA" xr10:uid="{B2CFF407-1E34-47BE-BDAA-A14C516DD82E}" sourceName="FİRMA">
  <pivotTables>
    <pivotTable tabId="2" name="PivotTable1"/>
    <pivotTable tabId="3" name="PivotTable1"/>
    <pivotTable tabId="4" name="PivotTable1"/>
    <pivotTable tabId="5" name="PivotTable1"/>
  </pivotTables>
  <data>
    <tabular pivotCacheId="2134761820">
      <items count="15">
        <i x="9" s="1"/>
        <i x="6" s="1"/>
        <i x="13" s="1"/>
        <i x="11" s="1"/>
        <i x="2" s="1"/>
        <i x="4" s="1"/>
        <i x="3" s="1"/>
        <i x="10" s="1"/>
        <i x="8" s="1"/>
        <i x="1" s="1"/>
        <i x="5" s="1"/>
        <i x="7" s="1"/>
        <i x="0" s="1"/>
        <i x="14" s="1"/>
        <i x="1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Şehir" xr10:uid="{5CA6363D-6430-4305-BE50-F6B6DECFDFF0}" sourceName="Şehir">
  <pivotTables>
    <pivotTable tabId="2" name="PivotTable1"/>
    <pivotTable tabId="3" name="PivotTable1"/>
    <pivotTable tabId="4" name="PivotTable1"/>
    <pivotTable tabId="5" name="PivotTable1"/>
  </pivotTables>
  <data>
    <tabular pivotCacheId="2134761820">
      <items count="13">
        <i x="6" s="1"/>
        <i x="0" s="1"/>
        <i x="12" s="1"/>
        <i x="3" s="1"/>
        <i x="7" s="1"/>
        <i x="2" s="1"/>
        <i x="5" s="1"/>
        <i x="8" s="1"/>
        <i x="1" s="1"/>
        <i x="10" s="1"/>
        <i x="9" s="1"/>
        <i x="4" s="1"/>
        <i x="1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" xr10:uid="{A9038764-E716-4129-8657-86C651CB10EF}" sourceName="Ürün">
  <pivotTables>
    <pivotTable tabId="2" name="PivotTable1"/>
    <pivotTable tabId="3" name="PivotTable1"/>
    <pivotTable tabId="4" name="PivotTable1"/>
    <pivotTable tabId="5" name="PivotTable1"/>
  </pivotTables>
  <data>
    <tabular pivotCacheId="2134761820">
      <items count="14">
        <i x="1" s="1"/>
        <i x="5" s="1"/>
        <i x="11" s="1"/>
        <i x="13" s="1"/>
        <i x="8" s="1"/>
        <i x="2" s="1"/>
        <i x="12" s="1"/>
        <i x="9" s="1"/>
        <i x="10" s="1"/>
        <i x="6" s="1"/>
        <i x="7" s="1"/>
        <i x="4" s="1"/>
        <i x="3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Yıl__TARİH" xr10:uid="{10AE0DCF-CAAF-43C5-8AE4-77F06A3C7652}" sourceName="Yıl (TARİH)">
  <pivotTables>
    <pivotTable tabId="2" name="PivotTable1"/>
    <pivotTable tabId="3" name="PivotTable1"/>
    <pivotTable tabId="4" name="PivotTable1"/>
    <pivotTable tabId="5" name="PivotTable1"/>
  </pivotTables>
  <data>
    <tabular pivotCacheId="2134761820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İRMA" xr10:uid="{A341E1DF-4EF9-4117-9DB5-8BDEDF656F81}" cache="Dilimleyici_FİRMA" caption="FİRMA" rowHeight="257175"/>
  <slicer name="Şehir" xr10:uid="{51668090-A570-4C73-ADF9-A4AE656C4689}" cache="Dilimleyici_Şehir" caption="Şehir" rowHeight="257175"/>
  <slicer name="Ürün" xr10:uid="{999F13F0-B8A4-492A-9ED5-E5B7FD529C69}" cache="Dilimleyici_Ürün" caption="Ürün" columnCount="2" rowHeight="257175"/>
  <slicer name="Yıl (TARİH)" xr10:uid="{52300EE9-D781-4BD6-AA16-93E2F22751ED}" cache="Dilimleyici_Yıl__TARİH" caption="Yıl (TARİH)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C64EE0-E188-4287-A577-0C070E426275}" name="data" displayName="data" ref="A1:H200" totalsRowShown="0" headerRowDxfId="0" dataDxfId="1" headerRowBorderDxfId="10">
  <autoFilter ref="A1:H200" xr:uid="{45C64EE0-E188-4287-A577-0C070E42627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D5E9405-6CDC-40EF-9F87-53E439B948D0}" name="FİRMA" dataDxfId="9"/>
    <tableColumn id="2" xr3:uid="{24DF519A-D3DB-457D-AACD-9459362440E6}" name="TARİH" dataDxfId="8"/>
    <tableColumn id="3" xr3:uid="{1EB838E5-FF95-4D44-A1EE-C3BE2E904820}" name="Bölge" dataDxfId="7"/>
    <tableColumn id="4" xr3:uid="{D2C951F3-5175-4B40-BAAB-30100D7DCD92}" name="Şehir" dataDxfId="6"/>
    <tableColumn id="5" xr3:uid="{96A5A1C3-5147-459A-B354-E282E39FAE60}" name="Ürün" dataDxfId="5"/>
    <tableColumn id="6" xr3:uid="{E095D472-AAC5-44C0-BCCD-A2ED406B8573}" name="Durum" dataDxfId="4"/>
    <tableColumn id="7" xr3:uid="{2D59D3C6-75CC-4196-9F73-8CDBCD581744}" name="Adet" dataDxfId="3"/>
    <tableColumn id="8" xr3:uid="{1AF616B4-6CE5-4A55-BDE9-B3202368E750}" name="Toplam Satış TL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amla">
  <a:themeElements>
    <a:clrScheme name="Damla">
      <a:dk1>
        <a:sysClr val="windowText" lastClr="000000"/>
      </a:dk1>
      <a:lt1>
        <a:sysClr val="window" lastClr="FFFFFF"/>
      </a:lt1>
      <a:dk2>
        <a:srgbClr val="355071"/>
      </a:dk2>
      <a:lt2>
        <a:srgbClr val="AABED7"/>
      </a:lt2>
      <a:accent1>
        <a:srgbClr val="2FA3EE"/>
      </a:accent1>
      <a:accent2>
        <a:srgbClr val="4BCAAD"/>
      </a:accent2>
      <a:accent3>
        <a:srgbClr val="86C157"/>
      </a:accent3>
      <a:accent4>
        <a:srgbClr val="D99C3F"/>
      </a:accent4>
      <a:accent5>
        <a:srgbClr val="CE6633"/>
      </a:accent5>
      <a:accent6>
        <a:srgbClr val="A35DD1"/>
      </a:accent6>
      <a:hlink>
        <a:srgbClr val="56BCFE"/>
      </a:hlink>
      <a:folHlink>
        <a:srgbClr val="97C5E3"/>
      </a:folHlink>
    </a:clrScheme>
    <a:fontScheme name="Damla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amla">
      <a:fillStyleLst>
        <a:solidFill>
          <a:schemeClr val="phClr"/>
        </a:solidFill>
        <a:solidFill>
          <a:schemeClr val="phClr">
            <a:tint val="69000"/>
            <a:satMod val="105000"/>
            <a:lumMod val="110000"/>
          </a:schemeClr>
        </a:solidFill>
        <a:gradFill rotWithShape="1">
          <a:gsLst>
            <a:gs pos="0">
              <a:schemeClr val="phClr">
                <a:tint val="94000"/>
                <a:satMod val="100000"/>
                <a:lumMod val="108000"/>
              </a:schemeClr>
            </a:gs>
            <a:gs pos="50000">
              <a:schemeClr val="phClr">
                <a:tint val="98000"/>
                <a:shade val="100000"/>
                <a:satMod val="100000"/>
                <a:lumMod val="100000"/>
              </a:schemeClr>
            </a:gs>
            <a:gs pos="100000">
              <a:schemeClr val="phClr">
                <a:shade val="72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60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63500" dist="25400" dir="5400000" algn="ctr" rotWithShape="0">
              <a:srgbClr val="000000">
                <a:alpha val="69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200000"/>
            </a:lightRig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100000"/>
                <a:hueMod val="130000"/>
                <a:satMod val="150000"/>
                <a:lumMod val="112000"/>
              </a:schemeClr>
            </a:gs>
            <a:gs pos="100000">
              <a:schemeClr val="phClr">
                <a:shade val="92000"/>
                <a:satMod val="14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roplet" id="{8984A317-299A-4E50-B45D-BFC9EDE2337A}" vid="{A633B6A3-9E7F-4C10-9C98-2517A3134361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2B2F-6C60-4D87-A950-53217E327182}">
  <dimension ref="A3:B14"/>
  <sheetViews>
    <sheetView workbookViewId="0">
      <selection activeCell="W24" sqref="W24"/>
    </sheetView>
  </sheetViews>
  <sheetFormatPr defaultRowHeight="14.25"/>
  <cols>
    <col min="1" max="1" width="13.5" bestFit="1" customWidth="1"/>
    <col min="2" max="2" width="19.625" bestFit="1" customWidth="1"/>
  </cols>
  <sheetData>
    <row r="3" spans="1:2">
      <c r="A3" s="6" t="s">
        <v>53</v>
      </c>
      <c r="B3" t="s">
        <v>65</v>
      </c>
    </row>
    <row r="4" spans="1:2">
      <c r="A4" s="7" t="s">
        <v>55</v>
      </c>
      <c r="B4" s="9">
        <v>3643870</v>
      </c>
    </row>
    <row r="5" spans="1:2">
      <c r="A5" s="8" t="s">
        <v>57</v>
      </c>
      <c r="B5" s="9">
        <v>434775</v>
      </c>
    </row>
    <row r="6" spans="1:2">
      <c r="A6" s="8" t="s">
        <v>58</v>
      </c>
      <c r="B6" s="9">
        <v>1135710</v>
      </c>
    </row>
    <row r="7" spans="1:2">
      <c r="A7" s="8" t="s">
        <v>59</v>
      </c>
      <c r="B7" s="9">
        <v>980113</v>
      </c>
    </row>
    <row r="8" spans="1:2">
      <c r="A8" s="8" t="s">
        <v>60</v>
      </c>
      <c r="B8" s="9">
        <v>1093272</v>
      </c>
    </row>
    <row r="9" spans="1:2">
      <c r="A9" s="7" t="s">
        <v>56</v>
      </c>
      <c r="B9" s="9">
        <v>3643450</v>
      </c>
    </row>
    <row r="10" spans="1:2">
      <c r="A10" s="8" t="s">
        <v>61</v>
      </c>
      <c r="B10" s="9">
        <v>1086134</v>
      </c>
    </row>
    <row r="11" spans="1:2">
      <c r="A11" s="8" t="s">
        <v>62</v>
      </c>
      <c r="B11" s="9">
        <v>1056197</v>
      </c>
    </row>
    <row r="12" spans="1:2">
      <c r="A12" s="8" t="s">
        <v>63</v>
      </c>
      <c r="B12" s="9">
        <v>1189537</v>
      </c>
    </row>
    <row r="13" spans="1:2">
      <c r="A13" s="8" t="s">
        <v>64</v>
      </c>
      <c r="B13" s="9">
        <v>311582</v>
      </c>
    </row>
    <row r="14" spans="1:2">
      <c r="A14" s="7" t="s">
        <v>54</v>
      </c>
      <c r="B14" s="9">
        <v>7287320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1C6E2-D835-4A8D-BA7B-96E6D29FFB63}">
  <dimension ref="A3:K20"/>
  <sheetViews>
    <sheetView workbookViewId="0">
      <selection activeCell="Q36" sqref="Q36"/>
    </sheetView>
  </sheetViews>
  <sheetFormatPr defaultRowHeight="14.25"/>
  <cols>
    <col min="1" max="1" width="13.5" bestFit="1" customWidth="1"/>
    <col min="2" max="2" width="19.625" bestFit="1" customWidth="1"/>
    <col min="11" max="11" width="12.5" customWidth="1"/>
  </cols>
  <sheetData>
    <row r="3" spans="1:11">
      <c r="A3" s="6" t="s">
        <v>53</v>
      </c>
      <c r="B3" t="s">
        <v>65</v>
      </c>
    </row>
    <row r="4" spans="1:11">
      <c r="A4" s="7" t="s">
        <v>30</v>
      </c>
      <c r="B4" s="9">
        <v>620853</v>
      </c>
    </row>
    <row r="5" spans="1:11">
      <c r="A5" s="7" t="s">
        <v>10</v>
      </c>
      <c r="B5" s="9">
        <v>544477</v>
      </c>
    </row>
    <row r="6" spans="1:11">
      <c r="A6" s="7" t="s">
        <v>44</v>
      </c>
      <c r="B6" s="9">
        <v>471514</v>
      </c>
    </row>
    <row r="7" spans="1:11">
      <c r="A7" s="7" t="s">
        <v>20</v>
      </c>
      <c r="B7" s="9">
        <v>687989</v>
      </c>
    </row>
    <row r="8" spans="1:11">
      <c r="A8" s="7" t="s">
        <v>33</v>
      </c>
      <c r="B8" s="9">
        <v>575295</v>
      </c>
      <c r="J8" s="7" t="s">
        <v>30</v>
      </c>
      <c r="K8" s="9">
        <v>620853</v>
      </c>
    </row>
    <row r="9" spans="1:11">
      <c r="A9" s="7" t="s">
        <v>17</v>
      </c>
      <c r="B9" s="9">
        <v>528511</v>
      </c>
      <c r="J9" s="7" t="s">
        <v>10</v>
      </c>
      <c r="K9" s="9">
        <v>544477</v>
      </c>
    </row>
    <row r="10" spans="1:11">
      <c r="A10" s="7" t="s">
        <v>27</v>
      </c>
      <c r="B10" s="9">
        <v>577293</v>
      </c>
      <c r="J10" s="7" t="s">
        <v>44</v>
      </c>
      <c r="K10" s="9">
        <v>471514</v>
      </c>
    </row>
    <row r="11" spans="1:11">
      <c r="A11" s="7" t="s">
        <v>36</v>
      </c>
      <c r="B11" s="9">
        <v>557650</v>
      </c>
      <c r="J11" s="7" t="s">
        <v>20</v>
      </c>
      <c r="K11" s="9">
        <v>687989</v>
      </c>
    </row>
    <row r="12" spans="1:11">
      <c r="A12" s="7" t="s">
        <v>14</v>
      </c>
      <c r="B12" s="9">
        <v>572169</v>
      </c>
      <c r="J12" s="7" t="s">
        <v>33</v>
      </c>
      <c r="K12" s="9">
        <v>575295</v>
      </c>
    </row>
    <row r="13" spans="1:11">
      <c r="A13" s="7" t="s">
        <v>40</v>
      </c>
      <c r="B13" s="9">
        <v>520310</v>
      </c>
      <c r="J13" s="7" t="s">
        <v>17</v>
      </c>
      <c r="K13" s="9">
        <v>528511</v>
      </c>
    </row>
    <row r="14" spans="1:11">
      <c r="A14" s="7" t="s">
        <v>38</v>
      </c>
      <c r="B14" s="9">
        <v>661920</v>
      </c>
      <c r="J14" s="7" t="s">
        <v>27</v>
      </c>
      <c r="K14" s="9">
        <v>577293</v>
      </c>
    </row>
    <row r="15" spans="1:11">
      <c r="A15" s="7" t="s">
        <v>24</v>
      </c>
      <c r="B15" s="9">
        <v>417663</v>
      </c>
      <c r="J15" s="7" t="s">
        <v>36</v>
      </c>
      <c r="K15" s="9">
        <v>557650</v>
      </c>
    </row>
    <row r="16" spans="1:11">
      <c r="A16" s="7" t="s">
        <v>42</v>
      </c>
      <c r="B16" s="9">
        <v>551676</v>
      </c>
      <c r="J16" s="7" t="s">
        <v>14</v>
      </c>
      <c r="K16" s="9">
        <v>572169</v>
      </c>
    </row>
    <row r="17" spans="1:11">
      <c r="A17" s="7" t="s">
        <v>54</v>
      </c>
      <c r="B17" s="9">
        <v>7287320</v>
      </c>
      <c r="J17" s="7" t="s">
        <v>40</v>
      </c>
      <c r="K17" s="9">
        <v>520310</v>
      </c>
    </row>
    <row r="18" spans="1:11">
      <c r="J18" s="7" t="s">
        <v>38</v>
      </c>
      <c r="K18" s="9">
        <v>661920</v>
      </c>
    </row>
    <row r="19" spans="1:11">
      <c r="J19" s="7" t="s">
        <v>24</v>
      </c>
      <c r="K19" s="9">
        <v>417663</v>
      </c>
    </row>
    <row r="20" spans="1:11">
      <c r="J20" s="7" t="s">
        <v>42</v>
      </c>
      <c r="K20" s="9">
        <v>551676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15213-210E-40DA-A584-58545B6CDFBF}">
  <dimension ref="A3:K20"/>
  <sheetViews>
    <sheetView workbookViewId="0">
      <selection activeCell="U26" sqref="U26"/>
    </sheetView>
  </sheetViews>
  <sheetFormatPr defaultRowHeight="14.25"/>
  <cols>
    <col min="1" max="1" width="13.5" bestFit="1" customWidth="1"/>
    <col min="2" max="2" width="19.625" bestFit="1" customWidth="1"/>
    <col min="11" max="11" width="12.5" customWidth="1"/>
  </cols>
  <sheetData>
    <row r="3" spans="1:11">
      <c r="A3" s="6" t="s">
        <v>53</v>
      </c>
      <c r="B3" t="s">
        <v>65</v>
      </c>
    </row>
    <row r="4" spans="1:11">
      <c r="A4" s="7" t="s">
        <v>12</v>
      </c>
      <c r="B4" s="10">
        <v>0.67265345833584911</v>
      </c>
    </row>
    <row r="5" spans="1:11">
      <c r="A5" s="7" t="s">
        <v>22</v>
      </c>
      <c r="B5" s="10">
        <v>0.32734654166415089</v>
      </c>
    </row>
    <row r="6" spans="1:11">
      <c r="A6" s="7" t="s">
        <v>54</v>
      </c>
      <c r="B6" s="10">
        <v>1</v>
      </c>
    </row>
    <row r="8" spans="1:11">
      <c r="J8" s="7"/>
      <c r="K8" s="9"/>
    </row>
    <row r="9" spans="1:11">
      <c r="J9" s="7"/>
      <c r="K9" s="9"/>
    </row>
    <row r="10" spans="1:11">
      <c r="J10" s="7"/>
      <c r="K10" s="9"/>
    </row>
    <row r="11" spans="1:11">
      <c r="J11" s="7"/>
      <c r="K11" s="9"/>
    </row>
    <row r="12" spans="1:11">
      <c r="J12" s="7"/>
      <c r="K12" s="9"/>
    </row>
    <row r="13" spans="1:11">
      <c r="J13" s="7"/>
      <c r="K13" s="9"/>
    </row>
    <row r="14" spans="1:11">
      <c r="J14" s="7"/>
      <c r="K14" s="9"/>
    </row>
    <row r="15" spans="1:11">
      <c r="J15" s="7"/>
      <c r="K15" s="9"/>
    </row>
    <row r="16" spans="1:11">
      <c r="J16" s="7"/>
      <c r="K16" s="9"/>
    </row>
    <row r="17" spans="10:11">
      <c r="J17" s="7"/>
      <c r="K17" s="9"/>
    </row>
    <row r="18" spans="10:11">
      <c r="J18" s="7"/>
      <c r="K18" s="9"/>
    </row>
    <row r="19" spans="10:11">
      <c r="J19" s="7"/>
      <c r="K19" s="9"/>
    </row>
    <row r="20" spans="10:11">
      <c r="J20" s="7"/>
      <c r="K20" s="9"/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A4BB-A2F7-4B47-9DCC-81AEA267D049}">
  <dimension ref="A3:K20"/>
  <sheetViews>
    <sheetView workbookViewId="0">
      <selection activeCell="R26" sqref="R26"/>
    </sheetView>
  </sheetViews>
  <sheetFormatPr defaultRowHeight="14.25"/>
  <cols>
    <col min="1" max="1" width="13.5" bestFit="1" customWidth="1"/>
    <col min="2" max="2" width="19.625" bestFit="1" customWidth="1"/>
    <col min="11" max="11" width="12.5" customWidth="1"/>
  </cols>
  <sheetData>
    <row r="3" spans="1:11">
      <c r="A3" s="6" t="s">
        <v>53</v>
      </c>
      <c r="B3" t="s">
        <v>65</v>
      </c>
    </row>
    <row r="4" spans="1:11">
      <c r="A4" s="7" t="s">
        <v>37</v>
      </c>
      <c r="B4" s="9">
        <v>455340</v>
      </c>
    </row>
    <row r="5" spans="1:11">
      <c r="A5" s="7" t="s">
        <v>29</v>
      </c>
      <c r="B5" s="9">
        <v>383740</v>
      </c>
    </row>
    <row r="6" spans="1:11">
      <c r="A6" s="7" t="s">
        <v>45</v>
      </c>
      <c r="B6" s="9">
        <v>473846</v>
      </c>
    </row>
    <row r="7" spans="1:11">
      <c r="A7" s="7" t="s">
        <v>41</v>
      </c>
      <c r="B7" s="9">
        <v>455008</v>
      </c>
    </row>
    <row r="8" spans="1:11">
      <c r="A8" s="7" t="s">
        <v>16</v>
      </c>
      <c r="B8" s="9">
        <v>374480</v>
      </c>
      <c r="J8" s="7"/>
      <c r="K8" s="9"/>
    </row>
    <row r="9" spans="1:11">
      <c r="A9" s="7" t="s">
        <v>23</v>
      </c>
      <c r="B9" s="9">
        <v>498000</v>
      </c>
      <c r="J9" s="7"/>
      <c r="K9" s="9"/>
    </row>
    <row r="10" spans="1:11">
      <c r="A10" s="7" t="s">
        <v>19</v>
      </c>
      <c r="B10" s="9">
        <v>684401</v>
      </c>
      <c r="J10" s="7"/>
      <c r="K10" s="9"/>
    </row>
    <row r="11" spans="1:11">
      <c r="A11" s="7" t="s">
        <v>39</v>
      </c>
      <c r="B11" s="9">
        <v>654293</v>
      </c>
      <c r="J11" s="7"/>
      <c r="K11" s="9"/>
    </row>
    <row r="12" spans="1:11">
      <c r="A12" s="7" t="s">
        <v>35</v>
      </c>
      <c r="B12" s="9">
        <v>438393</v>
      </c>
      <c r="J12" s="7"/>
      <c r="K12" s="9"/>
    </row>
    <row r="13" spans="1:11">
      <c r="A13" s="7" t="s">
        <v>13</v>
      </c>
      <c r="B13" s="9">
        <v>424180</v>
      </c>
      <c r="J13" s="7"/>
      <c r="K13" s="9"/>
    </row>
    <row r="14" spans="1:11">
      <c r="A14" s="7" t="s">
        <v>26</v>
      </c>
      <c r="B14" s="9">
        <v>393754</v>
      </c>
      <c r="J14" s="7"/>
      <c r="K14" s="9"/>
    </row>
    <row r="15" spans="1:11">
      <c r="A15" s="7" t="s">
        <v>32</v>
      </c>
      <c r="B15" s="9">
        <v>545579</v>
      </c>
      <c r="J15" s="7"/>
      <c r="K15" s="9"/>
    </row>
    <row r="16" spans="1:11">
      <c r="A16" s="7" t="s">
        <v>8</v>
      </c>
      <c r="B16" s="9">
        <v>681954</v>
      </c>
      <c r="J16" s="7"/>
      <c r="K16" s="9"/>
    </row>
    <row r="17" spans="1:11">
      <c r="A17" s="7" t="s">
        <v>46</v>
      </c>
      <c r="B17" s="9">
        <v>417719</v>
      </c>
      <c r="J17" s="7"/>
      <c r="K17" s="9"/>
    </row>
    <row r="18" spans="1:11">
      <c r="A18" s="7" t="s">
        <v>43</v>
      </c>
      <c r="B18" s="9">
        <v>406633</v>
      </c>
      <c r="J18" s="7"/>
      <c r="K18" s="9"/>
    </row>
    <row r="19" spans="1:11">
      <c r="A19" s="7" t="s">
        <v>54</v>
      </c>
      <c r="B19" s="9">
        <v>7287320</v>
      </c>
      <c r="J19" s="7"/>
      <c r="K19" s="9"/>
    </row>
    <row r="20" spans="1:11">
      <c r="J20" s="7"/>
      <c r="K20" s="9"/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A5A37-D1F3-43DC-8476-3B5E764D62F8}">
  <dimension ref="L6"/>
  <sheetViews>
    <sheetView showGridLines="0" tabSelected="1" topLeftCell="B1" zoomScaleNormal="100" workbookViewId="0">
      <selection activeCell="AI25" sqref="AI25"/>
    </sheetView>
  </sheetViews>
  <sheetFormatPr defaultRowHeight="14.25"/>
  <cols>
    <col min="1" max="34" width="9" style="11"/>
    <col min="35" max="35" width="9" style="11" customWidth="1"/>
    <col min="36" max="16384" width="9" style="11"/>
  </cols>
  <sheetData>
    <row r="6" spans="12:12">
      <c r="L6" s="11" t="s">
        <v>66</v>
      </c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8E31-556A-4EBD-BE2C-A84EAA9B816F}">
  <dimension ref="A1:H200"/>
  <sheetViews>
    <sheetView topLeftCell="A2" workbookViewId="0">
      <selection activeCell="F5" sqref="F5"/>
    </sheetView>
  </sheetViews>
  <sheetFormatPr defaultRowHeight="15"/>
  <cols>
    <col min="1" max="1" width="11" customWidth="1"/>
    <col min="2" max="2" width="10.875" customWidth="1"/>
    <col min="3" max="3" width="10.5" customWidth="1"/>
    <col min="4" max="4" width="10.25" customWidth="1"/>
    <col min="5" max="5" width="13.375" customWidth="1"/>
    <col min="6" max="6" width="12.25" customWidth="1"/>
    <col min="7" max="7" width="9.625" customWidth="1"/>
    <col min="8" max="8" width="19.5" customWidth="1"/>
  </cols>
  <sheetData>
    <row r="1" spans="1:8" ht="23.25" customHeight="1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t="14.25">
      <c r="A2" s="2" t="s">
        <v>8</v>
      </c>
      <c r="B2" s="3">
        <v>44461</v>
      </c>
      <c r="C2" s="3" t="s">
        <v>9</v>
      </c>
      <c r="D2" s="2" t="s">
        <v>10</v>
      </c>
      <c r="E2" s="2" t="s">
        <v>11</v>
      </c>
      <c r="F2" s="2" t="s">
        <v>12</v>
      </c>
      <c r="G2" s="2">
        <v>485</v>
      </c>
      <c r="H2" s="4">
        <v>55824</v>
      </c>
    </row>
    <row r="3" spans="1:8" ht="14.25">
      <c r="A3" s="2" t="s">
        <v>13</v>
      </c>
      <c r="B3" s="3">
        <v>44462</v>
      </c>
      <c r="C3" s="3" t="s">
        <v>9</v>
      </c>
      <c r="D3" s="2" t="s">
        <v>14</v>
      </c>
      <c r="E3" s="2" t="s">
        <v>15</v>
      </c>
      <c r="F3" s="2" t="s">
        <v>12</v>
      </c>
      <c r="G3" s="2">
        <v>259</v>
      </c>
      <c r="H3" s="5">
        <v>9335</v>
      </c>
    </row>
    <row r="4" spans="1:8" ht="14.25">
      <c r="A4" s="2" t="s">
        <v>16</v>
      </c>
      <c r="B4" s="3">
        <v>44463</v>
      </c>
      <c r="C4" s="3" t="s">
        <v>9</v>
      </c>
      <c r="D4" s="2" t="s">
        <v>17</v>
      </c>
      <c r="E4" s="2" t="s">
        <v>18</v>
      </c>
      <c r="F4" s="2" t="s">
        <v>12</v>
      </c>
      <c r="G4" s="2">
        <v>480</v>
      </c>
      <c r="H4" s="4">
        <v>25464</v>
      </c>
    </row>
    <row r="5" spans="1:8" ht="14.25">
      <c r="A5" s="2" t="s">
        <v>19</v>
      </c>
      <c r="B5" s="3">
        <v>44464</v>
      </c>
      <c r="C5" s="3" t="s">
        <v>9</v>
      </c>
      <c r="D5" s="2" t="s">
        <v>20</v>
      </c>
      <c r="E5" s="2" t="s">
        <v>21</v>
      </c>
      <c r="F5" s="2" t="s">
        <v>22</v>
      </c>
      <c r="G5" s="2">
        <v>124</v>
      </c>
      <c r="H5" s="4">
        <v>69232</v>
      </c>
    </row>
    <row r="6" spans="1:8" ht="14.25">
      <c r="A6" s="2" t="s">
        <v>23</v>
      </c>
      <c r="B6" s="3">
        <v>44465</v>
      </c>
      <c r="C6" s="3" t="s">
        <v>9</v>
      </c>
      <c r="D6" s="2" t="s">
        <v>24</v>
      </c>
      <c r="E6" s="2" t="s">
        <v>25</v>
      </c>
      <c r="F6" s="2" t="s">
        <v>12</v>
      </c>
      <c r="G6" s="2">
        <v>152</v>
      </c>
      <c r="H6" s="4">
        <v>64890</v>
      </c>
    </row>
    <row r="7" spans="1:8" ht="14.25">
      <c r="A7" s="2" t="s">
        <v>26</v>
      </c>
      <c r="B7" s="3">
        <v>44466</v>
      </c>
      <c r="C7" s="3" t="s">
        <v>9</v>
      </c>
      <c r="D7" s="2" t="s">
        <v>27</v>
      </c>
      <c r="E7" s="2" t="s">
        <v>28</v>
      </c>
      <c r="F7" s="2" t="s">
        <v>12</v>
      </c>
      <c r="G7" s="2">
        <v>197</v>
      </c>
      <c r="H7" s="4">
        <v>89360</v>
      </c>
    </row>
    <row r="8" spans="1:8" ht="14.25">
      <c r="A8" s="2" t="s">
        <v>29</v>
      </c>
      <c r="B8" s="3">
        <v>44467</v>
      </c>
      <c r="C8" s="3" t="s">
        <v>9</v>
      </c>
      <c r="D8" s="2" t="s">
        <v>30</v>
      </c>
      <c r="E8" s="2" t="s">
        <v>31</v>
      </c>
      <c r="F8" s="2" t="s">
        <v>22</v>
      </c>
      <c r="G8" s="2">
        <v>251</v>
      </c>
      <c r="H8" s="4">
        <v>39762</v>
      </c>
    </row>
    <row r="9" spans="1:8" ht="14.25">
      <c r="A9" s="2" t="s">
        <v>32</v>
      </c>
      <c r="B9" s="3">
        <v>44468</v>
      </c>
      <c r="C9" s="3" t="s">
        <v>9</v>
      </c>
      <c r="D9" s="2" t="s">
        <v>33</v>
      </c>
      <c r="E9" s="2" t="s">
        <v>34</v>
      </c>
      <c r="F9" s="2" t="s">
        <v>12</v>
      </c>
      <c r="G9" s="2">
        <v>131</v>
      </c>
      <c r="H9" s="4">
        <v>35584</v>
      </c>
    </row>
    <row r="10" spans="1:8" ht="14.25">
      <c r="A10" s="2" t="s">
        <v>35</v>
      </c>
      <c r="B10" s="3">
        <v>44469</v>
      </c>
      <c r="C10" s="3" t="s">
        <v>9</v>
      </c>
      <c r="D10" s="2" t="s">
        <v>36</v>
      </c>
      <c r="E10" s="2" t="s">
        <v>25</v>
      </c>
      <c r="F10" s="2" t="s">
        <v>12</v>
      </c>
      <c r="G10" s="2">
        <v>492</v>
      </c>
      <c r="H10" s="4">
        <v>45324</v>
      </c>
    </row>
    <row r="11" spans="1:8" ht="14.25">
      <c r="A11" s="2" t="s">
        <v>37</v>
      </c>
      <c r="B11" s="3">
        <v>44470</v>
      </c>
      <c r="C11" s="3" t="s">
        <v>9</v>
      </c>
      <c r="D11" s="2" t="s">
        <v>38</v>
      </c>
      <c r="E11" s="2" t="s">
        <v>21</v>
      </c>
      <c r="F11" s="2" t="s">
        <v>22</v>
      </c>
      <c r="G11" s="2">
        <v>205</v>
      </c>
      <c r="H11" s="4">
        <v>14934</v>
      </c>
    </row>
    <row r="12" spans="1:8" ht="14.25">
      <c r="A12" s="2" t="s">
        <v>39</v>
      </c>
      <c r="B12" s="3">
        <v>44471</v>
      </c>
      <c r="C12" s="3" t="s">
        <v>9</v>
      </c>
      <c r="D12" s="2" t="s">
        <v>40</v>
      </c>
      <c r="E12" s="2" t="s">
        <v>31</v>
      </c>
      <c r="F12" s="2" t="s">
        <v>12</v>
      </c>
      <c r="G12" s="2">
        <v>395</v>
      </c>
      <c r="H12" s="4">
        <v>83550</v>
      </c>
    </row>
    <row r="13" spans="1:8" ht="14.25">
      <c r="A13" s="2" t="s">
        <v>41</v>
      </c>
      <c r="B13" s="3">
        <v>44472</v>
      </c>
      <c r="C13" s="3" t="s">
        <v>9</v>
      </c>
      <c r="D13" s="2" t="s">
        <v>42</v>
      </c>
      <c r="E13" s="2" t="s">
        <v>28</v>
      </c>
      <c r="F13" s="2" t="s">
        <v>22</v>
      </c>
      <c r="G13" s="2">
        <v>140</v>
      </c>
      <c r="H13" s="4">
        <v>42104</v>
      </c>
    </row>
    <row r="14" spans="1:8" ht="14.25">
      <c r="A14" s="2" t="s">
        <v>43</v>
      </c>
      <c r="B14" s="3">
        <v>44473</v>
      </c>
      <c r="C14" s="3" t="s">
        <v>9</v>
      </c>
      <c r="D14" s="2" t="s">
        <v>44</v>
      </c>
      <c r="E14" s="2" t="s">
        <v>18</v>
      </c>
      <c r="F14" s="2" t="s">
        <v>12</v>
      </c>
      <c r="G14" s="2">
        <v>172</v>
      </c>
      <c r="H14" s="4">
        <v>26250</v>
      </c>
    </row>
    <row r="15" spans="1:8" ht="14.25">
      <c r="A15" s="2" t="s">
        <v>45</v>
      </c>
      <c r="B15" s="3">
        <v>44474</v>
      </c>
      <c r="C15" s="3" t="s">
        <v>9</v>
      </c>
      <c r="D15" s="2" t="s">
        <v>10</v>
      </c>
      <c r="E15" s="2" t="s">
        <v>15</v>
      </c>
      <c r="F15" s="2" t="s">
        <v>12</v>
      </c>
      <c r="G15" s="2">
        <v>239</v>
      </c>
      <c r="H15" s="4">
        <v>73953</v>
      </c>
    </row>
    <row r="16" spans="1:8" ht="14.25">
      <c r="A16" s="2" t="s">
        <v>46</v>
      </c>
      <c r="B16" s="3">
        <v>44475</v>
      </c>
      <c r="C16" s="3" t="s">
        <v>9</v>
      </c>
      <c r="D16" s="2" t="s">
        <v>14</v>
      </c>
      <c r="E16" s="2" t="s">
        <v>34</v>
      </c>
      <c r="F16" s="2" t="s">
        <v>22</v>
      </c>
      <c r="G16" s="2">
        <v>124</v>
      </c>
      <c r="H16" s="4">
        <v>63448</v>
      </c>
    </row>
    <row r="17" spans="1:8" ht="14.25">
      <c r="A17" s="2" t="s">
        <v>8</v>
      </c>
      <c r="B17" s="3">
        <v>44476</v>
      </c>
      <c r="C17" s="3" t="s">
        <v>9</v>
      </c>
      <c r="D17" s="2" t="s">
        <v>17</v>
      </c>
      <c r="E17" s="2" t="s">
        <v>47</v>
      </c>
      <c r="F17" s="2" t="s">
        <v>22</v>
      </c>
      <c r="G17" s="2">
        <v>161</v>
      </c>
      <c r="H17" s="4">
        <v>36450</v>
      </c>
    </row>
    <row r="18" spans="1:8" ht="14.25">
      <c r="A18" s="2" t="s">
        <v>13</v>
      </c>
      <c r="B18" s="3">
        <v>44477</v>
      </c>
      <c r="C18" s="3" t="s">
        <v>9</v>
      </c>
      <c r="D18" s="2" t="s">
        <v>20</v>
      </c>
      <c r="E18" s="2" t="s">
        <v>48</v>
      </c>
      <c r="F18" s="2" t="s">
        <v>22</v>
      </c>
      <c r="G18" s="2">
        <v>454</v>
      </c>
      <c r="H18" s="4">
        <v>13620</v>
      </c>
    </row>
    <row r="19" spans="1:8" ht="14.25">
      <c r="A19" s="2" t="s">
        <v>16</v>
      </c>
      <c r="B19" s="3">
        <v>44478</v>
      </c>
      <c r="C19" s="3" t="s">
        <v>9</v>
      </c>
      <c r="D19" s="2" t="s">
        <v>24</v>
      </c>
      <c r="E19" s="2" t="s">
        <v>15</v>
      </c>
      <c r="F19" s="2" t="s">
        <v>12</v>
      </c>
      <c r="G19" s="2">
        <v>234</v>
      </c>
      <c r="H19" s="4">
        <v>29656</v>
      </c>
    </row>
    <row r="20" spans="1:8" ht="14.25">
      <c r="A20" s="2" t="s">
        <v>19</v>
      </c>
      <c r="B20" s="3">
        <v>44479</v>
      </c>
      <c r="C20" s="3" t="s">
        <v>9</v>
      </c>
      <c r="D20" s="2" t="s">
        <v>27</v>
      </c>
      <c r="E20" s="2" t="s">
        <v>25</v>
      </c>
      <c r="F20" s="2" t="s">
        <v>12</v>
      </c>
      <c r="G20" s="2">
        <v>438</v>
      </c>
      <c r="H20" s="4">
        <v>53110</v>
      </c>
    </row>
    <row r="21" spans="1:8" ht="14.25">
      <c r="A21" s="2" t="s">
        <v>23</v>
      </c>
      <c r="B21" s="3">
        <v>44480</v>
      </c>
      <c r="C21" s="3" t="s">
        <v>9</v>
      </c>
      <c r="D21" s="2" t="s">
        <v>30</v>
      </c>
      <c r="E21" s="2" t="s">
        <v>49</v>
      </c>
      <c r="F21" s="2" t="s">
        <v>12</v>
      </c>
      <c r="G21" s="2">
        <v>392</v>
      </c>
      <c r="H21" s="4">
        <v>24568</v>
      </c>
    </row>
    <row r="22" spans="1:8" ht="14.25">
      <c r="A22" s="2" t="s">
        <v>26</v>
      </c>
      <c r="B22" s="3">
        <v>44481</v>
      </c>
      <c r="C22" s="3" t="s">
        <v>9</v>
      </c>
      <c r="D22" s="2" t="s">
        <v>33</v>
      </c>
      <c r="E22" s="2" t="s">
        <v>50</v>
      </c>
      <c r="F22" s="2" t="s">
        <v>22</v>
      </c>
      <c r="G22" s="2">
        <v>125</v>
      </c>
      <c r="H22" s="4">
        <v>26220</v>
      </c>
    </row>
    <row r="23" spans="1:8" ht="14.25">
      <c r="A23" s="2" t="s">
        <v>29</v>
      </c>
      <c r="B23" s="3">
        <v>44482</v>
      </c>
      <c r="C23" s="3" t="s">
        <v>9</v>
      </c>
      <c r="D23" s="2" t="s">
        <v>36</v>
      </c>
      <c r="E23" s="2" t="s">
        <v>48</v>
      </c>
      <c r="F23" s="2" t="s">
        <v>12</v>
      </c>
      <c r="G23" s="2">
        <v>443</v>
      </c>
      <c r="H23" s="4">
        <v>69755</v>
      </c>
    </row>
    <row r="24" spans="1:8" ht="14.25">
      <c r="A24" s="2" t="s">
        <v>32</v>
      </c>
      <c r="B24" s="3">
        <v>44483</v>
      </c>
      <c r="C24" s="3" t="s">
        <v>9</v>
      </c>
      <c r="D24" s="2" t="s">
        <v>38</v>
      </c>
      <c r="E24" s="2" t="s">
        <v>51</v>
      </c>
      <c r="F24" s="2" t="s">
        <v>12</v>
      </c>
      <c r="G24" s="2">
        <v>269</v>
      </c>
      <c r="H24" s="4">
        <v>77841</v>
      </c>
    </row>
    <row r="25" spans="1:8" ht="14.25">
      <c r="A25" s="2" t="s">
        <v>35</v>
      </c>
      <c r="B25" s="3">
        <v>44484</v>
      </c>
      <c r="C25" s="3" t="s">
        <v>9</v>
      </c>
      <c r="D25" s="2" t="s">
        <v>40</v>
      </c>
      <c r="E25" s="2" t="s">
        <v>15</v>
      </c>
      <c r="F25" s="2" t="s">
        <v>12</v>
      </c>
      <c r="G25" s="2">
        <v>198</v>
      </c>
      <c r="H25" s="4">
        <v>15632</v>
      </c>
    </row>
    <row r="26" spans="1:8" ht="14.25">
      <c r="A26" s="2" t="s">
        <v>37</v>
      </c>
      <c r="B26" s="3">
        <v>44485</v>
      </c>
      <c r="C26" s="3" t="s">
        <v>9</v>
      </c>
      <c r="D26" s="2" t="s">
        <v>42</v>
      </c>
      <c r="E26" s="2" t="s">
        <v>34</v>
      </c>
      <c r="F26" s="2" t="s">
        <v>22</v>
      </c>
      <c r="G26" s="2">
        <v>417</v>
      </c>
      <c r="H26" s="4">
        <v>39870</v>
      </c>
    </row>
    <row r="27" spans="1:8" ht="14.25">
      <c r="A27" s="2" t="s">
        <v>39</v>
      </c>
      <c r="B27" s="3">
        <v>44486</v>
      </c>
      <c r="C27" s="3" t="s">
        <v>9</v>
      </c>
      <c r="D27" s="2" t="s">
        <v>44</v>
      </c>
      <c r="E27" s="2" t="s">
        <v>25</v>
      </c>
      <c r="F27" s="2" t="s">
        <v>12</v>
      </c>
      <c r="G27" s="2">
        <v>287</v>
      </c>
      <c r="H27" s="4">
        <v>68089</v>
      </c>
    </row>
    <row r="28" spans="1:8" ht="14.25">
      <c r="A28" s="2" t="s">
        <v>41</v>
      </c>
      <c r="B28" s="3">
        <v>44487</v>
      </c>
      <c r="C28" s="3" t="s">
        <v>9</v>
      </c>
      <c r="D28" s="2" t="s">
        <v>10</v>
      </c>
      <c r="E28" s="2" t="s">
        <v>48</v>
      </c>
      <c r="F28" s="2" t="s">
        <v>12</v>
      </c>
      <c r="G28" s="2">
        <v>283</v>
      </c>
      <c r="H28" s="4">
        <v>13760</v>
      </c>
    </row>
    <row r="29" spans="1:8" ht="14.25">
      <c r="A29" s="2" t="s">
        <v>43</v>
      </c>
      <c r="B29" s="3">
        <v>44488</v>
      </c>
      <c r="C29" s="3" t="s">
        <v>9</v>
      </c>
      <c r="D29" s="2" t="s">
        <v>14</v>
      </c>
      <c r="E29" s="2" t="s">
        <v>15</v>
      </c>
      <c r="F29" s="2" t="s">
        <v>22</v>
      </c>
      <c r="G29" s="2">
        <v>392</v>
      </c>
      <c r="H29" s="4">
        <v>21906</v>
      </c>
    </row>
    <row r="30" spans="1:8" ht="14.25">
      <c r="A30" s="2" t="s">
        <v>45</v>
      </c>
      <c r="B30" s="3">
        <v>44489</v>
      </c>
      <c r="C30" s="3" t="s">
        <v>9</v>
      </c>
      <c r="D30" s="2" t="s">
        <v>17</v>
      </c>
      <c r="E30" s="2" t="s">
        <v>52</v>
      </c>
      <c r="F30" s="2" t="s">
        <v>12</v>
      </c>
      <c r="G30" s="2">
        <v>268</v>
      </c>
      <c r="H30" s="4">
        <v>27510</v>
      </c>
    </row>
    <row r="31" spans="1:8" ht="14.25">
      <c r="A31" s="2" t="s">
        <v>46</v>
      </c>
      <c r="B31" s="3">
        <v>44490</v>
      </c>
      <c r="C31" s="3" t="s">
        <v>9</v>
      </c>
      <c r="D31" s="2" t="s">
        <v>20</v>
      </c>
      <c r="E31" s="2" t="s">
        <v>48</v>
      </c>
      <c r="F31" s="2" t="s">
        <v>12</v>
      </c>
      <c r="G31" s="2">
        <v>110</v>
      </c>
      <c r="H31" s="4">
        <v>45234</v>
      </c>
    </row>
    <row r="32" spans="1:8" ht="14.25">
      <c r="A32" s="2" t="s">
        <v>8</v>
      </c>
      <c r="B32" s="3">
        <v>44491</v>
      </c>
      <c r="C32" s="3" t="s">
        <v>9</v>
      </c>
      <c r="D32" s="2" t="s">
        <v>24</v>
      </c>
      <c r="E32" s="2" t="s">
        <v>31</v>
      </c>
      <c r="F32" s="2" t="s">
        <v>22</v>
      </c>
      <c r="G32" s="2">
        <v>405</v>
      </c>
      <c r="H32" s="4">
        <v>16796</v>
      </c>
    </row>
    <row r="33" spans="1:8" ht="14.25">
      <c r="A33" s="2" t="s">
        <v>13</v>
      </c>
      <c r="B33" s="3">
        <v>44492</v>
      </c>
      <c r="C33" s="3" t="s">
        <v>9</v>
      </c>
      <c r="D33" s="2" t="s">
        <v>27</v>
      </c>
      <c r="E33" s="2" t="s">
        <v>50</v>
      </c>
      <c r="F33" s="2" t="s">
        <v>12</v>
      </c>
      <c r="G33" s="2">
        <v>293</v>
      </c>
      <c r="H33" s="4">
        <v>45936</v>
      </c>
    </row>
    <row r="34" spans="1:8" ht="14.25">
      <c r="A34" s="2" t="s">
        <v>16</v>
      </c>
      <c r="B34" s="3">
        <v>44493</v>
      </c>
      <c r="C34" s="3" t="s">
        <v>9</v>
      </c>
      <c r="D34" s="2" t="s">
        <v>30</v>
      </c>
      <c r="E34" s="2" t="s">
        <v>25</v>
      </c>
      <c r="F34" s="2" t="s">
        <v>12</v>
      </c>
      <c r="G34" s="2">
        <v>211</v>
      </c>
      <c r="H34" s="4">
        <v>19831</v>
      </c>
    </row>
    <row r="35" spans="1:8" ht="14.25">
      <c r="A35" s="2" t="s">
        <v>19</v>
      </c>
      <c r="B35" s="3">
        <v>44494</v>
      </c>
      <c r="C35" s="3" t="s">
        <v>9</v>
      </c>
      <c r="D35" s="2" t="s">
        <v>33</v>
      </c>
      <c r="E35" s="2" t="s">
        <v>52</v>
      </c>
      <c r="F35" s="2" t="s">
        <v>12</v>
      </c>
      <c r="G35" s="2">
        <v>111</v>
      </c>
      <c r="H35" s="4">
        <v>16308</v>
      </c>
    </row>
    <row r="36" spans="1:8" ht="14.25">
      <c r="A36" s="2" t="s">
        <v>23</v>
      </c>
      <c r="B36" s="3">
        <v>44495</v>
      </c>
      <c r="C36" s="3" t="s">
        <v>9</v>
      </c>
      <c r="D36" s="2" t="s">
        <v>36</v>
      </c>
      <c r="E36" s="2" t="s">
        <v>25</v>
      </c>
      <c r="F36" s="2" t="s">
        <v>22</v>
      </c>
      <c r="G36" s="2">
        <v>362</v>
      </c>
      <c r="H36" s="4">
        <v>25100</v>
      </c>
    </row>
    <row r="37" spans="1:8" ht="14.25">
      <c r="A37" s="2" t="s">
        <v>26</v>
      </c>
      <c r="B37" s="3">
        <v>44496</v>
      </c>
      <c r="C37" s="3" t="s">
        <v>9</v>
      </c>
      <c r="D37" s="2" t="s">
        <v>38</v>
      </c>
      <c r="E37" s="2" t="s">
        <v>25</v>
      </c>
      <c r="F37" s="2" t="s">
        <v>12</v>
      </c>
      <c r="G37" s="2">
        <v>412</v>
      </c>
      <c r="H37" s="4">
        <v>33320</v>
      </c>
    </row>
    <row r="38" spans="1:8" ht="14.25">
      <c r="A38" s="2" t="s">
        <v>29</v>
      </c>
      <c r="B38" s="3">
        <v>44497</v>
      </c>
      <c r="C38" s="3" t="s">
        <v>9</v>
      </c>
      <c r="D38" s="2" t="s">
        <v>40</v>
      </c>
      <c r="E38" s="2" t="s">
        <v>47</v>
      </c>
      <c r="F38" s="2" t="s">
        <v>12</v>
      </c>
      <c r="G38" s="2">
        <v>389</v>
      </c>
      <c r="H38" s="4">
        <v>36954</v>
      </c>
    </row>
    <row r="39" spans="1:8" ht="14.25">
      <c r="A39" s="2" t="s">
        <v>32</v>
      </c>
      <c r="B39" s="3">
        <v>44498</v>
      </c>
      <c r="C39" s="3" t="s">
        <v>9</v>
      </c>
      <c r="D39" s="2" t="s">
        <v>42</v>
      </c>
      <c r="E39" s="2" t="s">
        <v>34</v>
      </c>
      <c r="F39" s="2" t="s">
        <v>12</v>
      </c>
      <c r="G39" s="2">
        <v>257</v>
      </c>
      <c r="H39" s="4">
        <v>24640</v>
      </c>
    </row>
    <row r="40" spans="1:8" ht="14.25">
      <c r="A40" s="2" t="s">
        <v>35</v>
      </c>
      <c r="B40" s="3">
        <v>44499</v>
      </c>
      <c r="C40" s="3" t="s">
        <v>9</v>
      </c>
      <c r="D40" s="2" t="s">
        <v>44</v>
      </c>
      <c r="E40" s="2" t="s">
        <v>50</v>
      </c>
      <c r="F40" s="2" t="s">
        <v>22</v>
      </c>
      <c r="G40" s="2">
        <v>258</v>
      </c>
      <c r="H40" s="4">
        <v>21528</v>
      </c>
    </row>
    <row r="41" spans="1:8" ht="14.25">
      <c r="A41" s="2" t="s">
        <v>37</v>
      </c>
      <c r="B41" s="3">
        <v>44500</v>
      </c>
      <c r="C41" s="3" t="s">
        <v>9</v>
      </c>
      <c r="D41" s="2" t="s">
        <v>10</v>
      </c>
      <c r="E41" s="2" t="s">
        <v>50</v>
      </c>
      <c r="F41" s="2" t="s">
        <v>12</v>
      </c>
      <c r="G41" s="2">
        <v>485</v>
      </c>
      <c r="H41" s="4">
        <v>27837</v>
      </c>
    </row>
    <row r="42" spans="1:8" ht="14.25">
      <c r="A42" s="2" t="s">
        <v>39</v>
      </c>
      <c r="B42" s="3">
        <v>44501</v>
      </c>
      <c r="C42" s="3" t="s">
        <v>9</v>
      </c>
      <c r="D42" s="2" t="s">
        <v>14</v>
      </c>
      <c r="E42" s="2" t="s">
        <v>50</v>
      </c>
      <c r="F42" s="2" t="s">
        <v>12</v>
      </c>
      <c r="G42" s="2">
        <v>330</v>
      </c>
      <c r="H42" s="4">
        <v>77448</v>
      </c>
    </row>
    <row r="43" spans="1:8" ht="14.25">
      <c r="A43" s="2" t="s">
        <v>41</v>
      </c>
      <c r="B43" s="3">
        <v>44502</v>
      </c>
      <c r="C43" s="3" t="s">
        <v>9</v>
      </c>
      <c r="D43" s="2" t="s">
        <v>17</v>
      </c>
      <c r="E43" s="2" t="s">
        <v>11</v>
      </c>
      <c r="F43" s="2" t="s">
        <v>12</v>
      </c>
      <c r="G43" s="2">
        <v>220</v>
      </c>
      <c r="H43" s="4">
        <v>11502</v>
      </c>
    </row>
    <row r="44" spans="1:8" ht="14.25">
      <c r="A44" s="2" t="s">
        <v>43</v>
      </c>
      <c r="B44" s="3">
        <v>44503</v>
      </c>
      <c r="C44" s="3" t="s">
        <v>9</v>
      </c>
      <c r="D44" s="2" t="s">
        <v>20</v>
      </c>
      <c r="E44" s="2" t="s">
        <v>52</v>
      </c>
      <c r="F44" s="2" t="s">
        <v>12</v>
      </c>
      <c r="G44" s="2">
        <v>442</v>
      </c>
      <c r="H44" s="4">
        <v>75530</v>
      </c>
    </row>
    <row r="45" spans="1:8" ht="14.25">
      <c r="A45" s="2" t="s">
        <v>45</v>
      </c>
      <c r="B45" s="3">
        <v>44504</v>
      </c>
      <c r="C45" s="3" t="s">
        <v>9</v>
      </c>
      <c r="D45" s="2" t="s">
        <v>24</v>
      </c>
      <c r="E45" s="2" t="s">
        <v>47</v>
      </c>
      <c r="F45" s="2" t="s">
        <v>22</v>
      </c>
      <c r="G45" s="2">
        <v>344</v>
      </c>
      <c r="H45" s="4">
        <v>34640</v>
      </c>
    </row>
    <row r="46" spans="1:8" ht="14.25">
      <c r="A46" s="2" t="s">
        <v>46</v>
      </c>
      <c r="B46" s="3">
        <v>44505</v>
      </c>
      <c r="C46" s="3" t="s">
        <v>9</v>
      </c>
      <c r="D46" s="2" t="s">
        <v>27</v>
      </c>
      <c r="E46" s="2" t="s">
        <v>50</v>
      </c>
      <c r="F46" s="2" t="s">
        <v>12</v>
      </c>
      <c r="G46" s="2">
        <v>489</v>
      </c>
      <c r="H46" s="4">
        <v>6450</v>
      </c>
    </row>
    <row r="47" spans="1:8" ht="14.25">
      <c r="A47" s="2" t="s">
        <v>8</v>
      </c>
      <c r="B47" s="3">
        <v>44506</v>
      </c>
      <c r="C47" s="3" t="s">
        <v>9</v>
      </c>
      <c r="D47" s="2" t="s">
        <v>30</v>
      </c>
      <c r="E47" s="2" t="s">
        <v>15</v>
      </c>
      <c r="F47" s="2" t="s">
        <v>12</v>
      </c>
      <c r="G47" s="2">
        <v>309</v>
      </c>
      <c r="H47" s="4">
        <v>69968</v>
      </c>
    </row>
    <row r="48" spans="1:8" ht="14.25">
      <c r="A48" s="2" t="s">
        <v>13</v>
      </c>
      <c r="B48" s="3">
        <v>44507</v>
      </c>
      <c r="C48" s="3" t="s">
        <v>9</v>
      </c>
      <c r="D48" s="2" t="s">
        <v>33</v>
      </c>
      <c r="E48" s="2" t="s">
        <v>21</v>
      </c>
      <c r="F48" s="2" t="s">
        <v>12</v>
      </c>
      <c r="G48" s="2">
        <v>163</v>
      </c>
      <c r="H48" s="4">
        <v>33615</v>
      </c>
    </row>
    <row r="49" spans="1:8" ht="14.25">
      <c r="A49" s="2" t="s">
        <v>16</v>
      </c>
      <c r="B49" s="3">
        <v>44508</v>
      </c>
      <c r="C49" s="3" t="s">
        <v>9</v>
      </c>
      <c r="D49" s="2" t="s">
        <v>36</v>
      </c>
      <c r="E49" s="2" t="s">
        <v>49</v>
      </c>
      <c r="F49" s="2" t="s">
        <v>12</v>
      </c>
      <c r="G49" s="2">
        <v>408</v>
      </c>
      <c r="H49" s="4">
        <v>52670</v>
      </c>
    </row>
    <row r="50" spans="1:8" ht="14.25">
      <c r="A50" s="2" t="s">
        <v>19</v>
      </c>
      <c r="B50" s="3">
        <v>44509</v>
      </c>
      <c r="C50" s="3" t="s">
        <v>9</v>
      </c>
      <c r="D50" s="2" t="s">
        <v>38</v>
      </c>
      <c r="E50" s="2" t="s">
        <v>11</v>
      </c>
      <c r="F50" s="2" t="s">
        <v>22</v>
      </c>
      <c r="G50" s="2">
        <v>497</v>
      </c>
      <c r="H50" s="4">
        <v>52310</v>
      </c>
    </row>
    <row r="51" spans="1:8" ht="14.25">
      <c r="A51" s="2" t="s">
        <v>23</v>
      </c>
      <c r="B51" s="3">
        <v>44510</v>
      </c>
      <c r="C51" s="3" t="s">
        <v>9</v>
      </c>
      <c r="D51" s="2" t="s">
        <v>40</v>
      </c>
      <c r="E51" s="2" t="s">
        <v>15</v>
      </c>
      <c r="F51" s="2" t="s">
        <v>12</v>
      </c>
      <c r="G51" s="2">
        <v>100</v>
      </c>
      <c r="H51" s="4">
        <v>45078</v>
      </c>
    </row>
    <row r="52" spans="1:8" ht="14.25">
      <c r="A52" s="2" t="s">
        <v>26</v>
      </c>
      <c r="B52" s="3">
        <v>44511</v>
      </c>
      <c r="C52" s="3" t="s">
        <v>9</v>
      </c>
      <c r="D52" s="2" t="s">
        <v>42</v>
      </c>
      <c r="E52" s="2" t="s">
        <v>48</v>
      </c>
      <c r="F52" s="2" t="s">
        <v>12</v>
      </c>
      <c r="G52" s="2">
        <v>310</v>
      </c>
      <c r="H52" s="4">
        <v>21133</v>
      </c>
    </row>
    <row r="53" spans="1:8" ht="14.25">
      <c r="A53" s="2" t="s">
        <v>29</v>
      </c>
      <c r="B53" s="3">
        <v>44512</v>
      </c>
      <c r="C53" s="3" t="s">
        <v>9</v>
      </c>
      <c r="D53" s="2" t="s">
        <v>44</v>
      </c>
      <c r="E53" s="2" t="s">
        <v>18</v>
      </c>
      <c r="F53" s="2" t="s">
        <v>12</v>
      </c>
      <c r="G53" s="2">
        <v>399</v>
      </c>
      <c r="H53" s="4">
        <v>27624</v>
      </c>
    </row>
    <row r="54" spans="1:8" ht="14.25">
      <c r="A54" s="2" t="s">
        <v>32</v>
      </c>
      <c r="B54" s="3">
        <v>44513</v>
      </c>
      <c r="C54" s="3" t="s">
        <v>9</v>
      </c>
      <c r="D54" s="2" t="s">
        <v>10</v>
      </c>
      <c r="E54" s="2" t="s">
        <v>18</v>
      </c>
      <c r="F54" s="2" t="s">
        <v>12</v>
      </c>
      <c r="G54" s="2">
        <v>363</v>
      </c>
      <c r="H54" s="4">
        <v>29230</v>
      </c>
    </row>
    <row r="55" spans="1:8" ht="14.25">
      <c r="A55" s="2" t="s">
        <v>35</v>
      </c>
      <c r="B55" s="3">
        <v>44514</v>
      </c>
      <c r="C55" s="3" t="s">
        <v>9</v>
      </c>
      <c r="D55" s="2" t="s">
        <v>14</v>
      </c>
      <c r="E55" s="2" t="s">
        <v>48</v>
      </c>
      <c r="F55" s="2" t="s">
        <v>12</v>
      </c>
      <c r="G55" s="2">
        <v>301</v>
      </c>
      <c r="H55" s="4">
        <v>38832</v>
      </c>
    </row>
    <row r="56" spans="1:8" ht="14.25">
      <c r="A56" s="2" t="s">
        <v>37</v>
      </c>
      <c r="B56" s="3">
        <v>44515</v>
      </c>
      <c r="C56" s="3" t="s">
        <v>9</v>
      </c>
      <c r="D56" s="2" t="s">
        <v>17</v>
      </c>
      <c r="E56" s="2" t="s">
        <v>11</v>
      </c>
      <c r="F56" s="2" t="s">
        <v>22</v>
      </c>
      <c r="G56" s="2">
        <v>382</v>
      </c>
      <c r="H56" s="4">
        <v>31870</v>
      </c>
    </row>
    <row r="57" spans="1:8" ht="14.25">
      <c r="A57" s="2" t="s">
        <v>39</v>
      </c>
      <c r="B57" s="3">
        <v>44516</v>
      </c>
      <c r="C57" s="3" t="s">
        <v>9</v>
      </c>
      <c r="D57" s="2" t="s">
        <v>20</v>
      </c>
      <c r="E57" s="2" t="s">
        <v>51</v>
      </c>
      <c r="F57" s="2" t="s">
        <v>12</v>
      </c>
      <c r="G57" s="2">
        <v>314</v>
      </c>
      <c r="H57" s="4">
        <v>37688</v>
      </c>
    </row>
    <row r="58" spans="1:8" ht="14.25">
      <c r="A58" s="2" t="s">
        <v>41</v>
      </c>
      <c r="B58" s="3">
        <v>44517</v>
      </c>
      <c r="C58" s="3" t="s">
        <v>9</v>
      </c>
      <c r="D58" s="2" t="s">
        <v>24</v>
      </c>
      <c r="E58" s="2" t="s">
        <v>11</v>
      </c>
      <c r="F58" s="2" t="s">
        <v>12</v>
      </c>
      <c r="G58" s="2">
        <v>209</v>
      </c>
      <c r="H58" s="4">
        <v>25084</v>
      </c>
    </row>
    <row r="59" spans="1:8" ht="14.25">
      <c r="A59" s="2" t="s">
        <v>43</v>
      </c>
      <c r="B59" s="3">
        <v>44518</v>
      </c>
      <c r="C59" s="3" t="s">
        <v>9</v>
      </c>
      <c r="D59" s="2" t="s">
        <v>27</v>
      </c>
      <c r="E59" s="2" t="s">
        <v>47</v>
      </c>
      <c r="F59" s="2" t="s">
        <v>12</v>
      </c>
      <c r="G59" s="2">
        <v>129</v>
      </c>
      <c r="H59" s="4">
        <v>36144</v>
      </c>
    </row>
    <row r="60" spans="1:8" ht="14.25">
      <c r="A60" s="2" t="s">
        <v>45</v>
      </c>
      <c r="B60" s="3">
        <v>44519</v>
      </c>
      <c r="C60" s="3" t="s">
        <v>9</v>
      </c>
      <c r="D60" s="2" t="s">
        <v>30</v>
      </c>
      <c r="E60" s="2" t="s">
        <v>18</v>
      </c>
      <c r="F60" s="2" t="s">
        <v>12</v>
      </c>
      <c r="G60" s="2">
        <v>207</v>
      </c>
      <c r="H60" s="4">
        <v>6550</v>
      </c>
    </row>
    <row r="61" spans="1:8" ht="14.25">
      <c r="A61" s="2" t="s">
        <v>46</v>
      </c>
      <c r="B61" s="3">
        <v>44520</v>
      </c>
      <c r="C61" s="3" t="s">
        <v>9</v>
      </c>
      <c r="D61" s="2" t="s">
        <v>33</v>
      </c>
      <c r="E61" s="2" t="s">
        <v>28</v>
      </c>
      <c r="F61" s="2" t="s">
        <v>12</v>
      </c>
      <c r="G61" s="2">
        <v>205</v>
      </c>
      <c r="H61" s="4">
        <v>18240</v>
      </c>
    </row>
    <row r="62" spans="1:8" ht="14.25">
      <c r="A62" s="2" t="s">
        <v>8</v>
      </c>
      <c r="B62" s="3">
        <v>44521</v>
      </c>
      <c r="C62" s="3" t="s">
        <v>9</v>
      </c>
      <c r="D62" s="2" t="s">
        <v>36</v>
      </c>
      <c r="E62" s="2" t="s">
        <v>49</v>
      </c>
      <c r="F62" s="2" t="s">
        <v>22</v>
      </c>
      <c r="G62" s="2">
        <v>339</v>
      </c>
      <c r="H62" s="4">
        <v>31032</v>
      </c>
    </row>
    <row r="63" spans="1:8" ht="14.25">
      <c r="A63" s="2" t="s">
        <v>13</v>
      </c>
      <c r="B63" s="3">
        <v>44522</v>
      </c>
      <c r="C63" s="3" t="s">
        <v>9</v>
      </c>
      <c r="D63" s="2" t="s">
        <v>38</v>
      </c>
      <c r="E63" s="2" t="s">
        <v>48</v>
      </c>
      <c r="F63" s="2" t="s">
        <v>12</v>
      </c>
      <c r="G63" s="2">
        <v>276</v>
      </c>
      <c r="H63" s="4">
        <v>19443</v>
      </c>
    </row>
    <row r="64" spans="1:8" ht="14.25">
      <c r="A64" s="2" t="s">
        <v>16</v>
      </c>
      <c r="B64" s="3">
        <v>44523</v>
      </c>
      <c r="C64" s="3" t="s">
        <v>9</v>
      </c>
      <c r="D64" s="2" t="s">
        <v>40</v>
      </c>
      <c r="E64" s="2" t="s">
        <v>18</v>
      </c>
      <c r="F64" s="2" t="s">
        <v>12</v>
      </c>
      <c r="G64" s="2">
        <v>260</v>
      </c>
      <c r="H64" s="4">
        <v>9747</v>
      </c>
    </row>
    <row r="65" spans="1:8" ht="14.25">
      <c r="A65" s="2" t="s">
        <v>19</v>
      </c>
      <c r="B65" s="3">
        <v>44524</v>
      </c>
      <c r="C65" s="3" t="s">
        <v>9</v>
      </c>
      <c r="D65" s="2" t="s">
        <v>42</v>
      </c>
      <c r="E65" s="2" t="s">
        <v>51</v>
      </c>
      <c r="F65" s="2" t="s">
        <v>12</v>
      </c>
      <c r="G65" s="2">
        <v>415</v>
      </c>
      <c r="H65" s="4">
        <v>67976</v>
      </c>
    </row>
    <row r="66" spans="1:8" ht="14.25">
      <c r="A66" s="2" t="s">
        <v>23</v>
      </c>
      <c r="B66" s="3">
        <v>44525</v>
      </c>
      <c r="C66" s="3" t="s">
        <v>9</v>
      </c>
      <c r="D66" s="2" t="s">
        <v>44</v>
      </c>
      <c r="E66" s="2" t="s">
        <v>49</v>
      </c>
      <c r="F66" s="2" t="s">
        <v>12</v>
      </c>
      <c r="G66" s="2">
        <v>455</v>
      </c>
      <c r="H66" s="4">
        <v>12912</v>
      </c>
    </row>
    <row r="67" spans="1:8" ht="14.25">
      <c r="A67" s="2" t="s">
        <v>26</v>
      </c>
      <c r="B67" s="3">
        <v>44526</v>
      </c>
      <c r="C67" s="3" t="s">
        <v>9</v>
      </c>
      <c r="D67" s="2" t="s">
        <v>10</v>
      </c>
      <c r="E67" s="2" t="s">
        <v>49</v>
      </c>
      <c r="F67" s="2" t="s">
        <v>12</v>
      </c>
      <c r="G67" s="2">
        <v>335</v>
      </c>
      <c r="H67" s="4">
        <v>13376</v>
      </c>
    </row>
    <row r="68" spans="1:8" ht="14.25">
      <c r="A68" s="2" t="s">
        <v>29</v>
      </c>
      <c r="B68" s="3">
        <v>44527</v>
      </c>
      <c r="C68" s="3" t="s">
        <v>9</v>
      </c>
      <c r="D68" s="2" t="s">
        <v>14</v>
      </c>
      <c r="E68" s="2" t="s">
        <v>51</v>
      </c>
      <c r="F68" s="2" t="s">
        <v>22</v>
      </c>
      <c r="G68" s="2">
        <v>493</v>
      </c>
      <c r="H68" s="4">
        <v>45954</v>
      </c>
    </row>
    <row r="69" spans="1:8" ht="14.25">
      <c r="A69" s="2" t="s">
        <v>32</v>
      </c>
      <c r="B69" s="3">
        <v>44528</v>
      </c>
      <c r="C69" s="3" t="s">
        <v>9</v>
      </c>
      <c r="D69" s="2" t="s">
        <v>17</v>
      </c>
      <c r="E69" s="2" t="s">
        <v>11</v>
      </c>
      <c r="F69" s="2" t="s">
        <v>12</v>
      </c>
      <c r="G69" s="2">
        <v>178</v>
      </c>
      <c r="H69" s="4">
        <v>7441</v>
      </c>
    </row>
    <row r="70" spans="1:8" ht="14.25">
      <c r="A70" s="2" t="s">
        <v>35</v>
      </c>
      <c r="B70" s="3">
        <v>44529</v>
      </c>
      <c r="C70" s="3" t="s">
        <v>9</v>
      </c>
      <c r="D70" s="2" t="s">
        <v>20</v>
      </c>
      <c r="E70" s="2" t="s">
        <v>28</v>
      </c>
      <c r="F70" s="2" t="s">
        <v>12</v>
      </c>
      <c r="G70" s="2">
        <v>286</v>
      </c>
      <c r="H70" s="4">
        <v>27256</v>
      </c>
    </row>
    <row r="71" spans="1:8" ht="14.25">
      <c r="A71" s="2" t="s">
        <v>37</v>
      </c>
      <c r="B71" s="3">
        <v>44530</v>
      </c>
      <c r="C71" s="3" t="s">
        <v>9</v>
      </c>
      <c r="D71" s="2" t="s">
        <v>24</v>
      </c>
      <c r="E71" s="2" t="s">
        <v>48</v>
      </c>
      <c r="F71" s="2" t="s">
        <v>12</v>
      </c>
      <c r="G71" s="2">
        <v>114</v>
      </c>
      <c r="H71" s="4">
        <v>13370</v>
      </c>
    </row>
    <row r="72" spans="1:8" ht="14.25">
      <c r="A72" s="2" t="s">
        <v>39</v>
      </c>
      <c r="B72" s="3">
        <v>44531</v>
      </c>
      <c r="C72" s="3" t="s">
        <v>9</v>
      </c>
      <c r="D72" s="2" t="s">
        <v>27</v>
      </c>
      <c r="E72" s="2" t="s">
        <v>31</v>
      </c>
      <c r="F72" s="2" t="s">
        <v>12</v>
      </c>
      <c r="G72" s="2">
        <v>393</v>
      </c>
      <c r="H72" s="4">
        <v>16250</v>
      </c>
    </row>
    <row r="73" spans="1:8" ht="14.25">
      <c r="A73" s="2" t="s">
        <v>41</v>
      </c>
      <c r="B73" s="3">
        <v>44532</v>
      </c>
      <c r="C73" s="3" t="s">
        <v>9</v>
      </c>
      <c r="D73" s="2" t="s">
        <v>30</v>
      </c>
      <c r="E73" s="2" t="s">
        <v>28</v>
      </c>
      <c r="F73" s="2" t="s">
        <v>12</v>
      </c>
      <c r="G73" s="2">
        <v>369</v>
      </c>
      <c r="H73" s="4">
        <v>19206</v>
      </c>
    </row>
    <row r="74" spans="1:8" ht="14.25">
      <c r="A74" s="2" t="s">
        <v>43</v>
      </c>
      <c r="B74" s="3">
        <v>44533</v>
      </c>
      <c r="C74" s="3" t="s">
        <v>9</v>
      </c>
      <c r="D74" s="2" t="s">
        <v>33</v>
      </c>
      <c r="E74" s="2" t="s">
        <v>49</v>
      </c>
      <c r="F74" s="2" t="s">
        <v>22</v>
      </c>
      <c r="G74" s="2">
        <v>486</v>
      </c>
      <c r="H74" s="4">
        <v>34002</v>
      </c>
    </row>
    <row r="75" spans="1:8" ht="14.25">
      <c r="A75" s="2" t="s">
        <v>45</v>
      </c>
      <c r="B75" s="3">
        <v>44534</v>
      </c>
      <c r="C75" s="3" t="s">
        <v>9</v>
      </c>
      <c r="D75" s="2" t="s">
        <v>36</v>
      </c>
      <c r="E75" s="2" t="s">
        <v>48</v>
      </c>
      <c r="F75" s="2" t="s">
        <v>12</v>
      </c>
      <c r="G75" s="2">
        <v>343</v>
      </c>
      <c r="H75" s="4">
        <v>28836</v>
      </c>
    </row>
    <row r="76" spans="1:8" ht="14.25">
      <c r="A76" s="2" t="s">
        <v>46</v>
      </c>
      <c r="B76" s="3">
        <v>44535</v>
      </c>
      <c r="C76" s="3" t="s">
        <v>9</v>
      </c>
      <c r="D76" s="2" t="s">
        <v>38</v>
      </c>
      <c r="E76" s="2" t="s">
        <v>51</v>
      </c>
      <c r="F76" s="2" t="s">
        <v>12</v>
      </c>
      <c r="G76" s="2">
        <v>201</v>
      </c>
      <c r="H76" s="4">
        <v>76248</v>
      </c>
    </row>
    <row r="77" spans="1:8" ht="14.25">
      <c r="A77" s="2" t="s">
        <v>8</v>
      </c>
      <c r="B77" s="3">
        <v>44536</v>
      </c>
      <c r="C77" s="3" t="s">
        <v>9</v>
      </c>
      <c r="D77" s="2" t="s">
        <v>40</v>
      </c>
      <c r="E77" s="2" t="s">
        <v>15</v>
      </c>
      <c r="F77" s="2" t="s">
        <v>12</v>
      </c>
      <c r="G77" s="2">
        <v>479</v>
      </c>
      <c r="H77" s="4">
        <v>89180</v>
      </c>
    </row>
    <row r="78" spans="1:8" ht="14.25">
      <c r="A78" s="2" t="s">
        <v>13</v>
      </c>
      <c r="B78" s="3">
        <v>44537</v>
      </c>
      <c r="C78" s="3" t="s">
        <v>9</v>
      </c>
      <c r="D78" s="2" t="s">
        <v>42</v>
      </c>
      <c r="E78" s="2" t="s">
        <v>52</v>
      </c>
      <c r="F78" s="2" t="s">
        <v>12</v>
      </c>
      <c r="G78" s="2">
        <v>389</v>
      </c>
      <c r="H78" s="4">
        <v>55314</v>
      </c>
    </row>
    <row r="79" spans="1:8" ht="14.25">
      <c r="A79" s="2" t="s">
        <v>16</v>
      </c>
      <c r="B79" s="3">
        <v>44538</v>
      </c>
      <c r="C79" s="3" t="s">
        <v>9</v>
      </c>
      <c r="D79" s="2" t="s">
        <v>44</v>
      </c>
      <c r="E79" s="2" t="s">
        <v>52</v>
      </c>
      <c r="F79" s="2" t="s">
        <v>12</v>
      </c>
      <c r="G79" s="2">
        <v>275</v>
      </c>
      <c r="H79" s="4">
        <v>8864</v>
      </c>
    </row>
    <row r="80" spans="1:8" ht="14.25">
      <c r="A80" s="2" t="s">
        <v>19</v>
      </c>
      <c r="B80" s="3">
        <v>44539</v>
      </c>
      <c r="C80" s="3" t="s">
        <v>9</v>
      </c>
      <c r="D80" s="2" t="s">
        <v>10</v>
      </c>
      <c r="E80" s="2" t="s">
        <v>15</v>
      </c>
      <c r="F80" s="2" t="s">
        <v>12</v>
      </c>
      <c r="G80" s="2">
        <v>293</v>
      </c>
      <c r="H80" s="4">
        <v>26155</v>
      </c>
    </row>
    <row r="81" spans="1:8" ht="14.25">
      <c r="A81" s="2" t="s">
        <v>23</v>
      </c>
      <c r="B81" s="3">
        <v>44540</v>
      </c>
      <c r="C81" s="3" t="s">
        <v>9</v>
      </c>
      <c r="D81" s="2" t="s">
        <v>14</v>
      </c>
      <c r="E81" s="2" t="s">
        <v>49</v>
      </c>
      <c r="F81" s="2" t="s">
        <v>22</v>
      </c>
      <c r="G81" s="2">
        <v>404</v>
      </c>
      <c r="H81" s="4">
        <v>4084</v>
      </c>
    </row>
    <row r="82" spans="1:8" ht="14.25">
      <c r="A82" s="2" t="s">
        <v>26</v>
      </c>
      <c r="B82" s="3">
        <v>44541</v>
      </c>
      <c r="C82" s="3" t="s">
        <v>9</v>
      </c>
      <c r="D82" s="2" t="s">
        <v>17</v>
      </c>
      <c r="E82" s="2" t="s">
        <v>11</v>
      </c>
      <c r="F82" s="2" t="s">
        <v>12</v>
      </c>
      <c r="G82" s="2">
        <v>490</v>
      </c>
      <c r="H82" s="4">
        <v>23862</v>
      </c>
    </row>
    <row r="83" spans="1:8" ht="14.25">
      <c r="A83" s="2" t="s">
        <v>29</v>
      </c>
      <c r="B83" s="3">
        <v>44542</v>
      </c>
      <c r="C83" s="3" t="s">
        <v>9</v>
      </c>
      <c r="D83" s="2" t="s">
        <v>20</v>
      </c>
      <c r="E83" s="2" t="s">
        <v>48</v>
      </c>
      <c r="F83" s="2" t="s">
        <v>12</v>
      </c>
      <c r="G83" s="2">
        <v>366</v>
      </c>
      <c r="H83" s="4">
        <v>15702</v>
      </c>
    </row>
    <row r="84" spans="1:8" ht="14.25">
      <c r="A84" s="2" t="s">
        <v>32</v>
      </c>
      <c r="B84" s="3">
        <v>44543</v>
      </c>
      <c r="C84" s="3" t="s">
        <v>9</v>
      </c>
      <c r="D84" s="2" t="s">
        <v>24</v>
      </c>
      <c r="E84" s="2" t="s">
        <v>25</v>
      </c>
      <c r="F84" s="2" t="s">
        <v>12</v>
      </c>
      <c r="G84" s="2">
        <v>328</v>
      </c>
      <c r="H84" s="4">
        <v>11120</v>
      </c>
    </row>
    <row r="85" spans="1:8" ht="14.25">
      <c r="A85" s="2" t="s">
        <v>35</v>
      </c>
      <c r="B85" s="3">
        <v>44544</v>
      </c>
      <c r="C85" s="3" t="s">
        <v>9</v>
      </c>
      <c r="D85" s="2" t="s">
        <v>27</v>
      </c>
      <c r="E85" s="2" t="s">
        <v>51</v>
      </c>
      <c r="F85" s="2" t="s">
        <v>12</v>
      </c>
      <c r="G85" s="2">
        <v>386</v>
      </c>
      <c r="H85" s="4">
        <v>6537</v>
      </c>
    </row>
    <row r="86" spans="1:8" ht="14.25">
      <c r="A86" s="2" t="s">
        <v>37</v>
      </c>
      <c r="B86" s="3">
        <v>44545</v>
      </c>
      <c r="C86" s="3" t="s">
        <v>9</v>
      </c>
      <c r="D86" s="2" t="s">
        <v>30</v>
      </c>
      <c r="E86" s="2" t="s">
        <v>31</v>
      </c>
      <c r="F86" s="2" t="s">
        <v>12</v>
      </c>
      <c r="G86" s="2">
        <v>404</v>
      </c>
      <c r="H86" s="4">
        <v>51600</v>
      </c>
    </row>
    <row r="87" spans="1:8" ht="14.25">
      <c r="A87" s="2" t="s">
        <v>39</v>
      </c>
      <c r="B87" s="3">
        <v>44546</v>
      </c>
      <c r="C87" s="3" t="s">
        <v>9</v>
      </c>
      <c r="D87" s="2" t="s">
        <v>33</v>
      </c>
      <c r="E87" s="2" t="s">
        <v>18</v>
      </c>
      <c r="F87" s="2" t="s">
        <v>12</v>
      </c>
      <c r="G87" s="2">
        <v>488</v>
      </c>
      <c r="H87" s="4">
        <v>40912</v>
      </c>
    </row>
    <row r="88" spans="1:8" ht="14.25">
      <c r="A88" s="2" t="s">
        <v>41</v>
      </c>
      <c r="B88" s="3">
        <v>44547</v>
      </c>
      <c r="C88" s="3" t="s">
        <v>9</v>
      </c>
      <c r="D88" s="2" t="s">
        <v>36</v>
      </c>
      <c r="E88" s="2" t="s">
        <v>47</v>
      </c>
      <c r="F88" s="2" t="s">
        <v>22</v>
      </c>
      <c r="G88" s="2">
        <v>343</v>
      </c>
      <c r="H88" s="4">
        <v>31672</v>
      </c>
    </row>
    <row r="89" spans="1:8" ht="14.25">
      <c r="A89" s="2" t="s">
        <v>43</v>
      </c>
      <c r="B89" s="3">
        <v>44548</v>
      </c>
      <c r="C89" s="3" t="s">
        <v>9</v>
      </c>
      <c r="D89" s="2" t="s">
        <v>38</v>
      </c>
      <c r="E89" s="2" t="s">
        <v>51</v>
      </c>
      <c r="F89" s="2" t="s">
        <v>12</v>
      </c>
      <c r="G89" s="2">
        <v>442</v>
      </c>
      <c r="H89" s="4">
        <v>57688</v>
      </c>
    </row>
    <row r="90" spans="1:8" ht="14.25">
      <c r="A90" s="2" t="s">
        <v>45</v>
      </c>
      <c r="B90" s="3">
        <v>44549</v>
      </c>
      <c r="C90" s="3" t="s">
        <v>9</v>
      </c>
      <c r="D90" s="2" t="s">
        <v>40</v>
      </c>
      <c r="E90" s="2" t="s">
        <v>25</v>
      </c>
      <c r="F90" s="2" t="s">
        <v>12</v>
      </c>
      <c r="G90" s="2">
        <v>348</v>
      </c>
      <c r="H90" s="4">
        <v>14400</v>
      </c>
    </row>
    <row r="91" spans="1:8" ht="14.25">
      <c r="A91" s="2" t="s">
        <v>46</v>
      </c>
      <c r="B91" s="3">
        <v>44550</v>
      </c>
      <c r="C91" s="3" t="s">
        <v>9</v>
      </c>
      <c r="D91" s="2" t="s">
        <v>42</v>
      </c>
      <c r="E91" s="2" t="s">
        <v>52</v>
      </c>
      <c r="F91" s="2" t="s">
        <v>12</v>
      </c>
      <c r="G91" s="2">
        <v>406</v>
      </c>
      <c r="H91" s="4">
        <v>58760</v>
      </c>
    </row>
    <row r="92" spans="1:8" ht="14.25">
      <c r="A92" s="2" t="s">
        <v>8</v>
      </c>
      <c r="B92" s="3">
        <v>44551</v>
      </c>
      <c r="C92" s="3" t="s">
        <v>9</v>
      </c>
      <c r="D92" s="2" t="s">
        <v>44</v>
      </c>
      <c r="E92" s="2" t="s">
        <v>47</v>
      </c>
      <c r="F92" s="2" t="s">
        <v>12</v>
      </c>
      <c r="G92" s="2">
        <v>225</v>
      </c>
      <c r="H92" s="4">
        <v>11675</v>
      </c>
    </row>
    <row r="93" spans="1:8" ht="14.25">
      <c r="A93" s="2" t="s">
        <v>13</v>
      </c>
      <c r="B93" s="3">
        <v>44552</v>
      </c>
      <c r="C93" s="3" t="s">
        <v>9</v>
      </c>
      <c r="D93" s="2" t="s">
        <v>10</v>
      </c>
      <c r="E93" s="2" t="s">
        <v>52</v>
      </c>
      <c r="F93" s="2" t="s">
        <v>12</v>
      </c>
      <c r="G93" s="2">
        <v>295</v>
      </c>
      <c r="H93" s="4">
        <v>31581</v>
      </c>
    </row>
    <row r="94" spans="1:8" ht="14.25">
      <c r="A94" s="2" t="s">
        <v>16</v>
      </c>
      <c r="B94" s="3">
        <v>44553</v>
      </c>
      <c r="C94" s="3" t="s">
        <v>9</v>
      </c>
      <c r="D94" s="2" t="s">
        <v>14</v>
      </c>
      <c r="E94" s="2" t="s">
        <v>34</v>
      </c>
      <c r="F94" s="2" t="s">
        <v>12</v>
      </c>
      <c r="G94" s="2">
        <v>193</v>
      </c>
      <c r="H94" s="4">
        <v>13084</v>
      </c>
    </row>
    <row r="95" spans="1:8" ht="14.25">
      <c r="A95" s="2" t="s">
        <v>19</v>
      </c>
      <c r="B95" s="3">
        <v>44554</v>
      </c>
      <c r="C95" s="3" t="s">
        <v>9</v>
      </c>
      <c r="D95" s="2" t="s">
        <v>17</v>
      </c>
      <c r="E95" s="2" t="s">
        <v>28</v>
      </c>
      <c r="F95" s="2" t="s">
        <v>22</v>
      </c>
      <c r="G95" s="2">
        <v>291</v>
      </c>
      <c r="H95" s="4">
        <v>39135</v>
      </c>
    </row>
    <row r="96" spans="1:8" ht="14.25">
      <c r="A96" s="2" t="s">
        <v>23</v>
      </c>
      <c r="B96" s="3">
        <v>44555</v>
      </c>
      <c r="C96" s="3" t="s">
        <v>9</v>
      </c>
      <c r="D96" s="2" t="s">
        <v>20</v>
      </c>
      <c r="E96" s="2" t="s">
        <v>49</v>
      </c>
      <c r="F96" s="2" t="s">
        <v>12</v>
      </c>
      <c r="G96" s="2">
        <v>229</v>
      </c>
      <c r="H96" s="4">
        <v>41100</v>
      </c>
    </row>
    <row r="97" spans="1:8" ht="14.25">
      <c r="A97" s="2" t="s">
        <v>26</v>
      </c>
      <c r="B97" s="3">
        <v>44556</v>
      </c>
      <c r="C97" s="3" t="s">
        <v>9</v>
      </c>
      <c r="D97" s="2" t="s">
        <v>24</v>
      </c>
      <c r="E97" s="2" t="s">
        <v>50</v>
      </c>
      <c r="F97" s="2" t="s">
        <v>12</v>
      </c>
      <c r="G97" s="2">
        <v>264</v>
      </c>
      <c r="H97" s="4">
        <v>57342</v>
      </c>
    </row>
    <row r="98" spans="1:8" ht="14.25">
      <c r="A98" s="2" t="s">
        <v>29</v>
      </c>
      <c r="B98" s="3">
        <v>44557</v>
      </c>
      <c r="C98" s="3" t="s">
        <v>9</v>
      </c>
      <c r="D98" s="2" t="s">
        <v>27</v>
      </c>
      <c r="E98" s="2" t="s">
        <v>15</v>
      </c>
      <c r="F98" s="2" t="s">
        <v>12</v>
      </c>
      <c r="G98" s="2">
        <v>155</v>
      </c>
      <c r="H98" s="4">
        <v>21132</v>
      </c>
    </row>
    <row r="99" spans="1:8" ht="14.25">
      <c r="A99" s="2" t="s">
        <v>32</v>
      </c>
      <c r="B99" s="3">
        <v>44558</v>
      </c>
      <c r="C99" s="3" t="s">
        <v>9</v>
      </c>
      <c r="D99" s="2" t="s">
        <v>30</v>
      </c>
      <c r="E99" s="2" t="s">
        <v>50</v>
      </c>
      <c r="F99" s="2" t="s">
        <v>12</v>
      </c>
      <c r="G99" s="2">
        <v>414</v>
      </c>
      <c r="H99" s="4">
        <v>61649</v>
      </c>
    </row>
    <row r="100" spans="1:8" ht="14.25">
      <c r="A100" s="2" t="s">
        <v>35</v>
      </c>
      <c r="B100" s="3">
        <v>44559</v>
      </c>
      <c r="C100" s="3" t="s">
        <v>9</v>
      </c>
      <c r="D100" s="2" t="s">
        <v>33</v>
      </c>
      <c r="E100" s="2" t="s">
        <v>47</v>
      </c>
      <c r="F100" s="2" t="s">
        <v>12</v>
      </c>
      <c r="G100" s="2">
        <v>250</v>
      </c>
      <c r="H100" s="4">
        <v>98050</v>
      </c>
    </row>
    <row r="101" spans="1:8" ht="14.25">
      <c r="A101" s="2" t="s">
        <v>37</v>
      </c>
      <c r="B101" s="3">
        <v>44560</v>
      </c>
      <c r="C101" s="3" t="s">
        <v>9</v>
      </c>
      <c r="D101" s="2" t="s">
        <v>36</v>
      </c>
      <c r="E101" s="2" t="s">
        <v>51</v>
      </c>
      <c r="F101" s="2" t="s">
        <v>12</v>
      </c>
      <c r="G101" s="2">
        <v>259</v>
      </c>
      <c r="H101" s="4">
        <v>13276</v>
      </c>
    </row>
    <row r="102" spans="1:8" ht="14.25">
      <c r="A102" s="2" t="s">
        <v>39</v>
      </c>
      <c r="B102" s="3">
        <v>44561</v>
      </c>
      <c r="C102" s="3" t="s">
        <v>9</v>
      </c>
      <c r="D102" s="2" t="s">
        <v>38</v>
      </c>
      <c r="E102" s="2" t="s">
        <v>51</v>
      </c>
      <c r="F102" s="2" t="s">
        <v>22</v>
      </c>
      <c r="G102" s="2">
        <v>275</v>
      </c>
      <c r="H102" s="4">
        <v>34856</v>
      </c>
    </row>
    <row r="103" spans="1:8" ht="14.25">
      <c r="A103" s="2" t="s">
        <v>41</v>
      </c>
      <c r="B103" s="3">
        <v>44562</v>
      </c>
      <c r="C103" s="3" t="s">
        <v>9</v>
      </c>
      <c r="D103" s="2" t="s">
        <v>40</v>
      </c>
      <c r="E103" s="2" t="s">
        <v>52</v>
      </c>
      <c r="F103" s="2" t="s">
        <v>12</v>
      </c>
      <c r="G103" s="2">
        <v>113</v>
      </c>
      <c r="H103" s="4">
        <v>13392</v>
      </c>
    </row>
    <row r="104" spans="1:8" ht="14.25">
      <c r="A104" s="2" t="s">
        <v>43</v>
      </c>
      <c r="B104" s="3">
        <v>44563</v>
      </c>
      <c r="C104" s="3" t="s">
        <v>9</v>
      </c>
      <c r="D104" s="2" t="s">
        <v>42</v>
      </c>
      <c r="E104" s="2" t="s">
        <v>11</v>
      </c>
      <c r="F104" s="2" t="s">
        <v>12</v>
      </c>
      <c r="G104" s="2">
        <v>268</v>
      </c>
      <c r="H104" s="4">
        <v>29490</v>
      </c>
    </row>
    <row r="105" spans="1:8" ht="14.25">
      <c r="A105" s="2" t="s">
        <v>45</v>
      </c>
      <c r="B105" s="3">
        <v>44564</v>
      </c>
      <c r="C105" s="3" t="s">
        <v>9</v>
      </c>
      <c r="D105" s="2" t="s">
        <v>44</v>
      </c>
      <c r="E105" s="2" t="s">
        <v>48</v>
      </c>
      <c r="F105" s="2" t="s">
        <v>12</v>
      </c>
      <c r="G105" s="2">
        <v>195</v>
      </c>
      <c r="H105" s="4">
        <v>25299</v>
      </c>
    </row>
    <row r="106" spans="1:8" ht="14.25">
      <c r="A106" s="2" t="s">
        <v>46</v>
      </c>
      <c r="B106" s="3">
        <v>44565</v>
      </c>
      <c r="C106" s="3" t="s">
        <v>9</v>
      </c>
      <c r="D106" s="2" t="s">
        <v>10</v>
      </c>
      <c r="E106" s="2" t="s">
        <v>28</v>
      </c>
      <c r="F106" s="2" t="s">
        <v>12</v>
      </c>
      <c r="G106" s="2">
        <v>130</v>
      </c>
      <c r="H106" s="4">
        <v>3357</v>
      </c>
    </row>
    <row r="107" spans="1:8" ht="14.25">
      <c r="A107" s="2" t="s">
        <v>8</v>
      </c>
      <c r="B107" s="3">
        <v>44566</v>
      </c>
      <c r="C107" s="3" t="s">
        <v>9</v>
      </c>
      <c r="D107" s="2" t="s">
        <v>14</v>
      </c>
      <c r="E107" s="2" t="s">
        <v>25</v>
      </c>
      <c r="F107" s="2" t="s">
        <v>12</v>
      </c>
      <c r="G107" s="2">
        <v>201</v>
      </c>
      <c r="H107" s="4">
        <v>79983</v>
      </c>
    </row>
    <row r="108" spans="1:8" ht="14.25">
      <c r="A108" s="2" t="s">
        <v>13</v>
      </c>
      <c r="B108" s="3">
        <v>44567</v>
      </c>
      <c r="C108" s="3" t="s">
        <v>9</v>
      </c>
      <c r="D108" s="2" t="s">
        <v>17</v>
      </c>
      <c r="E108" s="2" t="s">
        <v>18</v>
      </c>
      <c r="F108" s="2" t="s">
        <v>12</v>
      </c>
      <c r="G108" s="2">
        <v>260</v>
      </c>
      <c r="H108" s="4">
        <v>22092</v>
      </c>
    </row>
    <row r="109" spans="1:8" ht="14.25">
      <c r="A109" s="2" t="s">
        <v>16</v>
      </c>
      <c r="B109" s="3">
        <v>44568</v>
      </c>
      <c r="C109" s="3" t="s">
        <v>9</v>
      </c>
      <c r="D109" s="2" t="s">
        <v>20</v>
      </c>
      <c r="E109" s="2" t="s">
        <v>31</v>
      </c>
      <c r="F109" s="2" t="s">
        <v>12</v>
      </c>
      <c r="G109" s="2">
        <v>227</v>
      </c>
      <c r="H109" s="4">
        <v>6152</v>
      </c>
    </row>
    <row r="110" spans="1:8" ht="14.25">
      <c r="A110" s="2" t="s">
        <v>19</v>
      </c>
      <c r="B110" s="3">
        <v>44569</v>
      </c>
      <c r="C110" s="3" t="s">
        <v>9</v>
      </c>
      <c r="D110" s="2" t="s">
        <v>24</v>
      </c>
      <c r="E110" s="2" t="s">
        <v>48</v>
      </c>
      <c r="F110" s="2" t="s">
        <v>12</v>
      </c>
      <c r="G110" s="2">
        <v>300</v>
      </c>
      <c r="H110" s="4">
        <v>35325</v>
      </c>
    </row>
    <row r="111" spans="1:8" ht="14.25">
      <c r="A111" s="2" t="s">
        <v>23</v>
      </c>
      <c r="B111" s="3">
        <v>44570</v>
      </c>
      <c r="C111" s="3" t="s">
        <v>9</v>
      </c>
      <c r="D111" s="2" t="s">
        <v>27</v>
      </c>
      <c r="E111" s="2" t="s">
        <v>48</v>
      </c>
      <c r="F111" s="2" t="s">
        <v>12</v>
      </c>
      <c r="G111" s="2">
        <v>369</v>
      </c>
      <c r="H111" s="4">
        <v>39970</v>
      </c>
    </row>
    <row r="112" spans="1:8" ht="14.25">
      <c r="A112" s="2" t="s">
        <v>26</v>
      </c>
      <c r="B112" s="3">
        <v>44571</v>
      </c>
      <c r="C112" s="3" t="s">
        <v>9</v>
      </c>
      <c r="D112" s="2" t="s">
        <v>30</v>
      </c>
      <c r="E112" s="2" t="s">
        <v>31</v>
      </c>
      <c r="F112" s="2" t="s">
        <v>12</v>
      </c>
      <c r="G112" s="2">
        <v>304</v>
      </c>
      <c r="H112" s="4">
        <v>43326</v>
      </c>
    </row>
    <row r="113" spans="1:8" ht="14.25">
      <c r="A113" s="2" t="s">
        <v>29</v>
      </c>
      <c r="B113" s="3">
        <v>44572</v>
      </c>
      <c r="C113" s="3" t="s">
        <v>9</v>
      </c>
      <c r="D113" s="2" t="s">
        <v>33</v>
      </c>
      <c r="E113" s="2" t="s">
        <v>15</v>
      </c>
      <c r="F113" s="2" t="s">
        <v>22</v>
      </c>
      <c r="G113" s="2">
        <v>210</v>
      </c>
      <c r="H113" s="4">
        <v>9729</v>
      </c>
    </row>
    <row r="114" spans="1:8" ht="14.25">
      <c r="A114" s="2" t="s">
        <v>32</v>
      </c>
      <c r="B114" s="3">
        <v>44573</v>
      </c>
      <c r="C114" s="3" t="s">
        <v>9</v>
      </c>
      <c r="D114" s="2" t="s">
        <v>36</v>
      </c>
      <c r="E114" s="2" t="s">
        <v>21</v>
      </c>
      <c r="F114" s="2" t="s">
        <v>22</v>
      </c>
      <c r="G114" s="2">
        <v>287</v>
      </c>
      <c r="H114" s="4">
        <v>69776</v>
      </c>
    </row>
    <row r="115" spans="1:8" ht="14.25">
      <c r="A115" s="2" t="s">
        <v>35</v>
      </c>
      <c r="B115" s="3">
        <v>44574</v>
      </c>
      <c r="C115" s="3" t="s">
        <v>9</v>
      </c>
      <c r="D115" s="2" t="s">
        <v>38</v>
      </c>
      <c r="E115" s="2" t="s">
        <v>50</v>
      </c>
      <c r="F115" s="2" t="s">
        <v>22</v>
      </c>
      <c r="G115" s="2">
        <v>384</v>
      </c>
      <c r="H115" s="4">
        <v>60030</v>
      </c>
    </row>
    <row r="116" spans="1:8" ht="14.25">
      <c r="A116" s="2" t="s">
        <v>37</v>
      </c>
      <c r="B116" s="3">
        <v>44575</v>
      </c>
      <c r="C116" s="3" t="s">
        <v>9</v>
      </c>
      <c r="D116" s="2" t="s">
        <v>40</v>
      </c>
      <c r="E116" s="2" t="s">
        <v>47</v>
      </c>
      <c r="F116" s="2" t="s">
        <v>22</v>
      </c>
      <c r="G116" s="2">
        <v>221</v>
      </c>
      <c r="H116" s="4">
        <v>38322</v>
      </c>
    </row>
    <row r="117" spans="1:8" ht="14.25">
      <c r="A117" s="2" t="s">
        <v>39</v>
      </c>
      <c r="B117" s="3">
        <v>44576</v>
      </c>
      <c r="C117" s="3" t="s">
        <v>9</v>
      </c>
      <c r="D117" s="2" t="s">
        <v>42</v>
      </c>
      <c r="E117" s="2" t="s">
        <v>52</v>
      </c>
      <c r="F117" s="2" t="s">
        <v>22</v>
      </c>
      <c r="G117" s="2">
        <v>268</v>
      </c>
      <c r="H117" s="4">
        <v>14028</v>
      </c>
    </row>
    <row r="118" spans="1:8" ht="14.25">
      <c r="A118" s="2" t="s">
        <v>41</v>
      </c>
      <c r="B118" s="3">
        <v>44577</v>
      </c>
      <c r="C118" s="3" t="s">
        <v>9</v>
      </c>
      <c r="D118" s="2" t="s">
        <v>44</v>
      </c>
      <c r="E118" s="2" t="s">
        <v>52</v>
      </c>
      <c r="F118" s="2" t="s">
        <v>12</v>
      </c>
      <c r="G118" s="2">
        <v>490</v>
      </c>
      <c r="H118" s="4">
        <v>77288</v>
      </c>
    </row>
    <row r="119" spans="1:8" ht="14.25">
      <c r="A119" s="2" t="s">
        <v>43</v>
      </c>
      <c r="B119" s="3">
        <v>44578</v>
      </c>
      <c r="C119" s="3" t="s">
        <v>9</v>
      </c>
      <c r="D119" s="2" t="s">
        <v>10</v>
      </c>
      <c r="E119" s="2" t="s">
        <v>50</v>
      </c>
      <c r="F119" s="2" t="s">
        <v>12</v>
      </c>
      <c r="G119" s="2">
        <v>462</v>
      </c>
      <c r="H119" s="4">
        <v>26946</v>
      </c>
    </row>
    <row r="120" spans="1:8" ht="14.25">
      <c r="A120" s="2" t="s">
        <v>45</v>
      </c>
      <c r="B120" s="3">
        <v>44579</v>
      </c>
      <c r="C120" s="3" t="s">
        <v>9</v>
      </c>
      <c r="D120" s="2" t="s">
        <v>14</v>
      </c>
      <c r="E120" s="2" t="s">
        <v>51</v>
      </c>
      <c r="F120" s="2" t="s">
        <v>12</v>
      </c>
      <c r="G120" s="2">
        <v>338</v>
      </c>
      <c r="H120" s="4">
        <v>37200</v>
      </c>
    </row>
    <row r="121" spans="1:8" ht="14.25">
      <c r="A121" s="2" t="s">
        <v>46</v>
      </c>
      <c r="B121" s="3">
        <v>44580</v>
      </c>
      <c r="C121" s="3" t="s">
        <v>9</v>
      </c>
      <c r="D121" s="2" t="s">
        <v>17</v>
      </c>
      <c r="E121" s="2" t="s">
        <v>48</v>
      </c>
      <c r="F121" s="2" t="s">
        <v>12</v>
      </c>
      <c r="G121" s="2">
        <v>417</v>
      </c>
      <c r="H121" s="4">
        <v>34083</v>
      </c>
    </row>
    <row r="122" spans="1:8" ht="14.25">
      <c r="A122" s="2" t="s">
        <v>8</v>
      </c>
      <c r="B122" s="3">
        <v>44581</v>
      </c>
      <c r="C122" s="3" t="s">
        <v>9</v>
      </c>
      <c r="D122" s="2" t="s">
        <v>20</v>
      </c>
      <c r="E122" s="2" t="s">
        <v>15</v>
      </c>
      <c r="F122" s="2" t="s">
        <v>22</v>
      </c>
      <c r="G122" s="2">
        <v>344</v>
      </c>
      <c r="H122" s="4">
        <v>60200</v>
      </c>
    </row>
    <row r="123" spans="1:8" ht="14.25">
      <c r="A123" s="2" t="s">
        <v>13</v>
      </c>
      <c r="B123" s="3">
        <v>44582</v>
      </c>
      <c r="C123" s="3" t="s">
        <v>9</v>
      </c>
      <c r="D123" s="2" t="s">
        <v>24</v>
      </c>
      <c r="E123" s="2" t="s">
        <v>31</v>
      </c>
      <c r="F123" s="2" t="s">
        <v>12</v>
      </c>
      <c r="G123" s="2">
        <v>122</v>
      </c>
      <c r="H123" s="4">
        <v>11613</v>
      </c>
    </row>
    <row r="124" spans="1:8" ht="14.25">
      <c r="A124" s="2" t="s">
        <v>16</v>
      </c>
      <c r="B124" s="3">
        <v>44583</v>
      </c>
      <c r="C124" s="3" t="s">
        <v>9</v>
      </c>
      <c r="D124" s="2" t="s">
        <v>27</v>
      </c>
      <c r="E124" s="2" t="s">
        <v>50</v>
      </c>
      <c r="F124" s="2" t="s">
        <v>12</v>
      </c>
      <c r="G124" s="2">
        <v>305</v>
      </c>
      <c r="H124" s="4">
        <v>26125</v>
      </c>
    </row>
    <row r="125" spans="1:8" ht="14.25">
      <c r="A125" s="2" t="s">
        <v>19</v>
      </c>
      <c r="B125" s="3">
        <v>44584</v>
      </c>
      <c r="C125" s="3" t="s">
        <v>9</v>
      </c>
      <c r="D125" s="2" t="s">
        <v>30</v>
      </c>
      <c r="E125" s="2" t="s">
        <v>34</v>
      </c>
      <c r="F125" s="2" t="s">
        <v>12</v>
      </c>
      <c r="G125" s="2">
        <v>291</v>
      </c>
      <c r="H125" s="4">
        <v>94780</v>
      </c>
    </row>
    <row r="126" spans="1:8" ht="14.25">
      <c r="A126" s="2" t="s">
        <v>23</v>
      </c>
      <c r="B126" s="3">
        <v>44585</v>
      </c>
      <c r="C126" s="3" t="s">
        <v>9</v>
      </c>
      <c r="D126" s="2" t="s">
        <v>33</v>
      </c>
      <c r="E126" s="2" t="s">
        <v>49</v>
      </c>
      <c r="F126" s="2" t="s">
        <v>22</v>
      </c>
      <c r="G126" s="2">
        <v>304</v>
      </c>
      <c r="H126" s="4">
        <v>29826</v>
      </c>
    </row>
    <row r="127" spans="1:8" ht="14.25">
      <c r="A127" s="2" t="s">
        <v>26</v>
      </c>
      <c r="B127" s="3">
        <v>44586</v>
      </c>
      <c r="C127" s="3" t="s">
        <v>9</v>
      </c>
      <c r="D127" s="2" t="s">
        <v>36</v>
      </c>
      <c r="E127" s="2" t="s">
        <v>21</v>
      </c>
      <c r="F127" s="2" t="s">
        <v>22</v>
      </c>
      <c r="G127" s="2">
        <v>112</v>
      </c>
      <c r="H127" s="4">
        <v>28413</v>
      </c>
    </row>
    <row r="128" spans="1:8" ht="14.25">
      <c r="A128" s="2" t="s">
        <v>29</v>
      </c>
      <c r="B128" s="3">
        <v>44587</v>
      </c>
      <c r="C128" s="3" t="s">
        <v>9</v>
      </c>
      <c r="D128" s="2" t="s">
        <v>38</v>
      </c>
      <c r="E128" s="2" t="s">
        <v>25</v>
      </c>
      <c r="F128" s="2" t="s">
        <v>22</v>
      </c>
      <c r="G128" s="2">
        <v>296</v>
      </c>
      <c r="H128" s="4">
        <v>36580</v>
      </c>
    </row>
    <row r="129" spans="1:8" ht="14.25">
      <c r="A129" s="2" t="s">
        <v>32</v>
      </c>
      <c r="B129" s="3">
        <v>44588</v>
      </c>
      <c r="C129" s="3" t="s">
        <v>9</v>
      </c>
      <c r="D129" s="2" t="s">
        <v>40</v>
      </c>
      <c r="E129" s="2" t="s">
        <v>50</v>
      </c>
      <c r="F129" s="2" t="s">
        <v>22</v>
      </c>
      <c r="G129" s="2">
        <v>279</v>
      </c>
      <c r="H129" s="4">
        <v>19327</v>
      </c>
    </row>
    <row r="130" spans="1:8" ht="14.25">
      <c r="A130" s="2" t="s">
        <v>35</v>
      </c>
      <c r="B130" s="3">
        <v>44589</v>
      </c>
      <c r="C130" s="3" t="s">
        <v>9</v>
      </c>
      <c r="D130" s="2" t="s">
        <v>42</v>
      </c>
      <c r="E130" s="2" t="s">
        <v>11</v>
      </c>
      <c r="F130" s="2" t="s">
        <v>22</v>
      </c>
      <c r="G130" s="2">
        <v>359</v>
      </c>
      <c r="H130" s="4">
        <v>10620</v>
      </c>
    </row>
    <row r="131" spans="1:8" ht="14.25">
      <c r="A131" s="2" t="s">
        <v>37</v>
      </c>
      <c r="B131" s="3">
        <v>44590</v>
      </c>
      <c r="C131" s="3" t="s">
        <v>9</v>
      </c>
      <c r="D131" s="2" t="s">
        <v>44</v>
      </c>
      <c r="E131" s="2" t="s">
        <v>49</v>
      </c>
      <c r="F131" s="2" t="s">
        <v>12</v>
      </c>
      <c r="G131" s="2">
        <v>299</v>
      </c>
      <c r="H131" s="4">
        <v>33813</v>
      </c>
    </row>
    <row r="132" spans="1:8" ht="14.25">
      <c r="A132" s="2" t="s">
        <v>39</v>
      </c>
      <c r="B132" s="3">
        <v>44591</v>
      </c>
      <c r="C132" s="3" t="s">
        <v>9</v>
      </c>
      <c r="D132" s="2" t="s">
        <v>10</v>
      </c>
      <c r="E132" s="2" t="s">
        <v>25</v>
      </c>
      <c r="F132" s="2" t="s">
        <v>12</v>
      </c>
      <c r="G132" s="2">
        <v>402</v>
      </c>
      <c r="H132" s="4">
        <v>42504</v>
      </c>
    </row>
    <row r="133" spans="1:8" ht="14.25">
      <c r="A133" s="2" t="s">
        <v>41</v>
      </c>
      <c r="B133" s="3">
        <v>44592</v>
      </c>
      <c r="C133" s="3" t="s">
        <v>9</v>
      </c>
      <c r="D133" s="2" t="s">
        <v>14</v>
      </c>
      <c r="E133" s="2" t="s">
        <v>48</v>
      </c>
      <c r="F133" s="2" t="s">
        <v>12</v>
      </c>
      <c r="G133" s="2">
        <v>379</v>
      </c>
      <c r="H133" s="4">
        <v>26545</v>
      </c>
    </row>
    <row r="134" spans="1:8" ht="14.25">
      <c r="A134" s="2" t="s">
        <v>43</v>
      </c>
      <c r="B134" s="3">
        <v>44593</v>
      </c>
      <c r="C134" s="3" t="s">
        <v>9</v>
      </c>
      <c r="D134" s="2" t="s">
        <v>17</v>
      </c>
      <c r="E134" s="2" t="s">
        <v>11</v>
      </c>
      <c r="F134" s="2" t="s">
        <v>12</v>
      </c>
      <c r="G134" s="2">
        <v>377</v>
      </c>
      <c r="H134" s="4">
        <v>17128</v>
      </c>
    </row>
    <row r="135" spans="1:8" ht="14.25">
      <c r="A135" s="2" t="s">
        <v>45</v>
      </c>
      <c r="B135" s="3">
        <v>44594</v>
      </c>
      <c r="C135" s="3" t="s">
        <v>9</v>
      </c>
      <c r="D135" s="2" t="s">
        <v>20</v>
      </c>
      <c r="E135" s="2" t="s">
        <v>21</v>
      </c>
      <c r="F135" s="2" t="s">
        <v>12</v>
      </c>
      <c r="G135" s="2">
        <v>158</v>
      </c>
      <c r="H135" s="4">
        <v>73629</v>
      </c>
    </row>
    <row r="136" spans="1:8" ht="14.25">
      <c r="A136" s="2" t="s">
        <v>46</v>
      </c>
      <c r="B136" s="3">
        <v>44595</v>
      </c>
      <c r="C136" s="3" t="s">
        <v>9</v>
      </c>
      <c r="D136" s="2" t="s">
        <v>24</v>
      </c>
      <c r="E136" s="2" t="s">
        <v>11</v>
      </c>
      <c r="F136" s="2" t="s">
        <v>12</v>
      </c>
      <c r="G136" s="2">
        <v>191</v>
      </c>
      <c r="H136" s="4">
        <v>7693</v>
      </c>
    </row>
    <row r="137" spans="1:8" ht="14.25">
      <c r="A137" s="2" t="s">
        <v>8</v>
      </c>
      <c r="B137" s="3">
        <v>44596</v>
      </c>
      <c r="C137" s="3" t="s">
        <v>9</v>
      </c>
      <c r="D137" s="2" t="s">
        <v>27</v>
      </c>
      <c r="E137" s="2" t="s">
        <v>49</v>
      </c>
      <c r="F137" s="2" t="s">
        <v>22</v>
      </c>
      <c r="G137" s="2">
        <v>228</v>
      </c>
      <c r="H137" s="4">
        <v>38175</v>
      </c>
    </row>
    <row r="138" spans="1:8" ht="14.25">
      <c r="A138" s="2" t="s">
        <v>13</v>
      </c>
      <c r="B138" s="3">
        <v>44597</v>
      </c>
      <c r="C138" s="3" t="s">
        <v>9</v>
      </c>
      <c r="D138" s="2" t="s">
        <v>30</v>
      </c>
      <c r="E138" s="2" t="s">
        <v>18</v>
      </c>
      <c r="F138" s="2" t="s">
        <v>22</v>
      </c>
      <c r="G138" s="2">
        <v>220</v>
      </c>
      <c r="H138" s="4">
        <v>26142</v>
      </c>
    </row>
    <row r="139" spans="1:8" ht="14.25">
      <c r="A139" s="2" t="s">
        <v>16</v>
      </c>
      <c r="B139" s="3">
        <v>44598</v>
      </c>
      <c r="C139" s="3" t="s">
        <v>9</v>
      </c>
      <c r="D139" s="2" t="s">
        <v>33</v>
      </c>
      <c r="E139" s="2" t="s">
        <v>28</v>
      </c>
      <c r="F139" s="2" t="s">
        <v>22</v>
      </c>
      <c r="G139" s="2">
        <v>466</v>
      </c>
      <c r="H139" s="4">
        <v>33732</v>
      </c>
    </row>
    <row r="140" spans="1:8" ht="14.25">
      <c r="A140" s="2" t="s">
        <v>19</v>
      </c>
      <c r="B140" s="3">
        <v>44599</v>
      </c>
      <c r="C140" s="3" t="s">
        <v>9</v>
      </c>
      <c r="D140" s="2" t="s">
        <v>36</v>
      </c>
      <c r="E140" s="2" t="s">
        <v>52</v>
      </c>
      <c r="F140" s="2" t="s">
        <v>22</v>
      </c>
      <c r="G140" s="2">
        <v>486</v>
      </c>
      <c r="H140" s="4">
        <v>67536</v>
      </c>
    </row>
    <row r="141" spans="1:8" ht="14.25">
      <c r="A141" s="2" t="s">
        <v>23</v>
      </c>
      <c r="B141" s="3">
        <v>44600</v>
      </c>
      <c r="C141" s="3" t="s">
        <v>9</v>
      </c>
      <c r="D141" s="2" t="s">
        <v>38</v>
      </c>
      <c r="E141" s="2" t="s">
        <v>48</v>
      </c>
      <c r="F141" s="2" t="s">
        <v>22</v>
      </c>
      <c r="G141" s="2">
        <v>169</v>
      </c>
      <c r="H141" s="4">
        <v>63770</v>
      </c>
    </row>
    <row r="142" spans="1:8" ht="14.25">
      <c r="A142" s="2" t="s">
        <v>26</v>
      </c>
      <c r="B142" s="3">
        <v>44601</v>
      </c>
      <c r="C142" s="3" t="s">
        <v>9</v>
      </c>
      <c r="D142" s="2" t="s">
        <v>40</v>
      </c>
      <c r="E142" s="2" t="s">
        <v>51</v>
      </c>
      <c r="F142" s="2" t="s">
        <v>22</v>
      </c>
      <c r="G142" s="2">
        <v>357</v>
      </c>
      <c r="H142" s="4">
        <v>9060</v>
      </c>
    </row>
    <row r="143" spans="1:8" ht="14.25">
      <c r="A143" s="2" t="s">
        <v>29</v>
      </c>
      <c r="B143" s="3">
        <v>44602</v>
      </c>
      <c r="C143" s="3" t="s">
        <v>9</v>
      </c>
      <c r="D143" s="2" t="s">
        <v>42</v>
      </c>
      <c r="E143" s="2" t="s">
        <v>28</v>
      </c>
      <c r="F143" s="2" t="s">
        <v>12</v>
      </c>
      <c r="G143" s="2">
        <v>218</v>
      </c>
      <c r="H143" s="4">
        <v>8934</v>
      </c>
    </row>
    <row r="144" spans="1:8" ht="14.25">
      <c r="A144" s="2" t="s">
        <v>32</v>
      </c>
      <c r="B144" s="3">
        <v>44603</v>
      </c>
      <c r="C144" s="3" t="s">
        <v>9</v>
      </c>
      <c r="D144" s="2" t="s">
        <v>44</v>
      </c>
      <c r="E144" s="2" t="s">
        <v>31</v>
      </c>
      <c r="F144" s="2" t="s">
        <v>12</v>
      </c>
      <c r="G144" s="2">
        <v>362</v>
      </c>
      <c r="H144" s="4">
        <v>58896</v>
      </c>
    </row>
    <row r="145" spans="1:8" ht="14.25">
      <c r="A145" s="2" t="s">
        <v>35</v>
      </c>
      <c r="B145" s="3">
        <v>44604</v>
      </c>
      <c r="C145" s="3" t="s">
        <v>9</v>
      </c>
      <c r="D145" s="2" t="s">
        <v>10</v>
      </c>
      <c r="E145" s="2" t="s">
        <v>34</v>
      </c>
      <c r="F145" s="2" t="s">
        <v>12</v>
      </c>
      <c r="G145" s="2">
        <v>151</v>
      </c>
      <c r="H145" s="4">
        <v>24200</v>
      </c>
    </row>
    <row r="146" spans="1:8" ht="14.25">
      <c r="A146" s="2" t="s">
        <v>37</v>
      </c>
      <c r="B146" s="3">
        <v>44605</v>
      </c>
      <c r="C146" s="3" t="s">
        <v>9</v>
      </c>
      <c r="D146" s="2" t="s">
        <v>14</v>
      </c>
      <c r="E146" s="2" t="s">
        <v>51</v>
      </c>
      <c r="F146" s="2" t="s">
        <v>12</v>
      </c>
      <c r="G146" s="2">
        <v>148</v>
      </c>
      <c r="H146" s="4">
        <v>60599</v>
      </c>
    </row>
    <row r="147" spans="1:8" ht="14.25">
      <c r="A147" s="2" t="s">
        <v>39</v>
      </c>
      <c r="B147" s="3">
        <v>44606</v>
      </c>
      <c r="C147" s="3" t="s">
        <v>9</v>
      </c>
      <c r="D147" s="2" t="s">
        <v>17</v>
      </c>
      <c r="E147" s="2" t="s">
        <v>34</v>
      </c>
      <c r="F147" s="2" t="s">
        <v>22</v>
      </c>
      <c r="G147" s="2">
        <v>487</v>
      </c>
      <c r="H147" s="4">
        <v>89973</v>
      </c>
    </row>
    <row r="148" spans="1:8" ht="14.25">
      <c r="A148" s="2" t="s">
        <v>41</v>
      </c>
      <c r="B148" s="3">
        <v>44607</v>
      </c>
      <c r="C148" s="3" t="s">
        <v>9</v>
      </c>
      <c r="D148" s="2" t="s">
        <v>20</v>
      </c>
      <c r="E148" s="2" t="s">
        <v>28</v>
      </c>
      <c r="F148" s="2" t="s">
        <v>22</v>
      </c>
      <c r="G148" s="2">
        <v>438</v>
      </c>
      <c r="H148" s="4">
        <v>26136</v>
      </c>
    </row>
    <row r="149" spans="1:8" ht="14.25">
      <c r="A149" s="2" t="s">
        <v>43</v>
      </c>
      <c r="B149" s="3">
        <v>44608</v>
      </c>
      <c r="C149" s="3" t="s">
        <v>9</v>
      </c>
      <c r="D149" s="2" t="s">
        <v>24</v>
      </c>
      <c r="E149" s="2" t="s">
        <v>18</v>
      </c>
      <c r="F149" s="2" t="s">
        <v>22</v>
      </c>
      <c r="G149" s="2">
        <v>467</v>
      </c>
      <c r="H149" s="4">
        <v>13689</v>
      </c>
    </row>
    <row r="150" spans="1:8" ht="14.25">
      <c r="A150" s="2" t="s">
        <v>45</v>
      </c>
      <c r="B150" s="3">
        <v>44609</v>
      </c>
      <c r="C150" s="3" t="s">
        <v>9</v>
      </c>
      <c r="D150" s="2" t="s">
        <v>27</v>
      </c>
      <c r="E150" s="2" t="s">
        <v>47</v>
      </c>
      <c r="F150" s="2" t="s">
        <v>22</v>
      </c>
      <c r="G150" s="2">
        <v>403</v>
      </c>
      <c r="H150" s="4">
        <v>33764</v>
      </c>
    </row>
    <row r="151" spans="1:8" ht="14.25">
      <c r="A151" s="2" t="s">
        <v>46</v>
      </c>
      <c r="B151" s="3">
        <v>44610</v>
      </c>
      <c r="C151" s="3" t="s">
        <v>9</v>
      </c>
      <c r="D151" s="2" t="s">
        <v>30</v>
      </c>
      <c r="E151" s="2" t="s">
        <v>47</v>
      </c>
      <c r="F151" s="2" t="s">
        <v>22</v>
      </c>
      <c r="G151" s="2">
        <v>199</v>
      </c>
      <c r="H151" s="4">
        <v>36075</v>
      </c>
    </row>
    <row r="152" spans="1:8" ht="14.25">
      <c r="A152" s="2" t="s">
        <v>8</v>
      </c>
      <c r="B152" s="3">
        <v>44611</v>
      </c>
      <c r="C152" s="3" t="s">
        <v>9</v>
      </c>
      <c r="D152" s="2" t="s">
        <v>33</v>
      </c>
      <c r="E152" s="2" t="s">
        <v>11</v>
      </c>
      <c r="F152" s="2" t="s">
        <v>12</v>
      </c>
      <c r="G152" s="2">
        <v>386</v>
      </c>
      <c r="H152" s="4">
        <v>39840</v>
      </c>
    </row>
    <row r="153" spans="1:8" ht="14.25">
      <c r="A153" s="2" t="s">
        <v>13</v>
      </c>
      <c r="B153" s="3">
        <v>44612</v>
      </c>
      <c r="C153" s="3" t="s">
        <v>9</v>
      </c>
      <c r="D153" s="2" t="s">
        <v>36</v>
      </c>
      <c r="E153" s="2" t="s">
        <v>50</v>
      </c>
      <c r="F153" s="2" t="s">
        <v>12</v>
      </c>
      <c r="G153" s="2">
        <v>401</v>
      </c>
      <c r="H153" s="4">
        <v>51084</v>
      </c>
    </row>
    <row r="154" spans="1:8" ht="14.25">
      <c r="A154" s="2" t="s">
        <v>16</v>
      </c>
      <c r="B154" s="3">
        <v>44613</v>
      </c>
      <c r="C154" s="3" t="s">
        <v>9</v>
      </c>
      <c r="D154" s="2" t="s">
        <v>38</v>
      </c>
      <c r="E154" s="2" t="s">
        <v>34</v>
      </c>
      <c r="F154" s="2" t="s">
        <v>12</v>
      </c>
      <c r="G154" s="2">
        <v>466</v>
      </c>
      <c r="H154" s="4">
        <v>16230</v>
      </c>
    </row>
    <row r="155" spans="1:8" ht="14.25">
      <c r="A155" s="2" t="s">
        <v>19</v>
      </c>
      <c r="B155" s="3">
        <v>44614</v>
      </c>
      <c r="C155" s="3" t="s">
        <v>9</v>
      </c>
      <c r="D155" s="2" t="s">
        <v>40</v>
      </c>
      <c r="E155" s="2" t="s">
        <v>11</v>
      </c>
      <c r="F155" s="2" t="s">
        <v>12</v>
      </c>
      <c r="G155" s="2">
        <v>346</v>
      </c>
      <c r="H155" s="4">
        <v>37536</v>
      </c>
    </row>
    <row r="156" spans="1:8" ht="14.25">
      <c r="A156" s="2" t="s">
        <v>23</v>
      </c>
      <c r="B156" s="3">
        <v>44615</v>
      </c>
      <c r="C156" s="3" t="s">
        <v>9</v>
      </c>
      <c r="D156" s="2" t="s">
        <v>42</v>
      </c>
      <c r="E156" s="2" t="s">
        <v>51</v>
      </c>
      <c r="F156" s="2" t="s">
        <v>12</v>
      </c>
      <c r="G156" s="2">
        <v>477</v>
      </c>
      <c r="H156" s="4">
        <v>49420</v>
      </c>
    </row>
    <row r="157" spans="1:8" ht="14.25">
      <c r="A157" s="2" t="s">
        <v>26</v>
      </c>
      <c r="B157" s="3">
        <v>44616</v>
      </c>
      <c r="C157" s="3" t="s">
        <v>9</v>
      </c>
      <c r="D157" s="2" t="s">
        <v>44</v>
      </c>
      <c r="E157" s="2" t="s">
        <v>34</v>
      </c>
      <c r="F157" s="2" t="s">
        <v>12</v>
      </c>
      <c r="G157" s="2">
        <v>289</v>
      </c>
      <c r="H157" s="4">
        <v>7560</v>
      </c>
    </row>
    <row r="158" spans="1:8" ht="14.25">
      <c r="A158" s="2" t="s">
        <v>29</v>
      </c>
      <c r="B158" s="3">
        <v>44617</v>
      </c>
      <c r="C158" s="3" t="s">
        <v>9</v>
      </c>
      <c r="D158" s="2" t="s">
        <v>10</v>
      </c>
      <c r="E158" s="2" t="s">
        <v>47</v>
      </c>
      <c r="F158" s="2" t="s">
        <v>22</v>
      </c>
      <c r="G158" s="2">
        <v>113</v>
      </c>
      <c r="H158" s="4">
        <v>36883</v>
      </c>
    </row>
    <row r="159" spans="1:8" ht="14.25">
      <c r="A159" s="2" t="s">
        <v>32</v>
      </c>
      <c r="B159" s="3">
        <v>44618</v>
      </c>
      <c r="C159" s="3" t="s">
        <v>9</v>
      </c>
      <c r="D159" s="2" t="s">
        <v>14</v>
      </c>
      <c r="E159" s="2" t="s">
        <v>47</v>
      </c>
      <c r="F159" s="2" t="s">
        <v>22</v>
      </c>
      <c r="G159" s="2">
        <v>236</v>
      </c>
      <c r="H159" s="4">
        <v>31344</v>
      </c>
    </row>
    <row r="160" spans="1:8" ht="14.25">
      <c r="A160" s="2" t="s">
        <v>35</v>
      </c>
      <c r="B160" s="3">
        <v>44619</v>
      </c>
      <c r="C160" s="3" t="s">
        <v>9</v>
      </c>
      <c r="D160" s="2" t="s">
        <v>17</v>
      </c>
      <c r="E160" s="2" t="s">
        <v>49</v>
      </c>
      <c r="F160" s="2" t="s">
        <v>22</v>
      </c>
      <c r="G160" s="2">
        <v>404</v>
      </c>
      <c r="H160" s="4">
        <v>54264</v>
      </c>
    </row>
    <row r="161" spans="1:8" ht="14.25">
      <c r="A161" s="2" t="s">
        <v>37</v>
      </c>
      <c r="B161" s="3">
        <v>44620</v>
      </c>
      <c r="C161" s="3" t="s">
        <v>9</v>
      </c>
      <c r="D161" s="2" t="s">
        <v>20</v>
      </c>
      <c r="E161" s="2" t="s">
        <v>52</v>
      </c>
      <c r="F161" s="2" t="s">
        <v>22</v>
      </c>
      <c r="G161" s="2">
        <v>355</v>
      </c>
      <c r="H161" s="4">
        <v>42905</v>
      </c>
    </row>
    <row r="162" spans="1:8" ht="14.25">
      <c r="A162" s="2" t="s">
        <v>39</v>
      </c>
      <c r="B162" s="3">
        <v>44621</v>
      </c>
      <c r="C162" s="3" t="s">
        <v>9</v>
      </c>
      <c r="D162" s="2" t="s">
        <v>24</v>
      </c>
      <c r="E162" s="2" t="s">
        <v>11</v>
      </c>
      <c r="F162" s="2" t="s">
        <v>22</v>
      </c>
      <c r="G162" s="2">
        <v>393</v>
      </c>
      <c r="H162" s="4">
        <v>70320</v>
      </c>
    </row>
    <row r="163" spans="1:8" ht="14.25">
      <c r="A163" s="2" t="s">
        <v>41</v>
      </c>
      <c r="B163" s="3">
        <v>44622</v>
      </c>
      <c r="C163" s="3" t="s">
        <v>9</v>
      </c>
      <c r="D163" s="2" t="s">
        <v>27</v>
      </c>
      <c r="E163" s="2" t="s">
        <v>11</v>
      </c>
      <c r="F163" s="2" t="s">
        <v>22</v>
      </c>
      <c r="G163" s="2">
        <v>181</v>
      </c>
      <c r="H163" s="4">
        <v>66008</v>
      </c>
    </row>
    <row r="164" spans="1:8" ht="14.25">
      <c r="A164" s="2" t="s">
        <v>43</v>
      </c>
      <c r="B164" s="3">
        <v>44623</v>
      </c>
      <c r="C164" s="3" t="s">
        <v>9</v>
      </c>
      <c r="D164" s="2" t="s">
        <v>30</v>
      </c>
      <c r="E164" s="2" t="s">
        <v>18</v>
      </c>
      <c r="F164" s="2" t="s">
        <v>22</v>
      </c>
      <c r="G164" s="2">
        <v>402</v>
      </c>
      <c r="H164" s="4">
        <v>33576</v>
      </c>
    </row>
    <row r="165" spans="1:8" ht="14.25">
      <c r="A165" s="2" t="s">
        <v>45</v>
      </c>
      <c r="B165" s="3">
        <v>44624</v>
      </c>
      <c r="C165" s="3" t="s">
        <v>9</v>
      </c>
      <c r="D165" s="2" t="s">
        <v>33</v>
      </c>
      <c r="E165" s="2" t="s">
        <v>28</v>
      </c>
      <c r="F165" s="2" t="s">
        <v>22</v>
      </c>
      <c r="G165" s="2">
        <v>426</v>
      </c>
      <c r="H165" s="4">
        <v>46224</v>
      </c>
    </row>
    <row r="166" spans="1:8" ht="14.25">
      <c r="A166" s="2" t="s">
        <v>46</v>
      </c>
      <c r="B166" s="3">
        <v>44625</v>
      </c>
      <c r="C166" s="3" t="s">
        <v>9</v>
      </c>
      <c r="D166" s="2" t="s">
        <v>36</v>
      </c>
      <c r="E166" s="2" t="s">
        <v>21</v>
      </c>
      <c r="F166" s="2" t="s">
        <v>12</v>
      </c>
      <c r="G166" s="2">
        <v>296</v>
      </c>
      <c r="H166" s="4">
        <v>19881</v>
      </c>
    </row>
    <row r="167" spans="1:8" ht="14.25">
      <c r="A167" s="2" t="s">
        <v>8</v>
      </c>
      <c r="B167" s="3">
        <v>44626</v>
      </c>
      <c r="C167" s="3" t="s">
        <v>9</v>
      </c>
      <c r="D167" s="2" t="s">
        <v>38</v>
      </c>
      <c r="E167" s="2" t="s">
        <v>50</v>
      </c>
      <c r="F167" s="2" t="s">
        <v>12</v>
      </c>
      <c r="G167" s="2">
        <v>102</v>
      </c>
      <c r="H167" s="4">
        <v>56034</v>
      </c>
    </row>
    <row r="168" spans="1:8" ht="14.25">
      <c r="A168" s="2" t="s">
        <v>13</v>
      </c>
      <c r="B168" s="3">
        <v>44627</v>
      </c>
      <c r="C168" s="3" t="s">
        <v>9</v>
      </c>
      <c r="D168" s="2" t="s">
        <v>40</v>
      </c>
      <c r="E168" s="2" t="s">
        <v>21</v>
      </c>
      <c r="F168" s="2" t="s">
        <v>12</v>
      </c>
      <c r="G168" s="2">
        <v>302</v>
      </c>
      <c r="H168" s="4">
        <v>59778</v>
      </c>
    </row>
    <row r="169" spans="1:8" ht="14.25">
      <c r="A169" s="2" t="s">
        <v>16</v>
      </c>
      <c r="B169" s="3">
        <v>44628</v>
      </c>
      <c r="C169" s="3" t="s">
        <v>9</v>
      </c>
      <c r="D169" s="2" t="s">
        <v>42</v>
      </c>
      <c r="E169" s="2" t="s">
        <v>47</v>
      </c>
      <c r="F169" s="2" t="s">
        <v>12</v>
      </c>
      <c r="G169" s="2">
        <v>216</v>
      </c>
      <c r="H169" s="4">
        <v>61082</v>
      </c>
    </row>
    <row r="170" spans="1:8" ht="14.25">
      <c r="A170" s="2" t="s">
        <v>19</v>
      </c>
      <c r="B170" s="3">
        <v>44629</v>
      </c>
      <c r="C170" s="3" t="s">
        <v>9</v>
      </c>
      <c r="D170" s="2" t="s">
        <v>44</v>
      </c>
      <c r="E170" s="2" t="s">
        <v>25</v>
      </c>
      <c r="F170" s="2" t="s">
        <v>12</v>
      </c>
      <c r="G170" s="2">
        <v>125</v>
      </c>
      <c r="H170" s="4">
        <v>46530</v>
      </c>
    </row>
    <row r="171" spans="1:8" ht="14.25">
      <c r="A171" s="2" t="s">
        <v>23</v>
      </c>
      <c r="B171" s="3">
        <v>44630</v>
      </c>
      <c r="C171" s="3" t="s">
        <v>9</v>
      </c>
      <c r="D171" s="2" t="s">
        <v>10</v>
      </c>
      <c r="E171" s="2" t="s">
        <v>49</v>
      </c>
      <c r="F171" s="2" t="s">
        <v>12</v>
      </c>
      <c r="G171" s="2">
        <v>259</v>
      </c>
      <c r="H171" s="4">
        <v>43536</v>
      </c>
    </row>
    <row r="172" spans="1:8" ht="14.25">
      <c r="A172" s="2" t="s">
        <v>26</v>
      </c>
      <c r="B172" s="3">
        <v>44631</v>
      </c>
      <c r="C172" s="3" t="s">
        <v>9</v>
      </c>
      <c r="D172" s="2" t="s">
        <v>14</v>
      </c>
      <c r="E172" s="2" t="s">
        <v>18</v>
      </c>
      <c r="F172" s="2" t="s">
        <v>22</v>
      </c>
      <c r="G172" s="2">
        <v>345</v>
      </c>
      <c r="H172" s="4">
        <v>26868</v>
      </c>
    </row>
    <row r="173" spans="1:8" ht="14.25">
      <c r="A173" s="2" t="s">
        <v>29</v>
      </c>
      <c r="B173" s="3">
        <v>44632</v>
      </c>
      <c r="C173" s="3" t="s">
        <v>9</v>
      </c>
      <c r="D173" s="2" t="s">
        <v>17</v>
      </c>
      <c r="E173" s="2" t="s">
        <v>49</v>
      </c>
      <c r="F173" s="2" t="s">
        <v>22</v>
      </c>
      <c r="G173" s="2">
        <v>210</v>
      </c>
      <c r="H173" s="4">
        <v>14056</v>
      </c>
    </row>
    <row r="174" spans="1:8" ht="14.25">
      <c r="A174" s="2" t="s">
        <v>32</v>
      </c>
      <c r="B174" s="3">
        <v>44633</v>
      </c>
      <c r="C174" s="3" t="s">
        <v>9</v>
      </c>
      <c r="D174" s="2" t="s">
        <v>20</v>
      </c>
      <c r="E174" s="2" t="s">
        <v>28</v>
      </c>
      <c r="F174" s="2" t="s">
        <v>12</v>
      </c>
      <c r="G174" s="2">
        <v>163</v>
      </c>
      <c r="H174" s="4">
        <v>70911</v>
      </c>
    </row>
    <row r="175" spans="1:8" ht="14.25">
      <c r="A175" s="2" t="s">
        <v>35</v>
      </c>
      <c r="B175" s="3">
        <v>44634</v>
      </c>
      <c r="C175" s="3" t="s">
        <v>9</v>
      </c>
      <c r="D175" s="2" t="s">
        <v>24</v>
      </c>
      <c r="E175" s="2" t="s">
        <v>18</v>
      </c>
      <c r="F175" s="2" t="s">
        <v>12</v>
      </c>
      <c r="G175" s="2">
        <v>221</v>
      </c>
      <c r="H175" s="4">
        <v>5450</v>
      </c>
    </row>
    <row r="176" spans="1:8" ht="14.25">
      <c r="A176" s="2" t="s">
        <v>37</v>
      </c>
      <c r="B176" s="3">
        <v>44635</v>
      </c>
      <c r="C176" s="3" t="s">
        <v>9</v>
      </c>
      <c r="D176" s="2" t="s">
        <v>27</v>
      </c>
      <c r="E176" s="2" t="s">
        <v>51</v>
      </c>
      <c r="F176" s="2" t="s">
        <v>12</v>
      </c>
      <c r="G176" s="2">
        <v>356</v>
      </c>
      <c r="H176" s="4">
        <v>50512</v>
      </c>
    </row>
    <row r="177" spans="1:8" ht="14.25">
      <c r="A177" s="2" t="s">
        <v>39</v>
      </c>
      <c r="B177" s="3">
        <v>44636</v>
      </c>
      <c r="C177" s="3" t="s">
        <v>9</v>
      </c>
      <c r="D177" s="2" t="s">
        <v>30</v>
      </c>
      <c r="E177" s="2" t="s">
        <v>31</v>
      </c>
      <c r="F177" s="2" t="s">
        <v>12</v>
      </c>
      <c r="G177" s="2">
        <v>317</v>
      </c>
      <c r="H177" s="4">
        <v>63150</v>
      </c>
    </row>
    <row r="178" spans="1:8" ht="14.25">
      <c r="A178" s="2" t="s">
        <v>41</v>
      </c>
      <c r="B178" s="3">
        <v>44637</v>
      </c>
      <c r="C178" s="3" t="s">
        <v>9</v>
      </c>
      <c r="D178" s="2" t="s">
        <v>33</v>
      </c>
      <c r="E178" s="2" t="s">
        <v>25</v>
      </c>
      <c r="F178" s="2" t="s">
        <v>12</v>
      </c>
      <c r="G178" s="2">
        <v>479</v>
      </c>
      <c r="H178" s="4">
        <v>76581</v>
      </c>
    </row>
    <row r="179" spans="1:8" ht="14.25">
      <c r="A179" s="2" t="s">
        <v>43</v>
      </c>
      <c r="B179" s="3">
        <v>44638</v>
      </c>
      <c r="C179" s="3" t="s">
        <v>9</v>
      </c>
      <c r="D179" s="2" t="s">
        <v>36</v>
      </c>
      <c r="E179" s="2" t="s">
        <v>28</v>
      </c>
      <c r="F179" s="2" t="s">
        <v>22</v>
      </c>
      <c r="G179" s="2">
        <v>330</v>
      </c>
      <c r="H179" s="4">
        <v>7770</v>
      </c>
    </row>
    <row r="180" spans="1:8" ht="14.25">
      <c r="A180" s="2" t="s">
        <v>45</v>
      </c>
      <c r="B180" s="3">
        <v>44639</v>
      </c>
      <c r="C180" s="3" t="s">
        <v>9</v>
      </c>
      <c r="D180" s="2" t="s">
        <v>38</v>
      </c>
      <c r="E180" s="2" t="s">
        <v>28</v>
      </c>
      <c r="F180" s="2" t="s">
        <v>22</v>
      </c>
      <c r="G180" s="2">
        <v>374</v>
      </c>
      <c r="H180" s="4">
        <v>36906</v>
      </c>
    </row>
    <row r="181" spans="1:8" ht="14.25">
      <c r="A181" s="2" t="s">
        <v>46</v>
      </c>
      <c r="B181" s="3">
        <v>44640</v>
      </c>
      <c r="C181" s="3" t="s">
        <v>9</v>
      </c>
      <c r="D181" s="2" t="s">
        <v>40</v>
      </c>
      <c r="E181" s="2" t="s">
        <v>15</v>
      </c>
      <c r="F181" s="2" t="s">
        <v>22</v>
      </c>
      <c r="G181" s="2">
        <v>110</v>
      </c>
      <c r="H181" s="4">
        <v>21840</v>
      </c>
    </row>
    <row r="182" spans="1:8" ht="14.25">
      <c r="A182" s="2" t="s">
        <v>8</v>
      </c>
      <c r="B182" s="3">
        <v>44641</v>
      </c>
      <c r="C182" s="3" t="s">
        <v>9</v>
      </c>
      <c r="D182" s="2" t="s">
        <v>42</v>
      </c>
      <c r="E182" s="2" t="s">
        <v>52</v>
      </c>
      <c r="F182" s="2" t="s">
        <v>22</v>
      </c>
      <c r="G182" s="2">
        <v>219</v>
      </c>
      <c r="H182" s="4">
        <v>33370</v>
      </c>
    </row>
    <row r="183" spans="1:8" ht="14.25">
      <c r="A183" s="2" t="s">
        <v>13</v>
      </c>
      <c r="B183" s="3">
        <v>44642</v>
      </c>
      <c r="C183" s="3" t="s">
        <v>9</v>
      </c>
      <c r="D183" s="2" t="s">
        <v>44</v>
      </c>
      <c r="E183" s="2" t="s">
        <v>49</v>
      </c>
      <c r="F183" s="2" t="s">
        <v>22</v>
      </c>
      <c r="G183" s="2">
        <v>257</v>
      </c>
      <c r="H183" s="4">
        <v>18776</v>
      </c>
    </row>
    <row r="184" spans="1:8" ht="14.25">
      <c r="A184" s="2" t="s">
        <v>16</v>
      </c>
      <c r="B184" s="3">
        <v>44643</v>
      </c>
      <c r="C184" s="3" t="s">
        <v>9</v>
      </c>
      <c r="D184" s="2" t="s">
        <v>10</v>
      </c>
      <c r="E184" s="2" t="s">
        <v>11</v>
      </c>
      <c r="F184" s="2" t="s">
        <v>22</v>
      </c>
      <c r="G184" s="2">
        <v>240</v>
      </c>
      <c r="H184" s="4">
        <v>31908</v>
      </c>
    </row>
    <row r="185" spans="1:8" ht="14.25">
      <c r="A185" s="2" t="s">
        <v>19</v>
      </c>
      <c r="B185" s="3">
        <v>44644</v>
      </c>
      <c r="C185" s="3" t="s">
        <v>9</v>
      </c>
      <c r="D185" s="2" t="s">
        <v>14</v>
      </c>
      <c r="E185" s="2" t="s">
        <v>49</v>
      </c>
      <c r="F185" s="2" t="s">
        <v>22</v>
      </c>
      <c r="G185" s="2">
        <v>384</v>
      </c>
      <c r="H185" s="4">
        <v>9688</v>
      </c>
    </row>
    <row r="186" spans="1:8" ht="14.25">
      <c r="A186" s="2" t="s">
        <v>23</v>
      </c>
      <c r="B186" s="3">
        <v>44645</v>
      </c>
      <c r="C186" s="3" t="s">
        <v>9</v>
      </c>
      <c r="D186" s="2" t="s">
        <v>17</v>
      </c>
      <c r="E186" s="2" t="s">
        <v>11</v>
      </c>
      <c r="F186" s="2" t="s">
        <v>22</v>
      </c>
      <c r="G186" s="2">
        <v>182</v>
      </c>
      <c r="H186" s="4">
        <v>53746</v>
      </c>
    </row>
    <row r="187" spans="1:8" ht="14.25">
      <c r="A187" s="2" t="s">
        <v>26</v>
      </c>
      <c r="B187" s="3">
        <v>44646</v>
      </c>
      <c r="C187" s="3" t="s">
        <v>9</v>
      </c>
      <c r="D187" s="2" t="s">
        <v>20</v>
      </c>
      <c r="E187" s="2" t="s">
        <v>25</v>
      </c>
      <c r="F187" s="2" t="s">
        <v>22</v>
      </c>
      <c r="G187" s="2">
        <v>206</v>
      </c>
      <c r="H187" s="4">
        <v>13914</v>
      </c>
    </row>
    <row r="188" spans="1:8" ht="14.25">
      <c r="A188" s="2" t="s">
        <v>29</v>
      </c>
      <c r="B188" s="3">
        <v>44647</v>
      </c>
      <c r="C188" s="3" t="s">
        <v>9</v>
      </c>
      <c r="D188" s="2" t="s">
        <v>24</v>
      </c>
      <c r="E188" s="2" t="s">
        <v>49</v>
      </c>
      <c r="F188" s="2" t="s">
        <v>22</v>
      </c>
      <c r="G188" s="2">
        <v>223</v>
      </c>
      <c r="H188" s="4">
        <v>20675</v>
      </c>
    </row>
    <row r="189" spans="1:8" ht="14.25">
      <c r="A189" s="2" t="s">
        <v>32</v>
      </c>
      <c r="B189" s="3">
        <v>44648</v>
      </c>
      <c r="C189" s="3" t="s">
        <v>9</v>
      </c>
      <c r="D189" s="2" t="s">
        <v>27</v>
      </c>
      <c r="E189" s="2" t="s">
        <v>48</v>
      </c>
      <c r="F189" s="2" t="s">
        <v>22</v>
      </c>
      <c r="G189" s="2">
        <v>123</v>
      </c>
      <c r="H189" s="4">
        <v>47820</v>
      </c>
    </row>
    <row r="190" spans="1:8" ht="14.25">
      <c r="A190" s="2" t="s">
        <v>35</v>
      </c>
      <c r="B190" s="3">
        <v>44649</v>
      </c>
      <c r="C190" s="3" t="s">
        <v>9</v>
      </c>
      <c r="D190" s="2" t="s">
        <v>30</v>
      </c>
      <c r="E190" s="2" t="s">
        <v>28</v>
      </c>
      <c r="F190" s="2" t="s">
        <v>12</v>
      </c>
      <c r="G190" s="2">
        <v>351</v>
      </c>
      <c r="H190" s="4">
        <v>30670</v>
      </c>
    </row>
    <row r="191" spans="1:8" ht="14.25">
      <c r="A191" s="2" t="s">
        <v>37</v>
      </c>
      <c r="B191" s="3">
        <v>44650</v>
      </c>
      <c r="C191" s="3" t="s">
        <v>9</v>
      </c>
      <c r="D191" s="2" t="s">
        <v>33</v>
      </c>
      <c r="E191" s="2" t="s">
        <v>50</v>
      </c>
      <c r="F191" s="2" t="s">
        <v>12</v>
      </c>
      <c r="G191" s="2">
        <v>345</v>
      </c>
      <c r="H191" s="4">
        <v>36432</v>
      </c>
    </row>
    <row r="192" spans="1:8" ht="14.25">
      <c r="A192" s="2" t="s">
        <v>39</v>
      </c>
      <c r="B192" s="3">
        <v>44651</v>
      </c>
      <c r="C192" s="3" t="s">
        <v>9</v>
      </c>
      <c r="D192" s="2" t="s">
        <v>36</v>
      </c>
      <c r="E192" s="2" t="s">
        <v>18</v>
      </c>
      <c r="F192" s="2" t="s">
        <v>22</v>
      </c>
      <c r="G192" s="2">
        <v>467</v>
      </c>
      <c r="H192" s="4">
        <v>15525</v>
      </c>
    </row>
    <row r="193" spans="1:8" ht="14.25">
      <c r="A193" s="2" t="s">
        <v>41</v>
      </c>
      <c r="B193" s="3">
        <v>44652</v>
      </c>
      <c r="C193" s="3" t="s">
        <v>9</v>
      </c>
      <c r="D193" s="2" t="s">
        <v>38</v>
      </c>
      <c r="E193" s="2" t="s">
        <v>49</v>
      </c>
      <c r="F193" s="2" t="s">
        <v>22</v>
      </c>
      <c r="G193" s="2">
        <v>144</v>
      </c>
      <c r="H193" s="4">
        <v>25730</v>
      </c>
    </row>
    <row r="194" spans="1:8" ht="14.25">
      <c r="A194" s="2" t="s">
        <v>43</v>
      </c>
      <c r="B194" s="3">
        <v>44653</v>
      </c>
      <c r="C194" s="3" t="s">
        <v>9</v>
      </c>
      <c r="D194" s="2" t="s">
        <v>40</v>
      </c>
      <c r="E194" s="2" t="s">
        <v>25</v>
      </c>
      <c r="F194" s="2" t="s">
        <v>12</v>
      </c>
      <c r="G194" s="2">
        <v>210</v>
      </c>
      <c r="H194" s="4">
        <v>26514</v>
      </c>
    </row>
    <row r="195" spans="1:8" ht="14.25">
      <c r="A195" s="2" t="s">
        <v>45</v>
      </c>
      <c r="B195" s="3">
        <v>44654</v>
      </c>
      <c r="C195" s="3" t="s">
        <v>9</v>
      </c>
      <c r="D195" s="2" t="s">
        <v>42</v>
      </c>
      <c r="E195" s="2" t="s">
        <v>48</v>
      </c>
      <c r="F195" s="2" t="s">
        <v>12</v>
      </c>
      <c r="G195" s="2">
        <v>293</v>
      </c>
      <c r="H195" s="4">
        <v>34935</v>
      </c>
    </row>
    <row r="196" spans="1:8" ht="14.25">
      <c r="A196" s="2" t="s">
        <v>46</v>
      </c>
      <c r="B196" s="3">
        <v>44655</v>
      </c>
      <c r="C196" s="3" t="s">
        <v>9</v>
      </c>
      <c r="D196" s="2" t="s">
        <v>44</v>
      </c>
      <c r="E196" s="2" t="s">
        <v>47</v>
      </c>
      <c r="F196" s="2" t="s">
        <v>12</v>
      </c>
      <c r="G196" s="2">
        <v>250</v>
      </c>
      <c r="H196" s="4">
        <v>26410</v>
      </c>
    </row>
    <row r="197" spans="1:8" ht="14.25">
      <c r="A197" s="2" t="s">
        <v>8</v>
      </c>
      <c r="B197" s="3">
        <v>44656</v>
      </c>
      <c r="C197" s="3" t="s">
        <v>9</v>
      </c>
      <c r="D197" s="2" t="s">
        <v>10</v>
      </c>
      <c r="E197" s="2" t="s">
        <v>25</v>
      </c>
      <c r="F197" s="2" t="s">
        <v>12</v>
      </c>
      <c r="G197" s="2">
        <v>246</v>
      </c>
      <c r="H197" s="4">
        <v>63427</v>
      </c>
    </row>
    <row r="198" spans="1:8" ht="14.25">
      <c r="A198" s="2" t="s">
        <v>13</v>
      </c>
      <c r="B198" s="3">
        <v>44657</v>
      </c>
      <c r="C198" s="3" t="s">
        <v>9</v>
      </c>
      <c r="D198" s="2" t="s">
        <v>14</v>
      </c>
      <c r="E198" s="2" t="s">
        <v>28</v>
      </c>
      <c r="F198" s="2" t="s">
        <v>12</v>
      </c>
      <c r="G198" s="2">
        <v>239</v>
      </c>
      <c r="H198" s="4">
        <v>25851</v>
      </c>
    </row>
    <row r="199" spans="1:8" ht="14.25">
      <c r="A199" s="2" t="s">
        <v>16</v>
      </c>
      <c r="B199" s="3">
        <v>44658</v>
      </c>
      <c r="C199" s="3" t="s">
        <v>9</v>
      </c>
      <c r="D199" s="2" t="s">
        <v>17</v>
      </c>
      <c r="E199" s="2" t="s">
        <v>50</v>
      </c>
      <c r="F199" s="2" t="s">
        <v>22</v>
      </c>
      <c r="G199" s="2">
        <v>183</v>
      </c>
      <c r="H199" s="4">
        <v>39935</v>
      </c>
    </row>
    <row r="200" spans="1:8" ht="14.25">
      <c r="A200" s="2" t="s">
        <v>19</v>
      </c>
      <c r="B200" s="3">
        <v>44659</v>
      </c>
      <c r="C200" s="3" t="s">
        <v>9</v>
      </c>
      <c r="D200" s="2" t="s">
        <v>20</v>
      </c>
      <c r="E200" s="2" t="s">
        <v>34</v>
      </c>
      <c r="F200" s="2" t="s">
        <v>12</v>
      </c>
      <c r="G200" s="2">
        <v>358</v>
      </c>
      <c r="H200" s="4">
        <v>68780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Sayfa2</vt:lpstr>
      <vt:lpstr>Sayfa2 (2)</vt:lpstr>
      <vt:lpstr>Sayfa2 (3)</vt:lpstr>
      <vt:lpstr>Sayfa2 (4)</vt:lpstr>
      <vt:lpstr>Dashboard</vt:lpstr>
      <vt:lpstr>Ham Veri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Tekin</dc:creator>
  <cp:lastModifiedBy>Ali Tekin</cp:lastModifiedBy>
  <dcterms:created xsi:type="dcterms:W3CDTF">2026-03-22T13:37:04Z</dcterms:created>
  <dcterms:modified xsi:type="dcterms:W3CDTF">2026-03-22T19:27:43Z</dcterms:modified>
</cp:coreProperties>
</file>